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3834556-E880-4495-AE96-092828C92503}" xr6:coauthVersionLast="47" xr6:coauthVersionMax="47" xr10:uidLastSave="{00000000-0000-0000-0000-000000000000}"/>
  <bookViews>
    <workbookView xWindow="-120" yWindow="-120" windowWidth="20730" windowHeight="11160" xr2:uid="{2DBCC3AF-FE2E-45B3-8240-A8D13FE55F6A}"/>
  </bookViews>
  <sheets>
    <sheet name="Raw" sheetId="2" r:id="rId1"/>
    <sheet name="Sheet1" sheetId="1" r:id="rId2"/>
  </sheets>
  <definedNames>
    <definedName name="ExternalData_1" localSheetId="0" hidden="1">Raw!$A$1:$I$201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2" l="1"/>
  <c r="L33" i="2"/>
  <c r="L31" i="2"/>
  <c r="L29" i="2"/>
  <c r="L27" i="2"/>
  <c r="L25" i="2"/>
  <c r="L23" i="2"/>
  <c r="L21" i="2"/>
  <c r="L19" i="2"/>
  <c r="L16" i="2"/>
  <c r="L14" i="2"/>
  <c r="L12" i="2"/>
  <c r="L10" i="2"/>
  <c r="L8" i="2"/>
  <c r="L6" i="2"/>
  <c r="L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B2DA20-EA6B-498B-9BA6-D583D5B0A3A1}" keepAlive="1" name="Query - deepseek_csv_20260421_b7a3a8" description="Connection to the 'deepseek_csv_20260421_b7a3a8' query in the workbook." type="5" refreshedVersion="7" background="1" saveData="1">
    <dbPr connection="Provider=Microsoft.Mashup.OleDb.1;Data Source=$Workbook$;Location=deepseek_csv_20260421_b7a3a8;Extended Properties=&quot;&quot;" command="SELECT * FROM [deepseek_csv_20260421_b7a3a8]"/>
  </connection>
</connections>
</file>

<file path=xl/sharedStrings.xml><?xml version="1.0" encoding="utf-8"?>
<sst xmlns="http://schemas.openxmlformats.org/spreadsheetml/2006/main" count="1043" uniqueCount="240">
  <si>
    <t>OrderID</t>
  </si>
  <si>
    <t>OrderDate</t>
  </si>
  <si>
    <t>ProductCategory</t>
  </si>
  <si>
    <t>ProductName</t>
  </si>
  <si>
    <t>UnitsSold</t>
  </si>
  <si>
    <t>UnitPrice</t>
  </si>
  <si>
    <t>Region</t>
  </si>
  <si>
    <t>SalesRep</t>
  </si>
  <si>
    <t>PaymentMethod</t>
  </si>
  <si>
    <t>Electronics</t>
  </si>
  <si>
    <t>Laptop</t>
  </si>
  <si>
    <t>North</t>
  </si>
  <si>
    <t>Abiola Ogun</t>
  </si>
  <si>
    <t>Card</t>
  </si>
  <si>
    <t>Clothing</t>
  </si>
  <si>
    <t>Jeans</t>
  </si>
  <si>
    <t>South</t>
  </si>
  <si>
    <t>Chidi Nwosu</t>
  </si>
  <si>
    <t>Cash</t>
  </si>
  <si>
    <t>Furniture</t>
  </si>
  <si>
    <t>Office Chair</t>
  </si>
  <si>
    <t>East</t>
  </si>
  <si>
    <t>Femi Adebayo</t>
  </si>
  <si>
    <t>Transfer</t>
  </si>
  <si>
    <t>Smartphone</t>
  </si>
  <si>
    <t>West</t>
  </si>
  <si>
    <t>Tunde Bakare</t>
  </si>
  <si>
    <t>T-Shirt</t>
  </si>
  <si>
    <t>Dining Table</t>
  </si>
  <si>
    <t>Headphones</t>
  </si>
  <si>
    <t>Jacket</t>
  </si>
  <si>
    <t>Bed Frame</t>
  </si>
  <si>
    <t>Tablet</t>
  </si>
  <si>
    <t>Sneakers</t>
  </si>
  <si>
    <t>Bookshelf</t>
  </si>
  <si>
    <t>Smartwatch</t>
  </si>
  <si>
    <t>Hat</t>
  </si>
  <si>
    <t>Office Desk</t>
  </si>
  <si>
    <t>Monitor</t>
  </si>
  <si>
    <t>Dress</t>
  </si>
  <si>
    <t>Wardrobe</t>
  </si>
  <si>
    <t>Keyboard</t>
  </si>
  <si>
    <t>Shorts</t>
  </si>
  <si>
    <t>Sofa Set</t>
  </si>
  <si>
    <t>Mouse</t>
  </si>
  <si>
    <t>Sweater</t>
  </si>
  <si>
    <t>Nightstand</t>
  </si>
  <si>
    <t>Printer</t>
  </si>
  <si>
    <t>Blazer</t>
  </si>
  <si>
    <t>Coffee Table</t>
  </si>
  <si>
    <t>Speaker</t>
  </si>
  <si>
    <t>Skirt</t>
  </si>
  <si>
    <t>Drawer Unit</t>
  </si>
  <si>
    <t>Webcam</t>
  </si>
  <si>
    <t>Cardigan</t>
  </si>
  <si>
    <t>Shoe Rack</t>
  </si>
  <si>
    <t>Router</t>
  </si>
  <si>
    <t>Leggings</t>
  </si>
  <si>
    <t>Desk Lamp</t>
  </si>
  <si>
    <t>USB Cable</t>
  </si>
  <si>
    <t>Vest</t>
  </si>
  <si>
    <t>Mirror</t>
  </si>
  <si>
    <t>Charger</t>
  </si>
  <si>
    <t>Scarf</t>
  </si>
  <si>
    <t>Coat Rack</t>
  </si>
  <si>
    <t>Power Bank</t>
  </si>
  <si>
    <t>Gloves</t>
  </si>
  <si>
    <t>Magazine Rack</t>
  </si>
  <si>
    <t>Hard Drive</t>
  </si>
  <si>
    <t>Belt</t>
  </si>
  <si>
    <t>Filing Cabinet</t>
  </si>
  <si>
    <t>Microphone</t>
  </si>
  <si>
    <t>Slippers</t>
  </si>
  <si>
    <t>Bean Bag</t>
  </si>
  <si>
    <t>Camera</t>
  </si>
  <si>
    <t>Bracelet</t>
  </si>
  <si>
    <t>Wall Clock</t>
  </si>
  <si>
    <t>Headset</t>
  </si>
  <si>
    <t>Socks</t>
  </si>
  <si>
    <t>Plant Stand</t>
  </si>
  <si>
    <t>Graphics Tablet</t>
  </si>
  <si>
    <t>Necklace</t>
  </si>
  <si>
    <t>Bar Stool</t>
  </si>
  <si>
    <t>Smart Light</t>
  </si>
  <si>
    <t>Cap</t>
  </si>
  <si>
    <t>Rug</t>
  </si>
  <si>
    <t>Fitness Tracker</t>
  </si>
  <si>
    <t>Handbag</t>
  </si>
  <si>
    <t>TV Stand</t>
  </si>
  <si>
    <t>Projector</t>
  </si>
  <si>
    <t>Polo Shirt</t>
  </si>
  <si>
    <t>Laundry Basket</t>
  </si>
  <si>
    <t>External Battery</t>
  </si>
  <si>
    <t>Flip Flops</t>
  </si>
  <si>
    <t>Stool</t>
  </si>
  <si>
    <t>VR Headset</t>
  </si>
  <si>
    <t>Tank Top</t>
  </si>
  <si>
    <t>Curtains</t>
  </si>
  <si>
    <t>USB Hub</t>
  </si>
  <si>
    <t>Sandals</t>
  </si>
  <si>
    <t>Key Holder</t>
  </si>
  <si>
    <t>Card Reader</t>
  </si>
  <si>
    <t>Watch</t>
  </si>
  <si>
    <t>Wall Shelf</t>
  </si>
  <si>
    <t>Smart Plug</t>
  </si>
  <si>
    <t>Raincoat</t>
  </si>
  <si>
    <t>Pet Bed</t>
  </si>
  <si>
    <t>Docking Station</t>
  </si>
  <si>
    <t>Pyjamas</t>
  </si>
  <si>
    <t>TV Remote Holder</t>
  </si>
  <si>
    <t>Screen Protector</t>
  </si>
  <si>
    <t>Necktie</t>
  </si>
  <si>
    <t>Foldable Table</t>
  </si>
  <si>
    <t>Phone Stand</t>
  </si>
  <si>
    <t>Suspenders</t>
  </si>
  <si>
    <t>Vanity Stool</t>
  </si>
  <si>
    <t>Smart Scale</t>
  </si>
  <si>
    <t>Kaftan</t>
  </si>
  <si>
    <t>Wall Art</t>
  </si>
  <si>
    <t>Cable Organizer</t>
  </si>
  <si>
    <t>Cufflinks</t>
  </si>
  <si>
    <t>Floor Lamp</t>
  </si>
  <si>
    <t>Air Purifier</t>
  </si>
  <si>
    <t>Bluetooth Speaker</t>
  </si>
  <si>
    <t>Maxi Dress</t>
  </si>
  <si>
    <t>Office Stool</t>
  </si>
  <si>
    <t>Smart Bulb</t>
  </si>
  <si>
    <t>Hoodie</t>
  </si>
  <si>
    <t>Patio Chair</t>
  </si>
  <si>
    <t>Wireless Mouse</t>
  </si>
  <si>
    <t>Kimono</t>
  </si>
  <si>
    <t>Bookcase</t>
  </si>
  <si>
    <t>Webcam Cover</t>
  </si>
  <si>
    <t>Bomber Jacket</t>
  </si>
  <si>
    <t>Storage Ottoman</t>
  </si>
  <si>
    <t>Gaming Mouse</t>
  </si>
  <si>
    <t>Blouse</t>
  </si>
  <si>
    <t>Futon</t>
  </si>
  <si>
    <t>Noise Cancelling Headphones</t>
  </si>
  <si>
    <t>Tracksuit</t>
  </si>
  <si>
    <t>Bean Bag Cover</t>
  </si>
  <si>
    <t>HDMI Cable</t>
  </si>
  <si>
    <t>Flannel Shirt</t>
  </si>
  <si>
    <t>Wall Mirror</t>
  </si>
  <si>
    <t>Desk Fan</t>
  </si>
  <si>
    <t>Chinos</t>
  </si>
  <si>
    <t>Laundry Hamper</t>
  </si>
  <si>
    <t>USB Fan</t>
  </si>
  <si>
    <t>Puffer Jacket</t>
  </si>
  <si>
    <t>Corner Shelf</t>
  </si>
  <si>
    <t>Memory Card</t>
  </si>
  <si>
    <t>Sweatpants</t>
  </si>
  <si>
    <t>Footstool</t>
  </si>
  <si>
    <t>Wireless Charger</t>
  </si>
  <si>
    <t>Overcoat</t>
  </si>
  <si>
    <t>Magazine Holder</t>
  </si>
  <si>
    <t>Laptop Stand</t>
  </si>
  <si>
    <t>Crop Top</t>
  </si>
  <si>
    <t>Wine Rack</t>
  </si>
  <si>
    <t>Smart Speaker</t>
  </si>
  <si>
    <t>Bermuda Shorts</t>
  </si>
  <si>
    <t>Shower Caddy</t>
  </si>
  <si>
    <t>External DVD Drive</t>
  </si>
  <si>
    <t>Denim Skirt</t>
  </si>
  <si>
    <t>Umbrella Stand</t>
  </si>
  <si>
    <t>Lightning Cable</t>
  </si>
  <si>
    <t>Card Holder</t>
  </si>
  <si>
    <t>Letter Tray</t>
  </si>
  <si>
    <t>Phone Grip</t>
  </si>
  <si>
    <t>Bow Tie</t>
  </si>
  <si>
    <t>Plant Pot</t>
  </si>
  <si>
    <t>Tablet Stand</t>
  </si>
  <si>
    <t>Face Mask Pack</t>
  </si>
  <si>
    <t>Picture Frame</t>
  </si>
  <si>
    <t>Stylus Pen</t>
  </si>
  <si>
    <t>Sports Bra</t>
  </si>
  <si>
    <t>Jewelry Box</t>
  </si>
  <si>
    <t>Camera Lens</t>
  </si>
  <si>
    <t>Sunglasses</t>
  </si>
  <si>
    <t>Cushion</t>
  </si>
  <si>
    <t>Smart Thermostat</t>
  </si>
  <si>
    <t>Waist Bag</t>
  </si>
  <si>
    <t>Throw Blanket</t>
  </si>
  <si>
    <t>Car Charger</t>
  </si>
  <si>
    <t>Swimsuit</t>
  </si>
  <si>
    <t>Bath Mat</t>
  </si>
  <si>
    <t>Alarm Clock</t>
  </si>
  <si>
    <t>Shawl</t>
  </si>
  <si>
    <t>Kitchen Trolley</t>
  </si>
  <si>
    <t>Calculator</t>
  </si>
  <si>
    <t>Slip Dress</t>
  </si>
  <si>
    <t>Overbed Table</t>
  </si>
  <si>
    <t>Digital Clock</t>
  </si>
  <si>
    <t>Leg Warmers</t>
  </si>
  <si>
    <t>Clothes Rack</t>
  </si>
  <si>
    <t>Voltage Regulator</t>
  </si>
  <si>
    <t>Corset Top</t>
  </si>
  <si>
    <t>Vanity Table</t>
  </si>
  <si>
    <t>Selfie Stick</t>
  </si>
  <si>
    <t>Ankle Socks</t>
  </si>
  <si>
    <t>Wall Hook</t>
  </si>
  <si>
    <t>Lens Cleaner</t>
  </si>
  <si>
    <t>Headband</t>
  </si>
  <si>
    <t>Trash Can</t>
  </si>
  <si>
    <t>Extension Cord</t>
  </si>
  <si>
    <t>Tie Dye Shirt</t>
  </si>
  <si>
    <t>Fireplace Screen</t>
  </si>
  <si>
    <t>Antivirus USB</t>
  </si>
  <si>
    <t>Romper</t>
  </si>
  <si>
    <t>Pet Crate</t>
  </si>
  <si>
    <t>Router Stand</t>
  </si>
  <si>
    <t>Fanny Pack</t>
  </si>
  <si>
    <t>Makeup Mirror</t>
  </si>
  <si>
    <t>Drone</t>
  </si>
  <si>
    <t>Baseball Cap</t>
  </si>
  <si>
    <t>Coat Hook</t>
  </si>
  <si>
    <t>Rechargeable Fan</t>
  </si>
  <si>
    <t>Agbada</t>
  </si>
  <si>
    <t>Traditional Stool</t>
  </si>
  <si>
    <t>Kettle</t>
  </si>
  <si>
    <t>Hijab</t>
  </si>
  <si>
    <t>Prayer Mat</t>
  </si>
  <si>
    <t>Electric Cooker</t>
  </si>
  <si>
    <t>Revenue</t>
  </si>
  <si>
    <t>Total Units Sold for Electronics</t>
  </si>
  <si>
    <t>Count of Orders in the North Region</t>
  </si>
  <si>
    <t>Average Unit Price for Furniture</t>
  </si>
  <si>
    <t>Total Revenue for Clothing</t>
  </si>
  <si>
    <t>Count of Orders with Units Sold &gt;5 and Region =East</t>
  </si>
  <si>
    <t>Count of Orders with Units Sold &gt; or =5 and Region =East</t>
  </si>
  <si>
    <t>Average Units Sold for Sales Rep "Femi Adebayo"</t>
  </si>
  <si>
    <t>Total Units of Products containing "Phone"</t>
  </si>
  <si>
    <t>Count of Product in February 2025</t>
  </si>
  <si>
    <t>Total Units for North Region/Electronics</t>
  </si>
  <si>
    <t>Average Price of Items Sold by "Abiola Ogun"</t>
  </si>
  <si>
    <t>Count of Orders paid with Card</t>
  </si>
  <si>
    <t>Total Units of Laptops</t>
  </si>
  <si>
    <t>Average Units Sold for West Region</t>
  </si>
  <si>
    <t>Count of Funiture orders with Unit Sold =1</t>
  </si>
  <si>
    <t>Total Revenue for South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</si>
</sst>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8"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F9008A-BA1D-401B-8BA4-A08FE8CE3CCB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OrderID" tableColumnId="1"/>
      <queryTableField id="2" name="OrderDate" tableColumnId="2"/>
      <queryTableField id="3" name="ProductCategory" tableColumnId="3"/>
      <queryTableField id="4" name="ProductName" tableColumnId="4"/>
      <queryTableField id="5" name="UnitsSold" tableColumnId="5"/>
      <queryTableField id="6" name="UnitPrice" tableColumnId="6"/>
      <queryTableField id="7" name="Region" tableColumnId="7"/>
      <queryTableField id="8" name="SalesRep" tableColumnId="8"/>
      <queryTableField id="9" name="PaymentMethod" tableColumnId="9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4CD6C-72A4-4873-8662-2001FEC286E8}" name="deepseek_csv_20260421_b7a3a8" displayName="deepseek_csv_20260421_b7a3a8" ref="A1:J201" tableType="queryTable" totalsRowShown="0">
  <autoFilter ref="A1:J201" xr:uid="{6634CD6C-72A4-4873-8662-2001FEC286E8}"/>
  <tableColumns count="10">
    <tableColumn id="1" xr3:uid="{C06E92CB-CDB9-494E-B963-45F96F0F9686}" uniqueName="1" name="OrderID" queryTableFieldId="1"/>
    <tableColumn id="2" xr3:uid="{793AD12B-8C36-49B5-B45D-2B92BF4CE755}" uniqueName="2" name="OrderDate" queryTableFieldId="2" dataDxfId="7"/>
    <tableColumn id="3" xr3:uid="{9954802F-8C58-4480-8758-9A3F038C2D2C}" uniqueName="3" name="ProductCategory" queryTableFieldId="3" dataDxfId="6"/>
    <tableColumn id="4" xr3:uid="{D731B2DC-7BB8-4805-AF62-36B81F40D849}" uniqueName="4" name="ProductName" queryTableFieldId="4" dataDxfId="5"/>
    <tableColumn id="5" xr3:uid="{D011B2DE-B6A4-4350-9568-A3C45A307183}" uniqueName="5" name="UnitsSold" queryTableFieldId="5"/>
    <tableColumn id="6" xr3:uid="{2F600979-691C-468C-9239-12F9BFE48F88}" uniqueName="6" name="UnitPrice" queryTableFieldId="6" dataDxfId="4"/>
    <tableColumn id="7" xr3:uid="{7D0D22FE-3351-447D-ADD8-AF2C834C25AC}" uniqueName="7" name="Region" queryTableFieldId="7" dataDxfId="3"/>
    <tableColumn id="8" xr3:uid="{64911AB2-F35B-4453-842F-822B3B77C391}" uniqueName="8" name="SalesRep" queryTableFieldId="8" dataDxfId="2"/>
    <tableColumn id="9" xr3:uid="{4F7E696B-FFCE-42A2-A706-EB527E21E6E7}" uniqueName="9" name="PaymentMethod" queryTableFieldId="9" dataDxfId="1"/>
    <tableColumn id="11" xr3:uid="{993BC8E7-338B-4034-9E68-2542B5E66FC8}" uniqueName="11" name="Revenu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1F51-D0BD-4B7B-895B-9075EC267D17}">
  <dimension ref="A1:L201"/>
  <sheetViews>
    <sheetView tabSelected="1" topLeftCell="C1" workbookViewId="0">
      <selection activeCell="G8" sqref="G8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18.140625" bestFit="1" customWidth="1"/>
    <col min="4" max="4" width="27.85546875" bestFit="1" customWidth="1"/>
    <col min="5" max="5" width="11.85546875" bestFit="1" customWidth="1"/>
    <col min="6" max="6" width="11.5703125" style="2" bestFit="1" customWidth="1"/>
    <col min="7" max="7" width="9.42578125" bestFit="1" customWidth="1"/>
    <col min="8" max="8" width="13.85546875" bestFit="1" customWidth="1"/>
    <col min="9" max="9" width="18.42578125" bestFit="1" customWidth="1"/>
    <col min="10" max="10" width="9.140625" style="2"/>
    <col min="12" max="12" width="4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s="2" t="s">
        <v>223</v>
      </c>
    </row>
    <row r="2" spans="1:12" x14ac:dyDescent="0.25">
      <c r="A2">
        <v>2001</v>
      </c>
      <c r="B2" s="1">
        <v>45672</v>
      </c>
      <c r="C2" t="s">
        <v>9</v>
      </c>
      <c r="D2" t="s">
        <v>10</v>
      </c>
      <c r="E2">
        <v>2</v>
      </c>
      <c r="F2" s="2">
        <v>450000</v>
      </c>
      <c r="G2" t="s">
        <v>11</v>
      </c>
      <c r="H2" t="s">
        <v>12</v>
      </c>
      <c r="I2" t="s">
        <v>13</v>
      </c>
      <c r="J2" s="2">
        <v>900000</v>
      </c>
      <c r="L2" t="s">
        <v>224</v>
      </c>
    </row>
    <row r="3" spans="1:12" x14ac:dyDescent="0.25">
      <c r="A3">
        <v>2002</v>
      </c>
      <c r="B3" s="1">
        <v>45672</v>
      </c>
      <c r="C3" t="s">
        <v>14</v>
      </c>
      <c r="D3" t="s">
        <v>15</v>
      </c>
      <c r="E3">
        <v>3</v>
      </c>
      <c r="F3" s="2">
        <v>15000</v>
      </c>
      <c r="G3" t="s">
        <v>16</v>
      </c>
      <c r="H3" t="s">
        <v>17</v>
      </c>
      <c r="I3" t="s">
        <v>18</v>
      </c>
      <c r="J3" s="2">
        <v>45000</v>
      </c>
      <c r="L3" s="3">
        <f>SUMIFS(deepseek_csv_20260421_b7a3a8[UnitPrice], deepseek_csv_20260421_b7a3a8[ProductCategory], "Electronics")</f>
        <v>2870500</v>
      </c>
    </row>
    <row r="4" spans="1:12" x14ac:dyDescent="0.25">
      <c r="A4">
        <v>2003</v>
      </c>
      <c r="B4" s="1">
        <v>45673</v>
      </c>
      <c r="C4" t="s">
        <v>19</v>
      </c>
      <c r="D4" t="s">
        <v>20</v>
      </c>
      <c r="E4">
        <v>1</v>
      </c>
      <c r="F4" s="2">
        <v>75000</v>
      </c>
      <c r="G4" t="s">
        <v>21</v>
      </c>
      <c r="H4" t="s">
        <v>22</v>
      </c>
      <c r="I4" t="s">
        <v>23</v>
      </c>
      <c r="J4" s="2">
        <v>75000</v>
      </c>
    </row>
    <row r="5" spans="1:12" x14ac:dyDescent="0.25">
      <c r="A5">
        <v>2004</v>
      </c>
      <c r="B5" s="1">
        <v>45673</v>
      </c>
      <c r="C5" t="s">
        <v>9</v>
      </c>
      <c r="D5" t="s">
        <v>24</v>
      </c>
      <c r="E5">
        <v>1</v>
      </c>
      <c r="F5" s="2">
        <v>120000</v>
      </c>
      <c r="G5" t="s">
        <v>25</v>
      </c>
      <c r="H5" t="s">
        <v>26</v>
      </c>
      <c r="I5" t="s">
        <v>13</v>
      </c>
      <c r="J5" s="2">
        <v>120000</v>
      </c>
      <c r="L5" t="s">
        <v>225</v>
      </c>
    </row>
    <row r="6" spans="1:12" x14ac:dyDescent="0.25">
      <c r="A6">
        <v>2005</v>
      </c>
      <c r="B6" s="1">
        <v>45674</v>
      </c>
      <c r="C6" t="s">
        <v>14</v>
      </c>
      <c r="D6" t="s">
        <v>27</v>
      </c>
      <c r="E6">
        <v>5</v>
      </c>
      <c r="F6" s="2">
        <v>5000</v>
      </c>
      <c r="G6" t="s">
        <v>11</v>
      </c>
      <c r="H6" t="s">
        <v>12</v>
      </c>
      <c r="I6" t="s">
        <v>18</v>
      </c>
      <c r="J6" s="2">
        <v>25000</v>
      </c>
      <c r="L6">
        <f>COUNTIFS(deepseek_csv_20260421_b7a3a8[Region], "North")</f>
        <v>50</v>
      </c>
    </row>
    <row r="7" spans="1:12" x14ac:dyDescent="0.25">
      <c r="A7">
        <v>2006</v>
      </c>
      <c r="B7" s="1">
        <v>45674</v>
      </c>
      <c r="C7" t="s">
        <v>19</v>
      </c>
      <c r="D7" t="s">
        <v>28</v>
      </c>
      <c r="E7">
        <v>1</v>
      </c>
      <c r="F7" s="2">
        <v>150000</v>
      </c>
      <c r="G7" t="s">
        <v>16</v>
      </c>
      <c r="H7" t="s">
        <v>17</v>
      </c>
      <c r="I7" t="s">
        <v>23</v>
      </c>
      <c r="J7" s="2">
        <v>150000</v>
      </c>
      <c r="L7" t="s">
        <v>226</v>
      </c>
    </row>
    <row r="8" spans="1:12" x14ac:dyDescent="0.25">
      <c r="A8">
        <v>2007</v>
      </c>
      <c r="B8" s="1">
        <v>45675</v>
      </c>
      <c r="C8" t="s">
        <v>9</v>
      </c>
      <c r="D8" t="s">
        <v>29</v>
      </c>
      <c r="E8">
        <v>2</v>
      </c>
      <c r="F8" s="2">
        <v>25000</v>
      </c>
      <c r="G8" t="s">
        <v>21</v>
      </c>
      <c r="H8" t="s">
        <v>22</v>
      </c>
      <c r="I8" t="s">
        <v>13</v>
      </c>
      <c r="J8" s="2">
        <v>50000</v>
      </c>
      <c r="L8" s="2">
        <f>AVERAGEIFS(deepseek_csv_20260421_b7a3a8[UnitPrice], deepseek_csv_20260421_b7a3a8[ProductCategory], "Furniture")</f>
        <v>31795.454545454544</v>
      </c>
    </row>
    <row r="9" spans="1:12" x14ac:dyDescent="0.25">
      <c r="A9">
        <v>2008</v>
      </c>
      <c r="B9" s="1">
        <v>45675</v>
      </c>
      <c r="C9" t="s">
        <v>14</v>
      </c>
      <c r="D9" t="s">
        <v>30</v>
      </c>
      <c r="E9">
        <v>1</v>
      </c>
      <c r="F9" s="2">
        <v>35000</v>
      </c>
      <c r="G9" t="s">
        <v>25</v>
      </c>
      <c r="H9" t="s">
        <v>26</v>
      </c>
      <c r="I9" t="s">
        <v>18</v>
      </c>
      <c r="J9" s="2">
        <v>35000</v>
      </c>
      <c r="L9" t="s">
        <v>227</v>
      </c>
    </row>
    <row r="10" spans="1:12" x14ac:dyDescent="0.25">
      <c r="A10">
        <v>2009</v>
      </c>
      <c r="B10" s="1">
        <v>45676</v>
      </c>
      <c r="C10" t="s">
        <v>19</v>
      </c>
      <c r="D10" t="s">
        <v>31</v>
      </c>
      <c r="E10">
        <v>1</v>
      </c>
      <c r="F10" s="2">
        <v>120000</v>
      </c>
      <c r="G10" t="s">
        <v>11</v>
      </c>
      <c r="H10" t="s">
        <v>12</v>
      </c>
      <c r="I10" t="s">
        <v>23</v>
      </c>
      <c r="J10" s="2">
        <v>120000</v>
      </c>
      <c r="L10" s="2">
        <f>SUMIFS(deepseek_csv_20260421_b7a3a8[Revenue], deepseek_csv_20260421_b7a3a8[ProductCategory], "Clothing")</f>
        <v>1881000</v>
      </c>
    </row>
    <row r="11" spans="1:12" x14ac:dyDescent="0.25">
      <c r="A11">
        <v>2010</v>
      </c>
      <c r="B11" s="1">
        <v>45676</v>
      </c>
      <c r="C11" t="s">
        <v>9</v>
      </c>
      <c r="D11" t="s">
        <v>32</v>
      </c>
      <c r="E11">
        <v>1</v>
      </c>
      <c r="F11" s="2">
        <v>80000</v>
      </c>
      <c r="G11" t="s">
        <v>16</v>
      </c>
      <c r="H11" t="s">
        <v>17</v>
      </c>
      <c r="I11" t="s">
        <v>13</v>
      </c>
      <c r="J11" s="2">
        <v>80000</v>
      </c>
      <c r="L11" t="s">
        <v>228</v>
      </c>
    </row>
    <row r="12" spans="1:12" x14ac:dyDescent="0.25">
      <c r="A12">
        <v>2011</v>
      </c>
      <c r="B12" s="1">
        <v>45677</v>
      </c>
      <c r="C12" t="s">
        <v>14</v>
      </c>
      <c r="D12" t="s">
        <v>33</v>
      </c>
      <c r="E12">
        <v>2</v>
      </c>
      <c r="F12" s="2">
        <v>25000</v>
      </c>
      <c r="G12" t="s">
        <v>21</v>
      </c>
      <c r="H12" t="s">
        <v>22</v>
      </c>
      <c r="I12" t="s">
        <v>18</v>
      </c>
      <c r="J12" s="2">
        <v>50000</v>
      </c>
      <c r="L12">
        <f>COUNTIFS(deepseek_csv_20260421_b7a3a8[UnitsSold], "&gt;5",deepseek_csv_20260421_b7a3a8[Region], "East")</f>
        <v>0</v>
      </c>
    </row>
    <row r="13" spans="1:12" x14ac:dyDescent="0.25">
      <c r="A13">
        <v>2012</v>
      </c>
      <c r="B13" s="1">
        <v>45677</v>
      </c>
      <c r="C13" t="s">
        <v>19</v>
      </c>
      <c r="D13" t="s">
        <v>34</v>
      </c>
      <c r="E13">
        <v>1</v>
      </c>
      <c r="F13" s="2">
        <v>45000</v>
      </c>
      <c r="G13" t="s">
        <v>25</v>
      </c>
      <c r="H13" t="s">
        <v>26</v>
      </c>
      <c r="I13" t="s">
        <v>23</v>
      </c>
      <c r="J13" s="2">
        <v>45000</v>
      </c>
      <c r="L13" t="s">
        <v>229</v>
      </c>
    </row>
    <row r="14" spans="1:12" x14ac:dyDescent="0.25">
      <c r="A14">
        <v>2013</v>
      </c>
      <c r="B14" s="1">
        <v>45678</v>
      </c>
      <c r="C14" t="s">
        <v>9</v>
      </c>
      <c r="D14" t="s">
        <v>35</v>
      </c>
      <c r="E14">
        <v>1</v>
      </c>
      <c r="F14" s="2">
        <v>35000</v>
      </c>
      <c r="G14" t="s">
        <v>11</v>
      </c>
      <c r="H14" t="s">
        <v>12</v>
      </c>
      <c r="I14" t="s">
        <v>13</v>
      </c>
      <c r="J14" s="2">
        <v>35000</v>
      </c>
      <c r="L14">
        <f>COUNTIFS(deepseek_csv_20260421_b7a3a8[UnitsSold], "&gt;=5", deepseek_csv_20260421_b7a3a8[Region], "East")</f>
        <v>3</v>
      </c>
    </row>
    <row r="15" spans="1:12" x14ac:dyDescent="0.25">
      <c r="A15">
        <v>2014</v>
      </c>
      <c r="B15" s="1">
        <v>45678</v>
      </c>
      <c r="C15" t="s">
        <v>14</v>
      </c>
      <c r="D15" t="s">
        <v>36</v>
      </c>
      <c r="E15">
        <v>3</v>
      </c>
      <c r="F15" s="2">
        <v>8000</v>
      </c>
      <c r="G15" t="s">
        <v>16</v>
      </c>
      <c r="H15" t="s">
        <v>17</v>
      </c>
      <c r="I15" t="s">
        <v>18</v>
      </c>
      <c r="J15" s="2">
        <v>24000</v>
      </c>
      <c r="L15" t="s">
        <v>230</v>
      </c>
    </row>
    <row r="16" spans="1:12" x14ac:dyDescent="0.25">
      <c r="A16">
        <v>2015</v>
      </c>
      <c r="B16" s="1">
        <v>45679</v>
      </c>
      <c r="C16" t="s">
        <v>19</v>
      </c>
      <c r="D16" t="s">
        <v>37</v>
      </c>
      <c r="E16">
        <v>2</v>
      </c>
      <c r="F16" s="2">
        <v>85000</v>
      </c>
      <c r="G16" t="s">
        <v>21</v>
      </c>
      <c r="H16" t="s">
        <v>22</v>
      </c>
      <c r="I16" t="s">
        <v>23</v>
      </c>
      <c r="J16" s="2">
        <v>170000</v>
      </c>
      <c r="L16">
        <f>AVERAGEIFS(deepseek_csv_20260421_b7a3a8[UnitsSold],deepseek_csv_20260421_b7a3a8[SalesRep], "Femi Adebayo")</f>
        <v>2.36</v>
      </c>
    </row>
    <row r="17" spans="1:12" x14ac:dyDescent="0.25">
      <c r="A17">
        <v>2016</v>
      </c>
      <c r="B17" s="1">
        <v>45679</v>
      </c>
      <c r="C17" t="s">
        <v>9</v>
      </c>
      <c r="D17" t="s">
        <v>38</v>
      </c>
      <c r="E17">
        <v>1</v>
      </c>
      <c r="F17" s="2">
        <v>120000</v>
      </c>
      <c r="G17" t="s">
        <v>25</v>
      </c>
      <c r="H17" t="s">
        <v>26</v>
      </c>
      <c r="I17" t="s">
        <v>13</v>
      </c>
      <c r="J17" s="2">
        <v>120000</v>
      </c>
    </row>
    <row r="18" spans="1:12" x14ac:dyDescent="0.25">
      <c r="A18">
        <v>2017</v>
      </c>
      <c r="B18" s="1">
        <v>45680</v>
      </c>
      <c r="C18" t="s">
        <v>14</v>
      </c>
      <c r="D18" t="s">
        <v>39</v>
      </c>
      <c r="E18">
        <v>2</v>
      </c>
      <c r="F18" s="2">
        <v>22000</v>
      </c>
      <c r="G18" t="s">
        <v>11</v>
      </c>
      <c r="H18" t="s">
        <v>12</v>
      </c>
      <c r="I18" t="s">
        <v>18</v>
      </c>
      <c r="J18" s="2">
        <v>44000</v>
      </c>
      <c r="L18" t="s">
        <v>231</v>
      </c>
    </row>
    <row r="19" spans="1:12" x14ac:dyDescent="0.25">
      <c r="A19">
        <v>2018</v>
      </c>
      <c r="B19" s="1">
        <v>45680</v>
      </c>
      <c r="C19" t="s">
        <v>19</v>
      </c>
      <c r="D19" t="s">
        <v>40</v>
      </c>
      <c r="E19">
        <v>1</v>
      </c>
      <c r="F19" s="2">
        <v>180000</v>
      </c>
      <c r="G19" t="s">
        <v>16</v>
      </c>
      <c r="H19" t="s">
        <v>17</v>
      </c>
      <c r="I19" t="s">
        <v>23</v>
      </c>
      <c r="J19" s="2">
        <v>180000</v>
      </c>
      <c r="L19">
        <f>SUMIFS(deepseek_csv_20260421_b7a3a8[UnitsSold],deepseek_csv_20260421_b7a3a8[ProductName], "Phone" )</f>
        <v>0</v>
      </c>
    </row>
    <row r="20" spans="1:12" x14ac:dyDescent="0.25">
      <c r="A20">
        <v>2019</v>
      </c>
      <c r="B20" s="1">
        <v>45681</v>
      </c>
      <c r="C20" t="s">
        <v>9</v>
      </c>
      <c r="D20" t="s">
        <v>41</v>
      </c>
      <c r="E20">
        <v>3</v>
      </c>
      <c r="F20" s="2">
        <v>15000</v>
      </c>
      <c r="G20" t="s">
        <v>21</v>
      </c>
      <c r="H20" t="s">
        <v>22</v>
      </c>
      <c r="I20" t="s">
        <v>13</v>
      </c>
      <c r="J20" s="2">
        <v>45000</v>
      </c>
      <c r="L20" t="s">
        <v>232</v>
      </c>
    </row>
    <row r="21" spans="1:12" x14ac:dyDescent="0.25">
      <c r="A21">
        <v>2020</v>
      </c>
      <c r="B21" s="1">
        <v>45681</v>
      </c>
      <c r="C21" t="s">
        <v>14</v>
      </c>
      <c r="D21" t="s">
        <v>42</v>
      </c>
      <c r="E21">
        <v>4</v>
      </c>
      <c r="F21" s="2">
        <v>7000</v>
      </c>
      <c r="G21" t="s">
        <v>25</v>
      </c>
      <c r="H21" t="s">
        <v>26</v>
      </c>
      <c r="I21" t="s">
        <v>18</v>
      </c>
      <c r="J21" s="2">
        <v>28000</v>
      </c>
      <c r="L21">
        <f>COUNTIFS(deepseek_csv_20260421_b7a3a8[OrderDate], "&gt;=2/01/2025", deepseek_csv_20260421_b7a3a8[OrderDate], "&lt;=2/28/2025")</f>
        <v>112</v>
      </c>
    </row>
    <row r="22" spans="1:12" x14ac:dyDescent="0.25">
      <c r="A22">
        <v>2021</v>
      </c>
      <c r="B22" s="1">
        <v>45682</v>
      </c>
      <c r="C22" t="s">
        <v>19</v>
      </c>
      <c r="D22" t="s">
        <v>43</v>
      </c>
      <c r="E22">
        <v>1</v>
      </c>
      <c r="F22" s="2">
        <v>250000</v>
      </c>
      <c r="G22" t="s">
        <v>11</v>
      </c>
      <c r="H22" t="s">
        <v>12</v>
      </c>
      <c r="I22" t="s">
        <v>23</v>
      </c>
      <c r="J22" s="2">
        <v>250000</v>
      </c>
      <c r="L22" t="s">
        <v>233</v>
      </c>
    </row>
    <row r="23" spans="1:12" x14ac:dyDescent="0.25">
      <c r="A23">
        <v>2022</v>
      </c>
      <c r="B23" s="1">
        <v>45682</v>
      </c>
      <c r="C23" t="s">
        <v>9</v>
      </c>
      <c r="D23" t="s">
        <v>44</v>
      </c>
      <c r="E23">
        <v>5</v>
      </c>
      <c r="F23" s="2">
        <v>5000</v>
      </c>
      <c r="G23" t="s">
        <v>16</v>
      </c>
      <c r="H23" t="s">
        <v>17</v>
      </c>
      <c r="I23" t="s">
        <v>13</v>
      </c>
      <c r="J23" s="2">
        <v>25000</v>
      </c>
      <c r="L23">
        <f>SUMIFS(deepseek_csv_20260421_b7a3a8[UnitsSold], deepseek_csv_20260421_b7a3a8[Region],  "North", deepseek_csv_20260421_b7a3a8[ProductCategory], "Electronics")</f>
        <v>44</v>
      </c>
    </row>
    <row r="24" spans="1:12" x14ac:dyDescent="0.25">
      <c r="A24">
        <v>2023</v>
      </c>
      <c r="B24" s="1">
        <v>45683</v>
      </c>
      <c r="C24" t="s">
        <v>14</v>
      </c>
      <c r="D24" t="s">
        <v>45</v>
      </c>
      <c r="E24">
        <v>2</v>
      </c>
      <c r="F24" s="2">
        <v>18000</v>
      </c>
      <c r="G24" t="s">
        <v>21</v>
      </c>
      <c r="H24" t="s">
        <v>22</v>
      </c>
      <c r="I24" t="s">
        <v>18</v>
      </c>
      <c r="J24" s="2">
        <v>36000</v>
      </c>
      <c r="L24" t="s">
        <v>234</v>
      </c>
    </row>
    <row r="25" spans="1:12" x14ac:dyDescent="0.25">
      <c r="A25">
        <v>2024</v>
      </c>
      <c r="B25" s="1">
        <v>45683</v>
      </c>
      <c r="C25" t="s">
        <v>19</v>
      </c>
      <c r="D25" t="s">
        <v>46</v>
      </c>
      <c r="E25">
        <v>2</v>
      </c>
      <c r="F25" s="2">
        <v>25000</v>
      </c>
      <c r="G25" t="s">
        <v>25</v>
      </c>
      <c r="H25" t="s">
        <v>26</v>
      </c>
      <c r="I25" t="s">
        <v>23</v>
      </c>
      <c r="J25" s="2">
        <v>50000</v>
      </c>
      <c r="L25" s="2">
        <f>AVERAGEIFS(deepseek_csv_20260421_b7a3a8[UnitPrice],deepseek_csv_20260421_b7a3a8[SalesRep], "Abiola Ogun")</f>
        <v>33920</v>
      </c>
    </row>
    <row r="26" spans="1:12" x14ac:dyDescent="0.25">
      <c r="A26">
        <v>2025</v>
      </c>
      <c r="B26" s="1">
        <v>45684</v>
      </c>
      <c r="C26" t="s">
        <v>9</v>
      </c>
      <c r="D26" t="s">
        <v>47</v>
      </c>
      <c r="E26">
        <v>1</v>
      </c>
      <c r="F26" s="2">
        <v>65000</v>
      </c>
      <c r="G26" t="s">
        <v>11</v>
      </c>
      <c r="H26" t="s">
        <v>12</v>
      </c>
      <c r="I26" t="s">
        <v>13</v>
      </c>
      <c r="J26" s="2">
        <v>65000</v>
      </c>
      <c r="L26" t="s">
        <v>235</v>
      </c>
    </row>
    <row r="27" spans="1:12" x14ac:dyDescent="0.25">
      <c r="A27">
        <v>2026</v>
      </c>
      <c r="B27" s="1">
        <v>45684</v>
      </c>
      <c r="C27" t="s">
        <v>14</v>
      </c>
      <c r="D27" t="s">
        <v>48</v>
      </c>
      <c r="E27">
        <v>1</v>
      </c>
      <c r="F27" s="2">
        <v>40000</v>
      </c>
      <c r="G27" t="s">
        <v>16</v>
      </c>
      <c r="H27" t="s">
        <v>17</v>
      </c>
      <c r="I27" t="s">
        <v>18</v>
      </c>
      <c r="J27" s="2">
        <v>40000</v>
      </c>
      <c r="L27">
        <f>COUNTIFS(deepseek_csv_20260421_b7a3a8[PaymentMethod], "Card")</f>
        <v>68</v>
      </c>
    </row>
    <row r="28" spans="1:12" x14ac:dyDescent="0.25">
      <c r="A28">
        <v>2027</v>
      </c>
      <c r="B28" s="1">
        <v>45685</v>
      </c>
      <c r="C28" t="s">
        <v>19</v>
      </c>
      <c r="D28" t="s">
        <v>49</v>
      </c>
      <c r="E28">
        <v>1</v>
      </c>
      <c r="F28" s="2">
        <v>55000</v>
      </c>
      <c r="G28" t="s">
        <v>21</v>
      </c>
      <c r="H28" t="s">
        <v>22</v>
      </c>
      <c r="I28" t="s">
        <v>23</v>
      </c>
      <c r="J28" s="2">
        <v>55000</v>
      </c>
      <c r="L28" t="s">
        <v>236</v>
      </c>
    </row>
    <row r="29" spans="1:12" x14ac:dyDescent="0.25">
      <c r="A29">
        <v>2028</v>
      </c>
      <c r="B29" s="1">
        <v>45685</v>
      </c>
      <c r="C29" t="s">
        <v>9</v>
      </c>
      <c r="D29" t="s">
        <v>50</v>
      </c>
      <c r="E29">
        <v>2</v>
      </c>
      <c r="F29" s="2">
        <v>30000</v>
      </c>
      <c r="G29" t="s">
        <v>25</v>
      </c>
      <c r="H29" t="s">
        <v>26</v>
      </c>
      <c r="I29" t="s">
        <v>13</v>
      </c>
      <c r="J29" s="2">
        <v>60000</v>
      </c>
      <c r="L29">
        <f>SUMIFS(deepseek_csv_20260421_b7a3a8[UnitsSold], D2:D201, "Laptop")</f>
        <v>2</v>
      </c>
    </row>
    <row r="30" spans="1:12" x14ac:dyDescent="0.25">
      <c r="A30">
        <v>2029</v>
      </c>
      <c r="B30" s="1">
        <v>45686</v>
      </c>
      <c r="C30" t="s">
        <v>14</v>
      </c>
      <c r="D30" t="s">
        <v>51</v>
      </c>
      <c r="E30">
        <v>3</v>
      </c>
      <c r="F30" s="2">
        <v>12000</v>
      </c>
      <c r="G30" t="s">
        <v>11</v>
      </c>
      <c r="H30" t="s">
        <v>12</v>
      </c>
      <c r="I30" t="s">
        <v>18</v>
      </c>
      <c r="J30" s="2">
        <v>36000</v>
      </c>
      <c r="L30" t="s">
        <v>237</v>
      </c>
    </row>
    <row r="31" spans="1:12" x14ac:dyDescent="0.25">
      <c r="A31">
        <v>2030</v>
      </c>
      <c r="B31" s="1">
        <v>45686</v>
      </c>
      <c r="C31" t="s">
        <v>19</v>
      </c>
      <c r="D31" t="s">
        <v>52</v>
      </c>
      <c r="E31">
        <v>1</v>
      </c>
      <c r="F31" s="2">
        <v>40000</v>
      </c>
      <c r="G31" t="s">
        <v>16</v>
      </c>
      <c r="H31" t="s">
        <v>17</v>
      </c>
      <c r="I31" t="s">
        <v>23</v>
      </c>
      <c r="J31" s="2">
        <v>40000</v>
      </c>
      <c r="L31">
        <f>AVERAGEIFS(deepseek_csv_20260421_b7a3a8[UnitsSold], deepseek_csv_20260421_b7a3a8[Region], "West")</f>
        <v>2.46</v>
      </c>
    </row>
    <row r="32" spans="1:12" x14ac:dyDescent="0.25">
      <c r="A32">
        <v>2031</v>
      </c>
      <c r="B32" s="1">
        <v>45687</v>
      </c>
      <c r="C32" t="s">
        <v>9</v>
      </c>
      <c r="D32" t="s">
        <v>53</v>
      </c>
      <c r="E32">
        <v>1</v>
      </c>
      <c r="F32" s="2">
        <v>25000</v>
      </c>
      <c r="G32" t="s">
        <v>21</v>
      </c>
      <c r="H32" t="s">
        <v>22</v>
      </c>
      <c r="I32" t="s">
        <v>13</v>
      </c>
      <c r="J32" s="2">
        <v>25000</v>
      </c>
      <c r="L32" t="s">
        <v>239</v>
      </c>
    </row>
    <row r="33" spans="1:12" x14ac:dyDescent="0.25">
      <c r="A33">
        <v>2032</v>
      </c>
      <c r="B33" s="1">
        <v>45687</v>
      </c>
      <c r="C33" t="s">
        <v>14</v>
      </c>
      <c r="D33" t="s">
        <v>54</v>
      </c>
      <c r="E33">
        <v>2</v>
      </c>
      <c r="F33" s="2">
        <v>15000</v>
      </c>
      <c r="G33" t="s">
        <v>25</v>
      </c>
      <c r="H33" t="s">
        <v>26</v>
      </c>
      <c r="I33" t="s">
        <v>18</v>
      </c>
      <c r="J33" s="2">
        <v>30000</v>
      </c>
      <c r="L33" s="2">
        <f>SUMIFS(deepseek_csv_20260421_b7a3a8[Revenue],deepseek_csv_20260421_b7a3a8[Region], "South")</f>
        <v>1672000</v>
      </c>
    </row>
    <row r="34" spans="1:12" x14ac:dyDescent="0.25">
      <c r="A34">
        <v>2033</v>
      </c>
      <c r="B34" s="1">
        <v>45688</v>
      </c>
      <c r="C34" t="s">
        <v>19</v>
      </c>
      <c r="D34" t="s">
        <v>55</v>
      </c>
      <c r="E34">
        <v>1</v>
      </c>
      <c r="F34" s="2">
        <v>15000</v>
      </c>
      <c r="G34" t="s">
        <v>11</v>
      </c>
      <c r="H34" t="s">
        <v>12</v>
      </c>
      <c r="I34" t="s">
        <v>23</v>
      </c>
      <c r="J34" s="2">
        <v>15000</v>
      </c>
      <c r="L34" t="s">
        <v>238</v>
      </c>
    </row>
    <row r="35" spans="1:12" x14ac:dyDescent="0.25">
      <c r="A35">
        <v>2034</v>
      </c>
      <c r="B35" s="1">
        <v>45688</v>
      </c>
      <c r="C35" t="s">
        <v>9</v>
      </c>
      <c r="D35" t="s">
        <v>56</v>
      </c>
      <c r="E35">
        <v>1</v>
      </c>
      <c r="F35" s="2">
        <v>22000</v>
      </c>
      <c r="G35" t="s">
        <v>16</v>
      </c>
      <c r="H35" t="s">
        <v>17</v>
      </c>
      <c r="I35" t="s">
        <v>13</v>
      </c>
      <c r="J35" s="2">
        <v>22000</v>
      </c>
      <c r="L35">
        <f>COUNTIFS(deepseek_csv_20260421_b7a3a8[ProductCategory], "Funiture", deepseek_csv_20260421_b7a3a8[UnitsSold], 1)</f>
        <v>0</v>
      </c>
    </row>
    <row r="36" spans="1:12" x14ac:dyDescent="0.25">
      <c r="A36">
        <v>2035</v>
      </c>
      <c r="B36" s="1">
        <v>45689</v>
      </c>
      <c r="C36" t="s">
        <v>14</v>
      </c>
      <c r="D36" t="s">
        <v>57</v>
      </c>
      <c r="E36">
        <v>4</v>
      </c>
      <c r="F36" s="2">
        <v>8000</v>
      </c>
      <c r="G36" t="s">
        <v>21</v>
      </c>
      <c r="H36" t="s">
        <v>22</v>
      </c>
      <c r="I36" t="s">
        <v>18</v>
      </c>
      <c r="J36" s="2">
        <v>32000</v>
      </c>
    </row>
    <row r="37" spans="1:12" x14ac:dyDescent="0.25">
      <c r="A37">
        <v>2036</v>
      </c>
      <c r="B37" s="1">
        <v>45689</v>
      </c>
      <c r="C37" t="s">
        <v>19</v>
      </c>
      <c r="D37" t="s">
        <v>58</v>
      </c>
      <c r="E37">
        <v>2</v>
      </c>
      <c r="F37" s="2">
        <v>12000</v>
      </c>
      <c r="G37" t="s">
        <v>25</v>
      </c>
      <c r="H37" t="s">
        <v>26</v>
      </c>
      <c r="I37" t="s">
        <v>23</v>
      </c>
      <c r="J37" s="2">
        <v>24000</v>
      </c>
    </row>
    <row r="38" spans="1:12" x14ac:dyDescent="0.25">
      <c r="A38">
        <v>2037</v>
      </c>
      <c r="B38" s="1">
        <v>45690</v>
      </c>
      <c r="C38" t="s">
        <v>9</v>
      </c>
      <c r="D38" t="s">
        <v>59</v>
      </c>
      <c r="E38">
        <v>10</v>
      </c>
      <c r="F38" s="2">
        <v>2000</v>
      </c>
      <c r="G38" t="s">
        <v>11</v>
      </c>
      <c r="H38" t="s">
        <v>12</v>
      </c>
      <c r="I38" t="s">
        <v>13</v>
      </c>
      <c r="J38" s="2">
        <v>20000</v>
      </c>
    </row>
    <row r="39" spans="1:12" x14ac:dyDescent="0.25">
      <c r="A39">
        <v>2038</v>
      </c>
      <c r="B39" s="1">
        <v>45690</v>
      </c>
      <c r="C39" t="s">
        <v>14</v>
      </c>
      <c r="D39" t="s">
        <v>60</v>
      </c>
      <c r="E39">
        <v>3</v>
      </c>
      <c r="F39" s="2">
        <v>5000</v>
      </c>
      <c r="G39" t="s">
        <v>16</v>
      </c>
      <c r="H39" t="s">
        <v>17</v>
      </c>
      <c r="I39" t="s">
        <v>18</v>
      </c>
      <c r="J39" s="2">
        <v>15000</v>
      </c>
    </row>
    <row r="40" spans="1:12" x14ac:dyDescent="0.25">
      <c r="A40">
        <v>2039</v>
      </c>
      <c r="B40" s="1">
        <v>45691</v>
      </c>
      <c r="C40" t="s">
        <v>19</v>
      </c>
      <c r="D40" t="s">
        <v>61</v>
      </c>
      <c r="E40">
        <v>1</v>
      </c>
      <c r="F40" s="2">
        <v>25000</v>
      </c>
      <c r="G40" t="s">
        <v>21</v>
      </c>
      <c r="H40" t="s">
        <v>22</v>
      </c>
      <c r="I40" t="s">
        <v>23</v>
      </c>
      <c r="J40" s="2">
        <v>25000</v>
      </c>
    </row>
    <row r="41" spans="1:12" x14ac:dyDescent="0.25">
      <c r="A41">
        <v>2040</v>
      </c>
      <c r="B41" s="1">
        <v>45691</v>
      </c>
      <c r="C41" t="s">
        <v>9</v>
      </c>
      <c r="D41" t="s">
        <v>62</v>
      </c>
      <c r="E41">
        <v>5</v>
      </c>
      <c r="F41" s="2">
        <v>8000</v>
      </c>
      <c r="G41" t="s">
        <v>25</v>
      </c>
      <c r="H41" t="s">
        <v>26</v>
      </c>
      <c r="I41" t="s">
        <v>13</v>
      </c>
      <c r="J41" s="2">
        <v>40000</v>
      </c>
    </row>
    <row r="42" spans="1:12" x14ac:dyDescent="0.25">
      <c r="A42">
        <v>2041</v>
      </c>
      <c r="B42" s="1">
        <v>45692</v>
      </c>
      <c r="C42" t="s">
        <v>14</v>
      </c>
      <c r="D42" t="s">
        <v>63</v>
      </c>
      <c r="E42">
        <v>6</v>
      </c>
      <c r="F42" s="2">
        <v>3000</v>
      </c>
      <c r="G42" t="s">
        <v>11</v>
      </c>
      <c r="H42" t="s">
        <v>12</v>
      </c>
      <c r="I42" t="s">
        <v>18</v>
      </c>
      <c r="J42" s="2">
        <v>18000</v>
      </c>
    </row>
    <row r="43" spans="1:12" x14ac:dyDescent="0.25">
      <c r="A43">
        <v>2042</v>
      </c>
      <c r="B43" s="1">
        <v>45692</v>
      </c>
      <c r="C43" t="s">
        <v>19</v>
      </c>
      <c r="D43" t="s">
        <v>64</v>
      </c>
      <c r="E43">
        <v>1</v>
      </c>
      <c r="F43" s="2">
        <v>18000</v>
      </c>
      <c r="G43" t="s">
        <v>16</v>
      </c>
      <c r="H43" t="s">
        <v>17</v>
      </c>
      <c r="I43" t="s">
        <v>23</v>
      </c>
      <c r="J43" s="2">
        <v>18000</v>
      </c>
    </row>
    <row r="44" spans="1:12" x14ac:dyDescent="0.25">
      <c r="A44">
        <v>2043</v>
      </c>
      <c r="B44" s="1">
        <v>45693</v>
      </c>
      <c r="C44" t="s">
        <v>9</v>
      </c>
      <c r="D44" t="s">
        <v>65</v>
      </c>
      <c r="E44">
        <v>2</v>
      </c>
      <c r="F44" s="2">
        <v>15000</v>
      </c>
      <c r="G44" t="s">
        <v>21</v>
      </c>
      <c r="H44" t="s">
        <v>22</v>
      </c>
      <c r="I44" t="s">
        <v>13</v>
      </c>
      <c r="J44" s="2">
        <v>30000</v>
      </c>
    </row>
    <row r="45" spans="1:12" x14ac:dyDescent="0.25">
      <c r="A45">
        <v>2044</v>
      </c>
      <c r="B45" s="1">
        <v>45693</v>
      </c>
      <c r="C45" t="s">
        <v>14</v>
      </c>
      <c r="D45" t="s">
        <v>66</v>
      </c>
      <c r="E45">
        <v>5</v>
      </c>
      <c r="F45" s="2">
        <v>4000</v>
      </c>
      <c r="G45" t="s">
        <v>25</v>
      </c>
      <c r="H45" t="s">
        <v>26</v>
      </c>
      <c r="I45" t="s">
        <v>18</v>
      </c>
      <c r="J45" s="2">
        <v>20000</v>
      </c>
    </row>
    <row r="46" spans="1:12" x14ac:dyDescent="0.25">
      <c r="A46">
        <v>2045</v>
      </c>
      <c r="B46" s="1">
        <v>45694</v>
      </c>
      <c r="C46" t="s">
        <v>19</v>
      </c>
      <c r="D46" t="s">
        <v>67</v>
      </c>
      <c r="E46">
        <v>1</v>
      </c>
      <c r="F46" s="2">
        <v>10000</v>
      </c>
      <c r="G46" t="s">
        <v>11</v>
      </c>
      <c r="H46" t="s">
        <v>12</v>
      </c>
      <c r="I46" t="s">
        <v>23</v>
      </c>
      <c r="J46" s="2">
        <v>10000</v>
      </c>
    </row>
    <row r="47" spans="1:12" x14ac:dyDescent="0.25">
      <c r="A47">
        <v>2046</v>
      </c>
      <c r="B47" s="1">
        <v>45694</v>
      </c>
      <c r="C47" t="s">
        <v>9</v>
      </c>
      <c r="D47" t="s">
        <v>68</v>
      </c>
      <c r="E47">
        <v>1</v>
      </c>
      <c r="F47" s="2">
        <v>55000</v>
      </c>
      <c r="G47" t="s">
        <v>16</v>
      </c>
      <c r="H47" t="s">
        <v>17</v>
      </c>
      <c r="I47" t="s">
        <v>13</v>
      </c>
      <c r="J47" s="2">
        <v>55000</v>
      </c>
    </row>
    <row r="48" spans="1:12" x14ac:dyDescent="0.25">
      <c r="A48">
        <v>2047</v>
      </c>
      <c r="B48" s="1">
        <v>45695</v>
      </c>
      <c r="C48" t="s">
        <v>14</v>
      </c>
      <c r="D48" t="s">
        <v>69</v>
      </c>
      <c r="E48">
        <v>4</v>
      </c>
      <c r="F48" s="2">
        <v>6000</v>
      </c>
      <c r="G48" t="s">
        <v>21</v>
      </c>
      <c r="H48" t="s">
        <v>22</v>
      </c>
      <c r="I48" t="s">
        <v>18</v>
      </c>
      <c r="J48" s="2">
        <v>24000</v>
      </c>
    </row>
    <row r="49" spans="1:10" x14ac:dyDescent="0.25">
      <c r="A49">
        <v>2048</v>
      </c>
      <c r="B49" s="1">
        <v>45695</v>
      </c>
      <c r="C49" t="s">
        <v>19</v>
      </c>
      <c r="D49" t="s">
        <v>70</v>
      </c>
      <c r="E49">
        <v>1</v>
      </c>
      <c r="F49" s="2">
        <v>35000</v>
      </c>
      <c r="G49" t="s">
        <v>25</v>
      </c>
      <c r="H49" t="s">
        <v>26</v>
      </c>
      <c r="I49" t="s">
        <v>23</v>
      </c>
      <c r="J49" s="2">
        <v>35000</v>
      </c>
    </row>
    <row r="50" spans="1:10" x14ac:dyDescent="0.25">
      <c r="A50">
        <v>2049</v>
      </c>
      <c r="B50" s="1">
        <v>45696</v>
      </c>
      <c r="C50" t="s">
        <v>9</v>
      </c>
      <c r="D50" t="s">
        <v>71</v>
      </c>
      <c r="E50">
        <v>1</v>
      </c>
      <c r="F50" s="2">
        <v>20000</v>
      </c>
      <c r="G50" t="s">
        <v>11</v>
      </c>
      <c r="H50" t="s">
        <v>12</v>
      </c>
      <c r="I50" t="s">
        <v>13</v>
      </c>
      <c r="J50" s="2">
        <v>20000</v>
      </c>
    </row>
    <row r="51" spans="1:10" x14ac:dyDescent="0.25">
      <c r="A51">
        <v>2050</v>
      </c>
      <c r="B51" s="1">
        <v>45696</v>
      </c>
      <c r="C51" t="s">
        <v>14</v>
      </c>
      <c r="D51" t="s">
        <v>72</v>
      </c>
      <c r="E51">
        <v>3</v>
      </c>
      <c r="F51" s="2">
        <v>7000</v>
      </c>
      <c r="G51" t="s">
        <v>16</v>
      </c>
      <c r="H51" t="s">
        <v>17</v>
      </c>
      <c r="I51" t="s">
        <v>18</v>
      </c>
      <c r="J51" s="2">
        <v>21000</v>
      </c>
    </row>
    <row r="52" spans="1:10" x14ac:dyDescent="0.25">
      <c r="A52">
        <v>2051</v>
      </c>
      <c r="B52" s="1">
        <v>45697</v>
      </c>
      <c r="C52" t="s">
        <v>19</v>
      </c>
      <c r="D52" t="s">
        <v>73</v>
      </c>
      <c r="E52">
        <v>2</v>
      </c>
      <c r="F52" s="2">
        <v>25000</v>
      </c>
      <c r="G52" t="s">
        <v>21</v>
      </c>
      <c r="H52" t="s">
        <v>22</v>
      </c>
      <c r="I52" t="s">
        <v>23</v>
      </c>
      <c r="J52" s="2">
        <v>50000</v>
      </c>
    </row>
    <row r="53" spans="1:10" x14ac:dyDescent="0.25">
      <c r="A53">
        <v>2052</v>
      </c>
      <c r="B53" s="1">
        <v>45697</v>
      </c>
      <c r="C53" t="s">
        <v>9</v>
      </c>
      <c r="D53" t="s">
        <v>74</v>
      </c>
      <c r="E53">
        <v>1</v>
      </c>
      <c r="F53" s="2">
        <v>180000</v>
      </c>
      <c r="G53" t="s">
        <v>25</v>
      </c>
      <c r="H53" t="s">
        <v>26</v>
      </c>
      <c r="I53" t="s">
        <v>13</v>
      </c>
      <c r="J53" s="2">
        <v>180000</v>
      </c>
    </row>
    <row r="54" spans="1:10" x14ac:dyDescent="0.25">
      <c r="A54">
        <v>2053</v>
      </c>
      <c r="B54" s="1">
        <v>45698</v>
      </c>
      <c r="C54" t="s">
        <v>14</v>
      </c>
      <c r="D54" t="s">
        <v>75</v>
      </c>
      <c r="E54">
        <v>5</v>
      </c>
      <c r="F54" s="2">
        <v>5000</v>
      </c>
      <c r="G54" t="s">
        <v>11</v>
      </c>
      <c r="H54" t="s">
        <v>12</v>
      </c>
      <c r="I54" t="s">
        <v>18</v>
      </c>
      <c r="J54" s="2">
        <v>25000</v>
      </c>
    </row>
    <row r="55" spans="1:10" x14ac:dyDescent="0.25">
      <c r="A55">
        <v>2054</v>
      </c>
      <c r="B55" s="1">
        <v>45698</v>
      </c>
      <c r="C55" t="s">
        <v>19</v>
      </c>
      <c r="D55" t="s">
        <v>76</v>
      </c>
      <c r="E55">
        <v>2</v>
      </c>
      <c r="F55" s="2">
        <v>12000</v>
      </c>
      <c r="G55" t="s">
        <v>16</v>
      </c>
      <c r="H55" t="s">
        <v>17</v>
      </c>
      <c r="I55" t="s">
        <v>23</v>
      </c>
      <c r="J55" s="2">
        <v>24000</v>
      </c>
    </row>
    <row r="56" spans="1:10" x14ac:dyDescent="0.25">
      <c r="A56">
        <v>2055</v>
      </c>
      <c r="B56" s="1">
        <v>45699</v>
      </c>
      <c r="C56" t="s">
        <v>9</v>
      </c>
      <c r="D56" t="s">
        <v>77</v>
      </c>
      <c r="E56">
        <v>3</v>
      </c>
      <c r="F56" s="2">
        <v>15000</v>
      </c>
      <c r="G56" t="s">
        <v>21</v>
      </c>
      <c r="H56" t="s">
        <v>22</v>
      </c>
      <c r="I56" t="s">
        <v>13</v>
      </c>
      <c r="J56" s="2">
        <v>45000</v>
      </c>
    </row>
    <row r="57" spans="1:10" x14ac:dyDescent="0.25">
      <c r="A57">
        <v>2056</v>
      </c>
      <c r="B57" s="1">
        <v>45699</v>
      </c>
      <c r="C57" t="s">
        <v>14</v>
      </c>
      <c r="D57" t="s">
        <v>78</v>
      </c>
      <c r="E57">
        <v>10</v>
      </c>
      <c r="F57" s="2">
        <v>2000</v>
      </c>
      <c r="G57" t="s">
        <v>25</v>
      </c>
      <c r="H57" t="s">
        <v>26</v>
      </c>
      <c r="I57" t="s">
        <v>18</v>
      </c>
      <c r="J57" s="2">
        <v>20000</v>
      </c>
    </row>
    <row r="58" spans="1:10" x14ac:dyDescent="0.25">
      <c r="A58">
        <v>2057</v>
      </c>
      <c r="B58" s="1">
        <v>45700</v>
      </c>
      <c r="C58" t="s">
        <v>19</v>
      </c>
      <c r="D58" t="s">
        <v>79</v>
      </c>
      <c r="E58">
        <v>2</v>
      </c>
      <c r="F58" s="2">
        <v>8000</v>
      </c>
      <c r="G58" t="s">
        <v>11</v>
      </c>
      <c r="H58" t="s">
        <v>12</v>
      </c>
      <c r="I58" t="s">
        <v>23</v>
      </c>
      <c r="J58" s="2">
        <v>16000</v>
      </c>
    </row>
    <row r="59" spans="1:10" x14ac:dyDescent="0.25">
      <c r="A59">
        <v>2058</v>
      </c>
      <c r="B59" s="1">
        <v>45700</v>
      </c>
      <c r="C59" t="s">
        <v>9</v>
      </c>
      <c r="D59" t="s">
        <v>80</v>
      </c>
      <c r="E59">
        <v>1</v>
      </c>
      <c r="F59" s="2">
        <v>45000</v>
      </c>
      <c r="G59" t="s">
        <v>16</v>
      </c>
      <c r="H59" t="s">
        <v>17</v>
      </c>
      <c r="I59" t="s">
        <v>13</v>
      </c>
      <c r="J59" s="2">
        <v>45000</v>
      </c>
    </row>
    <row r="60" spans="1:10" x14ac:dyDescent="0.25">
      <c r="A60">
        <v>2059</v>
      </c>
      <c r="B60" s="1">
        <v>45701</v>
      </c>
      <c r="C60" t="s">
        <v>14</v>
      </c>
      <c r="D60" t="s">
        <v>81</v>
      </c>
      <c r="E60">
        <v>4</v>
      </c>
      <c r="F60" s="2">
        <v>8000</v>
      </c>
      <c r="G60" t="s">
        <v>21</v>
      </c>
      <c r="H60" t="s">
        <v>22</v>
      </c>
      <c r="I60" t="s">
        <v>18</v>
      </c>
      <c r="J60" s="2">
        <v>32000</v>
      </c>
    </row>
    <row r="61" spans="1:10" x14ac:dyDescent="0.25">
      <c r="A61">
        <v>2060</v>
      </c>
      <c r="B61" s="1">
        <v>45701</v>
      </c>
      <c r="C61" t="s">
        <v>19</v>
      </c>
      <c r="D61" t="s">
        <v>82</v>
      </c>
      <c r="E61">
        <v>3</v>
      </c>
      <c r="F61" s="2">
        <v>20000</v>
      </c>
      <c r="G61" t="s">
        <v>25</v>
      </c>
      <c r="H61" t="s">
        <v>26</v>
      </c>
      <c r="I61" t="s">
        <v>23</v>
      </c>
      <c r="J61" s="2">
        <v>60000</v>
      </c>
    </row>
    <row r="62" spans="1:10" x14ac:dyDescent="0.25">
      <c r="A62">
        <v>2061</v>
      </c>
      <c r="B62" s="1">
        <v>45702</v>
      </c>
      <c r="C62" t="s">
        <v>9</v>
      </c>
      <c r="D62" t="s">
        <v>83</v>
      </c>
      <c r="E62">
        <v>4</v>
      </c>
      <c r="F62" s="2">
        <v>8000</v>
      </c>
      <c r="G62" t="s">
        <v>11</v>
      </c>
      <c r="H62" t="s">
        <v>12</v>
      </c>
      <c r="I62" t="s">
        <v>13</v>
      </c>
      <c r="J62" s="2">
        <v>32000</v>
      </c>
    </row>
    <row r="63" spans="1:10" x14ac:dyDescent="0.25">
      <c r="A63">
        <v>2062</v>
      </c>
      <c r="B63" s="1">
        <v>45702</v>
      </c>
      <c r="C63" t="s">
        <v>14</v>
      </c>
      <c r="D63" t="s">
        <v>84</v>
      </c>
      <c r="E63">
        <v>6</v>
      </c>
      <c r="F63" s="2">
        <v>4000</v>
      </c>
      <c r="G63" t="s">
        <v>16</v>
      </c>
      <c r="H63" t="s">
        <v>17</v>
      </c>
      <c r="I63" t="s">
        <v>18</v>
      </c>
      <c r="J63" s="2">
        <v>24000</v>
      </c>
    </row>
    <row r="64" spans="1:10" x14ac:dyDescent="0.25">
      <c r="A64">
        <v>2063</v>
      </c>
      <c r="B64" s="1">
        <v>45703</v>
      </c>
      <c r="C64" t="s">
        <v>19</v>
      </c>
      <c r="D64" t="s">
        <v>85</v>
      </c>
      <c r="E64">
        <v>1</v>
      </c>
      <c r="F64" s="2">
        <v>45000</v>
      </c>
      <c r="G64" t="s">
        <v>21</v>
      </c>
      <c r="H64" t="s">
        <v>22</v>
      </c>
      <c r="I64" t="s">
        <v>23</v>
      </c>
      <c r="J64" s="2">
        <v>45000</v>
      </c>
    </row>
    <row r="65" spans="1:10" x14ac:dyDescent="0.25">
      <c r="A65">
        <v>2064</v>
      </c>
      <c r="B65" s="1">
        <v>45703</v>
      </c>
      <c r="C65" t="s">
        <v>9</v>
      </c>
      <c r="D65" t="s">
        <v>86</v>
      </c>
      <c r="E65">
        <v>1</v>
      </c>
      <c r="F65" s="2">
        <v>25000</v>
      </c>
      <c r="G65" t="s">
        <v>25</v>
      </c>
      <c r="H65" t="s">
        <v>26</v>
      </c>
      <c r="I65" t="s">
        <v>13</v>
      </c>
      <c r="J65" s="2">
        <v>25000</v>
      </c>
    </row>
    <row r="66" spans="1:10" x14ac:dyDescent="0.25">
      <c r="A66">
        <v>2065</v>
      </c>
      <c r="B66" s="1">
        <v>45704</v>
      </c>
      <c r="C66" t="s">
        <v>14</v>
      </c>
      <c r="D66" t="s">
        <v>87</v>
      </c>
      <c r="E66">
        <v>1</v>
      </c>
      <c r="F66" s="2">
        <v>35000</v>
      </c>
      <c r="G66" t="s">
        <v>11</v>
      </c>
      <c r="H66" t="s">
        <v>12</v>
      </c>
      <c r="I66" t="s">
        <v>18</v>
      </c>
      <c r="J66" s="2">
        <v>35000</v>
      </c>
    </row>
    <row r="67" spans="1:10" x14ac:dyDescent="0.25">
      <c r="A67">
        <v>2066</v>
      </c>
      <c r="B67" s="1">
        <v>45704</v>
      </c>
      <c r="C67" t="s">
        <v>19</v>
      </c>
      <c r="D67" t="s">
        <v>88</v>
      </c>
      <c r="E67">
        <v>1</v>
      </c>
      <c r="F67" s="2">
        <v>65000</v>
      </c>
      <c r="G67" t="s">
        <v>16</v>
      </c>
      <c r="H67" t="s">
        <v>17</v>
      </c>
      <c r="I67" t="s">
        <v>23</v>
      </c>
      <c r="J67" s="2">
        <v>65000</v>
      </c>
    </row>
    <row r="68" spans="1:10" x14ac:dyDescent="0.25">
      <c r="A68">
        <v>2067</v>
      </c>
      <c r="B68" s="1">
        <v>45705</v>
      </c>
      <c r="C68" t="s">
        <v>9</v>
      </c>
      <c r="D68" t="s">
        <v>89</v>
      </c>
      <c r="E68">
        <v>1</v>
      </c>
      <c r="F68" s="2">
        <v>250000</v>
      </c>
      <c r="G68" t="s">
        <v>21</v>
      </c>
      <c r="H68" t="s">
        <v>22</v>
      </c>
      <c r="I68" t="s">
        <v>13</v>
      </c>
      <c r="J68" s="2">
        <v>250000</v>
      </c>
    </row>
    <row r="69" spans="1:10" x14ac:dyDescent="0.25">
      <c r="A69">
        <v>2068</v>
      </c>
      <c r="B69" s="1">
        <v>45705</v>
      </c>
      <c r="C69" t="s">
        <v>14</v>
      </c>
      <c r="D69" t="s">
        <v>90</v>
      </c>
      <c r="E69">
        <v>3</v>
      </c>
      <c r="F69" s="2">
        <v>10000</v>
      </c>
      <c r="G69" t="s">
        <v>25</v>
      </c>
      <c r="H69" t="s">
        <v>26</v>
      </c>
      <c r="I69" t="s">
        <v>18</v>
      </c>
      <c r="J69" s="2">
        <v>30000</v>
      </c>
    </row>
    <row r="70" spans="1:10" x14ac:dyDescent="0.25">
      <c r="A70">
        <v>2069</v>
      </c>
      <c r="B70" s="1">
        <v>45706</v>
      </c>
      <c r="C70" t="s">
        <v>19</v>
      </c>
      <c r="D70" t="s">
        <v>91</v>
      </c>
      <c r="E70">
        <v>2</v>
      </c>
      <c r="F70" s="2">
        <v>8000</v>
      </c>
      <c r="G70" t="s">
        <v>11</v>
      </c>
      <c r="H70" t="s">
        <v>12</v>
      </c>
      <c r="I70" t="s">
        <v>23</v>
      </c>
      <c r="J70" s="2">
        <v>16000</v>
      </c>
    </row>
    <row r="71" spans="1:10" x14ac:dyDescent="0.25">
      <c r="A71">
        <v>2070</v>
      </c>
      <c r="B71" s="1">
        <v>45706</v>
      </c>
      <c r="C71" t="s">
        <v>9</v>
      </c>
      <c r="D71" t="s">
        <v>92</v>
      </c>
      <c r="E71">
        <v>2</v>
      </c>
      <c r="F71" s="2">
        <v>12000</v>
      </c>
      <c r="G71" t="s">
        <v>16</v>
      </c>
      <c r="H71" t="s">
        <v>17</v>
      </c>
      <c r="I71" t="s">
        <v>13</v>
      </c>
      <c r="J71" s="2">
        <v>24000</v>
      </c>
    </row>
    <row r="72" spans="1:10" x14ac:dyDescent="0.25">
      <c r="A72">
        <v>2071</v>
      </c>
      <c r="B72" s="1">
        <v>45707</v>
      </c>
      <c r="C72" t="s">
        <v>14</v>
      </c>
      <c r="D72" t="s">
        <v>93</v>
      </c>
      <c r="E72">
        <v>5</v>
      </c>
      <c r="F72" s="2">
        <v>5000</v>
      </c>
      <c r="G72" t="s">
        <v>21</v>
      </c>
      <c r="H72" t="s">
        <v>22</v>
      </c>
      <c r="I72" t="s">
        <v>18</v>
      </c>
      <c r="J72" s="2">
        <v>25000</v>
      </c>
    </row>
    <row r="73" spans="1:10" x14ac:dyDescent="0.25">
      <c r="A73">
        <v>2072</v>
      </c>
      <c r="B73" s="1">
        <v>45707</v>
      </c>
      <c r="C73" t="s">
        <v>19</v>
      </c>
      <c r="D73" t="s">
        <v>94</v>
      </c>
      <c r="E73">
        <v>4</v>
      </c>
      <c r="F73" s="2">
        <v>7000</v>
      </c>
      <c r="G73" t="s">
        <v>25</v>
      </c>
      <c r="H73" t="s">
        <v>26</v>
      </c>
      <c r="I73" t="s">
        <v>23</v>
      </c>
      <c r="J73" s="2">
        <v>28000</v>
      </c>
    </row>
    <row r="74" spans="1:10" x14ac:dyDescent="0.25">
      <c r="A74">
        <v>2073</v>
      </c>
      <c r="B74" s="1">
        <v>45708</v>
      </c>
      <c r="C74" t="s">
        <v>9</v>
      </c>
      <c r="D74" t="s">
        <v>95</v>
      </c>
      <c r="E74">
        <v>1</v>
      </c>
      <c r="F74" s="2">
        <v>150000</v>
      </c>
      <c r="G74" t="s">
        <v>11</v>
      </c>
      <c r="H74" t="s">
        <v>12</v>
      </c>
      <c r="I74" t="s">
        <v>13</v>
      </c>
      <c r="J74" s="2">
        <v>150000</v>
      </c>
    </row>
    <row r="75" spans="1:10" x14ac:dyDescent="0.25">
      <c r="A75">
        <v>2074</v>
      </c>
      <c r="B75" s="1">
        <v>45708</v>
      </c>
      <c r="C75" t="s">
        <v>14</v>
      </c>
      <c r="D75" t="s">
        <v>96</v>
      </c>
      <c r="E75">
        <v>6</v>
      </c>
      <c r="F75" s="2">
        <v>4000</v>
      </c>
      <c r="G75" t="s">
        <v>16</v>
      </c>
      <c r="H75" t="s">
        <v>17</v>
      </c>
      <c r="I75" t="s">
        <v>18</v>
      </c>
      <c r="J75" s="2">
        <v>24000</v>
      </c>
    </row>
    <row r="76" spans="1:10" x14ac:dyDescent="0.25">
      <c r="A76">
        <v>2075</v>
      </c>
      <c r="B76" s="1">
        <v>45709</v>
      </c>
      <c r="C76" t="s">
        <v>19</v>
      </c>
      <c r="D76" t="s">
        <v>97</v>
      </c>
      <c r="E76">
        <v>2</v>
      </c>
      <c r="F76" s="2">
        <v>20000</v>
      </c>
      <c r="G76" t="s">
        <v>21</v>
      </c>
      <c r="H76" t="s">
        <v>22</v>
      </c>
      <c r="I76" t="s">
        <v>23</v>
      </c>
      <c r="J76" s="2">
        <v>40000</v>
      </c>
    </row>
    <row r="77" spans="1:10" x14ac:dyDescent="0.25">
      <c r="A77">
        <v>2076</v>
      </c>
      <c r="B77" s="1">
        <v>45709</v>
      </c>
      <c r="C77" t="s">
        <v>9</v>
      </c>
      <c r="D77" t="s">
        <v>98</v>
      </c>
      <c r="E77">
        <v>3</v>
      </c>
      <c r="F77" s="2">
        <v>6000</v>
      </c>
      <c r="G77" t="s">
        <v>25</v>
      </c>
      <c r="H77" t="s">
        <v>26</v>
      </c>
      <c r="I77" t="s">
        <v>13</v>
      </c>
      <c r="J77" s="2">
        <v>18000</v>
      </c>
    </row>
    <row r="78" spans="1:10" x14ac:dyDescent="0.25">
      <c r="A78">
        <v>2077</v>
      </c>
      <c r="B78" s="1">
        <v>45710</v>
      </c>
      <c r="C78" t="s">
        <v>14</v>
      </c>
      <c r="D78" t="s">
        <v>99</v>
      </c>
      <c r="E78">
        <v>2</v>
      </c>
      <c r="F78" s="2">
        <v>12000</v>
      </c>
      <c r="G78" t="s">
        <v>11</v>
      </c>
      <c r="H78" t="s">
        <v>12</v>
      </c>
      <c r="I78" t="s">
        <v>18</v>
      </c>
      <c r="J78" s="2">
        <v>24000</v>
      </c>
    </row>
    <row r="79" spans="1:10" x14ac:dyDescent="0.25">
      <c r="A79">
        <v>2078</v>
      </c>
      <c r="B79" s="1">
        <v>45710</v>
      </c>
      <c r="C79" t="s">
        <v>19</v>
      </c>
      <c r="D79" t="s">
        <v>100</v>
      </c>
      <c r="E79">
        <v>5</v>
      </c>
      <c r="F79" s="2">
        <v>3000</v>
      </c>
      <c r="G79" t="s">
        <v>16</v>
      </c>
      <c r="H79" t="s">
        <v>17</v>
      </c>
      <c r="I79" t="s">
        <v>23</v>
      </c>
      <c r="J79" s="2">
        <v>15000</v>
      </c>
    </row>
    <row r="80" spans="1:10" x14ac:dyDescent="0.25">
      <c r="A80">
        <v>2079</v>
      </c>
      <c r="B80" s="1">
        <v>45711</v>
      </c>
      <c r="C80" t="s">
        <v>9</v>
      </c>
      <c r="D80" t="s">
        <v>101</v>
      </c>
      <c r="E80">
        <v>1</v>
      </c>
      <c r="F80" s="2">
        <v>15000</v>
      </c>
      <c r="G80" t="s">
        <v>21</v>
      </c>
      <c r="H80" t="s">
        <v>22</v>
      </c>
      <c r="I80" t="s">
        <v>13</v>
      </c>
      <c r="J80" s="2">
        <v>15000</v>
      </c>
    </row>
    <row r="81" spans="1:10" x14ac:dyDescent="0.25">
      <c r="A81">
        <v>2080</v>
      </c>
      <c r="B81" s="1">
        <v>45711</v>
      </c>
      <c r="C81" t="s">
        <v>14</v>
      </c>
      <c r="D81" t="s">
        <v>102</v>
      </c>
      <c r="E81">
        <v>1</v>
      </c>
      <c r="F81" s="2">
        <v>25000</v>
      </c>
      <c r="G81" t="s">
        <v>25</v>
      </c>
      <c r="H81" t="s">
        <v>26</v>
      </c>
      <c r="I81" t="s">
        <v>18</v>
      </c>
      <c r="J81" s="2">
        <v>25000</v>
      </c>
    </row>
    <row r="82" spans="1:10" x14ac:dyDescent="0.25">
      <c r="A82">
        <v>2081</v>
      </c>
      <c r="B82" s="1">
        <v>45712</v>
      </c>
      <c r="C82" t="s">
        <v>19</v>
      </c>
      <c r="D82" t="s">
        <v>103</v>
      </c>
      <c r="E82">
        <v>2</v>
      </c>
      <c r="F82" s="2">
        <v>12000</v>
      </c>
      <c r="G82" t="s">
        <v>11</v>
      </c>
      <c r="H82" t="s">
        <v>12</v>
      </c>
      <c r="I82" t="s">
        <v>23</v>
      </c>
      <c r="J82" s="2">
        <v>24000</v>
      </c>
    </row>
    <row r="83" spans="1:10" x14ac:dyDescent="0.25">
      <c r="A83">
        <v>2082</v>
      </c>
      <c r="B83" s="1">
        <v>45712</v>
      </c>
      <c r="C83" t="s">
        <v>9</v>
      </c>
      <c r="D83" t="s">
        <v>104</v>
      </c>
      <c r="E83">
        <v>3</v>
      </c>
      <c r="F83" s="2">
        <v>8000</v>
      </c>
      <c r="G83" t="s">
        <v>16</v>
      </c>
      <c r="H83" t="s">
        <v>17</v>
      </c>
      <c r="I83" t="s">
        <v>13</v>
      </c>
      <c r="J83" s="2">
        <v>24000</v>
      </c>
    </row>
    <row r="84" spans="1:10" x14ac:dyDescent="0.25">
      <c r="A84">
        <v>2083</v>
      </c>
      <c r="B84" s="1">
        <v>45713</v>
      </c>
      <c r="C84" t="s">
        <v>14</v>
      </c>
      <c r="D84" t="s">
        <v>105</v>
      </c>
      <c r="E84">
        <v>1</v>
      </c>
      <c r="F84" s="2">
        <v>18000</v>
      </c>
      <c r="G84" t="s">
        <v>21</v>
      </c>
      <c r="H84" t="s">
        <v>22</v>
      </c>
      <c r="I84" t="s">
        <v>18</v>
      </c>
      <c r="J84" s="2">
        <v>18000</v>
      </c>
    </row>
    <row r="85" spans="1:10" x14ac:dyDescent="0.25">
      <c r="A85">
        <v>2084</v>
      </c>
      <c r="B85" s="1">
        <v>45713</v>
      </c>
      <c r="C85" t="s">
        <v>19</v>
      </c>
      <c r="D85" t="s">
        <v>106</v>
      </c>
      <c r="E85">
        <v>2</v>
      </c>
      <c r="F85" s="2">
        <v>10000</v>
      </c>
      <c r="G85" t="s">
        <v>25</v>
      </c>
      <c r="H85" t="s">
        <v>26</v>
      </c>
      <c r="I85" t="s">
        <v>23</v>
      </c>
      <c r="J85" s="2">
        <v>20000</v>
      </c>
    </row>
    <row r="86" spans="1:10" x14ac:dyDescent="0.25">
      <c r="A86">
        <v>2085</v>
      </c>
      <c r="B86" s="1">
        <v>45714</v>
      </c>
      <c r="C86" t="s">
        <v>9</v>
      </c>
      <c r="D86" t="s">
        <v>107</v>
      </c>
      <c r="E86">
        <v>1</v>
      </c>
      <c r="F86" s="2">
        <v>25000</v>
      </c>
      <c r="G86" t="s">
        <v>11</v>
      </c>
      <c r="H86" t="s">
        <v>12</v>
      </c>
      <c r="I86" t="s">
        <v>13</v>
      </c>
      <c r="J86" s="2">
        <v>25000</v>
      </c>
    </row>
    <row r="87" spans="1:10" x14ac:dyDescent="0.25">
      <c r="A87">
        <v>2086</v>
      </c>
      <c r="B87" s="1">
        <v>45714</v>
      </c>
      <c r="C87" t="s">
        <v>14</v>
      </c>
      <c r="D87" t="s">
        <v>108</v>
      </c>
      <c r="E87">
        <v>3</v>
      </c>
      <c r="F87" s="2">
        <v>9000</v>
      </c>
      <c r="G87" t="s">
        <v>16</v>
      </c>
      <c r="H87" t="s">
        <v>17</v>
      </c>
      <c r="I87" t="s">
        <v>18</v>
      </c>
      <c r="J87" s="2">
        <v>27000</v>
      </c>
    </row>
    <row r="88" spans="1:10" x14ac:dyDescent="0.25">
      <c r="A88">
        <v>2087</v>
      </c>
      <c r="B88" s="1">
        <v>45715</v>
      </c>
      <c r="C88" t="s">
        <v>19</v>
      </c>
      <c r="D88" t="s">
        <v>109</v>
      </c>
      <c r="E88">
        <v>5</v>
      </c>
      <c r="F88" s="2">
        <v>2000</v>
      </c>
      <c r="G88" t="s">
        <v>21</v>
      </c>
      <c r="H88" t="s">
        <v>22</v>
      </c>
      <c r="I88" t="s">
        <v>23</v>
      </c>
      <c r="J88" s="2">
        <v>10000</v>
      </c>
    </row>
    <row r="89" spans="1:10" x14ac:dyDescent="0.25">
      <c r="A89">
        <v>2088</v>
      </c>
      <c r="B89" s="1">
        <v>45715</v>
      </c>
      <c r="C89" t="s">
        <v>9</v>
      </c>
      <c r="D89" t="s">
        <v>110</v>
      </c>
      <c r="E89">
        <v>6</v>
      </c>
      <c r="F89" s="2">
        <v>3000</v>
      </c>
      <c r="G89" t="s">
        <v>25</v>
      </c>
      <c r="H89" t="s">
        <v>26</v>
      </c>
      <c r="I89" t="s">
        <v>13</v>
      </c>
      <c r="J89" s="2">
        <v>18000</v>
      </c>
    </row>
    <row r="90" spans="1:10" x14ac:dyDescent="0.25">
      <c r="A90">
        <v>2089</v>
      </c>
      <c r="B90" s="1">
        <v>45716</v>
      </c>
      <c r="C90" t="s">
        <v>14</v>
      </c>
      <c r="D90" t="s">
        <v>111</v>
      </c>
      <c r="E90">
        <v>4</v>
      </c>
      <c r="F90" s="2">
        <v>5000</v>
      </c>
      <c r="G90" t="s">
        <v>11</v>
      </c>
      <c r="H90" t="s">
        <v>12</v>
      </c>
      <c r="I90" t="s">
        <v>18</v>
      </c>
      <c r="J90" s="2">
        <v>20000</v>
      </c>
    </row>
    <row r="91" spans="1:10" x14ac:dyDescent="0.25">
      <c r="A91">
        <v>2090</v>
      </c>
      <c r="B91" s="1">
        <v>45716</v>
      </c>
      <c r="C91" t="s">
        <v>19</v>
      </c>
      <c r="D91" t="s">
        <v>112</v>
      </c>
      <c r="E91">
        <v>2</v>
      </c>
      <c r="F91" s="2">
        <v>15000</v>
      </c>
      <c r="G91" t="s">
        <v>16</v>
      </c>
      <c r="H91" t="s">
        <v>17</v>
      </c>
      <c r="I91" t="s">
        <v>23</v>
      </c>
      <c r="J91" s="2">
        <v>30000</v>
      </c>
    </row>
    <row r="92" spans="1:10" x14ac:dyDescent="0.25">
      <c r="A92">
        <v>2091</v>
      </c>
      <c r="B92" s="1">
        <v>45717</v>
      </c>
      <c r="C92" t="s">
        <v>9</v>
      </c>
      <c r="D92" t="s">
        <v>113</v>
      </c>
      <c r="E92">
        <v>5</v>
      </c>
      <c r="F92" s="2">
        <v>4000</v>
      </c>
      <c r="G92" t="s">
        <v>21</v>
      </c>
      <c r="H92" t="s">
        <v>22</v>
      </c>
      <c r="I92" t="s">
        <v>13</v>
      </c>
      <c r="J92" s="2">
        <v>20000</v>
      </c>
    </row>
    <row r="93" spans="1:10" x14ac:dyDescent="0.25">
      <c r="A93">
        <v>2092</v>
      </c>
      <c r="B93" s="1">
        <v>45717</v>
      </c>
      <c r="C93" t="s">
        <v>14</v>
      </c>
      <c r="D93" t="s">
        <v>114</v>
      </c>
      <c r="E93">
        <v>2</v>
      </c>
      <c r="F93" s="2">
        <v>6000</v>
      </c>
      <c r="G93" t="s">
        <v>25</v>
      </c>
      <c r="H93" t="s">
        <v>26</v>
      </c>
      <c r="I93" t="s">
        <v>18</v>
      </c>
      <c r="J93" s="2">
        <v>12000</v>
      </c>
    </row>
    <row r="94" spans="1:10" x14ac:dyDescent="0.25">
      <c r="A94">
        <v>2093</v>
      </c>
      <c r="B94" s="1">
        <v>45718</v>
      </c>
      <c r="C94" t="s">
        <v>19</v>
      </c>
      <c r="D94" t="s">
        <v>115</v>
      </c>
      <c r="E94">
        <v>1</v>
      </c>
      <c r="F94" s="2">
        <v>18000</v>
      </c>
      <c r="G94" t="s">
        <v>11</v>
      </c>
      <c r="H94" t="s">
        <v>12</v>
      </c>
      <c r="I94" t="s">
        <v>23</v>
      </c>
      <c r="J94" s="2">
        <v>18000</v>
      </c>
    </row>
    <row r="95" spans="1:10" x14ac:dyDescent="0.25">
      <c r="A95">
        <v>2094</v>
      </c>
      <c r="B95" s="1">
        <v>45718</v>
      </c>
      <c r="C95" t="s">
        <v>9</v>
      </c>
      <c r="D95" t="s">
        <v>116</v>
      </c>
      <c r="E95">
        <v>1</v>
      </c>
      <c r="F95" s="2">
        <v>22000</v>
      </c>
      <c r="G95" t="s">
        <v>16</v>
      </c>
      <c r="H95" t="s">
        <v>17</v>
      </c>
      <c r="I95" t="s">
        <v>13</v>
      </c>
      <c r="J95" s="2">
        <v>22000</v>
      </c>
    </row>
    <row r="96" spans="1:10" x14ac:dyDescent="0.25">
      <c r="A96">
        <v>2095</v>
      </c>
      <c r="B96" s="1">
        <v>45719</v>
      </c>
      <c r="C96" t="s">
        <v>14</v>
      </c>
      <c r="D96" t="s">
        <v>117</v>
      </c>
      <c r="E96">
        <v>2</v>
      </c>
      <c r="F96" s="2">
        <v>25000</v>
      </c>
      <c r="G96" t="s">
        <v>21</v>
      </c>
      <c r="H96" t="s">
        <v>22</v>
      </c>
      <c r="I96" t="s">
        <v>18</v>
      </c>
      <c r="J96" s="2">
        <v>50000</v>
      </c>
    </row>
    <row r="97" spans="1:10" x14ac:dyDescent="0.25">
      <c r="A97">
        <v>2096</v>
      </c>
      <c r="B97" s="1">
        <v>45719</v>
      </c>
      <c r="C97" t="s">
        <v>19</v>
      </c>
      <c r="D97" t="s">
        <v>118</v>
      </c>
      <c r="E97">
        <v>3</v>
      </c>
      <c r="F97" s="2">
        <v>15000</v>
      </c>
      <c r="G97" t="s">
        <v>25</v>
      </c>
      <c r="H97" t="s">
        <v>26</v>
      </c>
      <c r="I97" t="s">
        <v>23</v>
      </c>
      <c r="J97" s="2">
        <v>45000</v>
      </c>
    </row>
    <row r="98" spans="1:10" x14ac:dyDescent="0.25">
      <c r="A98">
        <v>2097</v>
      </c>
      <c r="B98" s="1">
        <v>45720</v>
      </c>
      <c r="C98" t="s">
        <v>9</v>
      </c>
      <c r="D98" t="s">
        <v>119</v>
      </c>
      <c r="E98">
        <v>4</v>
      </c>
      <c r="F98" s="2">
        <v>3000</v>
      </c>
      <c r="G98" t="s">
        <v>11</v>
      </c>
      <c r="H98" t="s">
        <v>12</v>
      </c>
      <c r="I98" t="s">
        <v>13</v>
      </c>
      <c r="J98" s="2">
        <v>12000</v>
      </c>
    </row>
    <row r="99" spans="1:10" x14ac:dyDescent="0.25">
      <c r="A99">
        <v>2098</v>
      </c>
      <c r="B99" s="1">
        <v>45720</v>
      </c>
      <c r="C99" t="s">
        <v>14</v>
      </c>
      <c r="D99" t="s">
        <v>120</v>
      </c>
      <c r="E99">
        <v>2</v>
      </c>
      <c r="F99" s="2">
        <v>8000</v>
      </c>
      <c r="G99" t="s">
        <v>16</v>
      </c>
      <c r="H99" t="s">
        <v>17</v>
      </c>
      <c r="I99" t="s">
        <v>18</v>
      </c>
      <c r="J99" s="2">
        <v>16000</v>
      </c>
    </row>
    <row r="100" spans="1:10" x14ac:dyDescent="0.25">
      <c r="A100">
        <v>2099</v>
      </c>
      <c r="B100" s="1">
        <v>45721</v>
      </c>
      <c r="C100" t="s">
        <v>19</v>
      </c>
      <c r="D100" t="s">
        <v>121</v>
      </c>
      <c r="E100">
        <v>1</v>
      </c>
      <c r="F100" s="2">
        <v>25000</v>
      </c>
      <c r="G100" t="s">
        <v>21</v>
      </c>
      <c r="H100" t="s">
        <v>22</v>
      </c>
      <c r="I100" t="s">
        <v>23</v>
      </c>
      <c r="J100" s="2">
        <v>25000</v>
      </c>
    </row>
    <row r="101" spans="1:10" x14ac:dyDescent="0.25">
      <c r="A101">
        <v>2100</v>
      </c>
      <c r="B101" s="1">
        <v>45721</v>
      </c>
      <c r="C101" t="s">
        <v>9</v>
      </c>
      <c r="D101" t="s">
        <v>122</v>
      </c>
      <c r="E101">
        <v>1</v>
      </c>
      <c r="F101" s="2">
        <v>85000</v>
      </c>
      <c r="G101" t="s">
        <v>25</v>
      </c>
      <c r="H101" t="s">
        <v>26</v>
      </c>
      <c r="I101" t="s">
        <v>13</v>
      </c>
      <c r="J101" s="2">
        <v>85000</v>
      </c>
    </row>
    <row r="102" spans="1:10" x14ac:dyDescent="0.25">
      <c r="A102">
        <v>2101</v>
      </c>
      <c r="B102" s="1">
        <v>45673</v>
      </c>
      <c r="C102" t="s">
        <v>9</v>
      </c>
      <c r="D102" t="s">
        <v>123</v>
      </c>
      <c r="E102">
        <v>2</v>
      </c>
      <c r="F102" s="2">
        <v>35000</v>
      </c>
      <c r="G102" t="s">
        <v>11</v>
      </c>
      <c r="H102" t="s">
        <v>12</v>
      </c>
      <c r="I102" t="s">
        <v>13</v>
      </c>
      <c r="J102" s="2">
        <v>70000</v>
      </c>
    </row>
    <row r="103" spans="1:10" x14ac:dyDescent="0.25">
      <c r="A103">
        <v>2102</v>
      </c>
      <c r="B103" s="1">
        <v>45674</v>
      </c>
      <c r="C103" t="s">
        <v>14</v>
      </c>
      <c r="D103" t="s">
        <v>124</v>
      </c>
      <c r="E103">
        <v>1</v>
      </c>
      <c r="F103" s="2">
        <v>28000</v>
      </c>
      <c r="G103" t="s">
        <v>16</v>
      </c>
      <c r="H103" t="s">
        <v>17</v>
      </c>
      <c r="I103" t="s">
        <v>18</v>
      </c>
      <c r="J103" s="2">
        <v>28000</v>
      </c>
    </row>
    <row r="104" spans="1:10" x14ac:dyDescent="0.25">
      <c r="A104">
        <v>2103</v>
      </c>
      <c r="B104" s="1">
        <v>45675</v>
      </c>
      <c r="C104" t="s">
        <v>19</v>
      </c>
      <c r="D104" t="s">
        <v>125</v>
      </c>
      <c r="E104">
        <v>3</v>
      </c>
      <c r="F104" s="2">
        <v>12000</v>
      </c>
      <c r="G104" t="s">
        <v>21</v>
      </c>
      <c r="H104" t="s">
        <v>22</v>
      </c>
      <c r="I104" t="s">
        <v>23</v>
      </c>
      <c r="J104" s="2">
        <v>36000</v>
      </c>
    </row>
    <row r="105" spans="1:10" x14ac:dyDescent="0.25">
      <c r="A105">
        <v>2104</v>
      </c>
      <c r="B105" s="1">
        <v>45676</v>
      </c>
      <c r="C105" t="s">
        <v>9</v>
      </c>
      <c r="D105" t="s">
        <v>126</v>
      </c>
      <c r="E105">
        <v>5</v>
      </c>
      <c r="F105" s="2">
        <v>4000</v>
      </c>
      <c r="G105" t="s">
        <v>25</v>
      </c>
      <c r="H105" t="s">
        <v>26</v>
      </c>
      <c r="I105" t="s">
        <v>13</v>
      </c>
      <c r="J105" s="2">
        <v>20000</v>
      </c>
    </row>
    <row r="106" spans="1:10" x14ac:dyDescent="0.25">
      <c r="A106">
        <v>2105</v>
      </c>
      <c r="B106" s="1">
        <v>45677</v>
      </c>
      <c r="C106" t="s">
        <v>14</v>
      </c>
      <c r="D106" t="s">
        <v>127</v>
      </c>
      <c r="E106">
        <v>2</v>
      </c>
      <c r="F106" s="2">
        <v>22000</v>
      </c>
      <c r="G106" t="s">
        <v>11</v>
      </c>
      <c r="H106" t="s">
        <v>12</v>
      </c>
      <c r="I106" t="s">
        <v>18</v>
      </c>
      <c r="J106" s="2">
        <v>44000</v>
      </c>
    </row>
    <row r="107" spans="1:10" x14ac:dyDescent="0.25">
      <c r="A107">
        <v>2106</v>
      </c>
      <c r="B107" s="1">
        <v>45678</v>
      </c>
      <c r="C107" t="s">
        <v>19</v>
      </c>
      <c r="D107" t="s">
        <v>128</v>
      </c>
      <c r="E107">
        <v>4</v>
      </c>
      <c r="F107" s="2">
        <v>18000</v>
      </c>
      <c r="G107" t="s">
        <v>16</v>
      </c>
      <c r="H107" t="s">
        <v>17</v>
      </c>
      <c r="I107" t="s">
        <v>23</v>
      </c>
      <c r="J107" s="2">
        <v>72000</v>
      </c>
    </row>
    <row r="108" spans="1:10" x14ac:dyDescent="0.25">
      <c r="A108">
        <v>2107</v>
      </c>
      <c r="B108" s="1">
        <v>45679</v>
      </c>
      <c r="C108" t="s">
        <v>9</v>
      </c>
      <c r="D108" t="s">
        <v>129</v>
      </c>
      <c r="E108">
        <v>3</v>
      </c>
      <c r="F108" s="2">
        <v>8000</v>
      </c>
      <c r="G108" t="s">
        <v>21</v>
      </c>
      <c r="H108" t="s">
        <v>22</v>
      </c>
      <c r="I108" t="s">
        <v>13</v>
      </c>
      <c r="J108" s="2">
        <v>24000</v>
      </c>
    </row>
    <row r="109" spans="1:10" x14ac:dyDescent="0.25">
      <c r="A109">
        <v>2108</v>
      </c>
      <c r="B109" s="1">
        <v>45680</v>
      </c>
      <c r="C109" t="s">
        <v>14</v>
      </c>
      <c r="D109" t="s">
        <v>130</v>
      </c>
      <c r="E109">
        <v>1</v>
      </c>
      <c r="F109" s="2">
        <v>15000</v>
      </c>
      <c r="G109" t="s">
        <v>25</v>
      </c>
      <c r="H109" t="s">
        <v>26</v>
      </c>
      <c r="I109" t="s">
        <v>18</v>
      </c>
      <c r="J109" s="2">
        <v>15000</v>
      </c>
    </row>
    <row r="110" spans="1:10" x14ac:dyDescent="0.25">
      <c r="A110">
        <v>2109</v>
      </c>
      <c r="B110" s="1">
        <v>45681</v>
      </c>
      <c r="C110" t="s">
        <v>19</v>
      </c>
      <c r="D110" t="s">
        <v>131</v>
      </c>
      <c r="E110">
        <v>1</v>
      </c>
      <c r="F110" s="2">
        <v>55000</v>
      </c>
      <c r="G110" t="s">
        <v>11</v>
      </c>
      <c r="H110" t="s">
        <v>12</v>
      </c>
      <c r="I110" t="s">
        <v>23</v>
      </c>
      <c r="J110" s="2">
        <v>55000</v>
      </c>
    </row>
    <row r="111" spans="1:10" x14ac:dyDescent="0.25">
      <c r="A111">
        <v>2110</v>
      </c>
      <c r="B111" s="1">
        <v>45682</v>
      </c>
      <c r="C111" t="s">
        <v>9</v>
      </c>
      <c r="D111" t="s">
        <v>132</v>
      </c>
      <c r="E111">
        <v>10</v>
      </c>
      <c r="F111" s="2">
        <v>1500</v>
      </c>
      <c r="G111" t="s">
        <v>16</v>
      </c>
      <c r="H111" t="s">
        <v>17</v>
      </c>
      <c r="I111" t="s">
        <v>13</v>
      </c>
      <c r="J111" s="2">
        <v>15000</v>
      </c>
    </row>
    <row r="112" spans="1:10" x14ac:dyDescent="0.25">
      <c r="A112">
        <v>2111</v>
      </c>
      <c r="B112" s="1">
        <v>45683</v>
      </c>
      <c r="C112" t="s">
        <v>14</v>
      </c>
      <c r="D112" t="s">
        <v>133</v>
      </c>
      <c r="E112">
        <v>1</v>
      </c>
      <c r="F112" s="2">
        <v>45000</v>
      </c>
      <c r="G112" t="s">
        <v>21</v>
      </c>
      <c r="H112" t="s">
        <v>22</v>
      </c>
      <c r="I112" t="s">
        <v>18</v>
      </c>
      <c r="J112" s="2">
        <v>45000</v>
      </c>
    </row>
    <row r="113" spans="1:10" x14ac:dyDescent="0.25">
      <c r="A113">
        <v>2112</v>
      </c>
      <c r="B113" s="1">
        <v>45684</v>
      </c>
      <c r="C113" t="s">
        <v>19</v>
      </c>
      <c r="D113" t="s">
        <v>134</v>
      </c>
      <c r="E113">
        <v>1</v>
      </c>
      <c r="F113" s="2">
        <v>35000</v>
      </c>
      <c r="G113" t="s">
        <v>25</v>
      </c>
      <c r="H113" t="s">
        <v>26</v>
      </c>
      <c r="I113" t="s">
        <v>23</v>
      </c>
      <c r="J113" s="2">
        <v>35000</v>
      </c>
    </row>
    <row r="114" spans="1:10" x14ac:dyDescent="0.25">
      <c r="A114">
        <v>2113</v>
      </c>
      <c r="B114" s="1">
        <v>45685</v>
      </c>
      <c r="C114" t="s">
        <v>9</v>
      </c>
      <c r="D114" t="s">
        <v>135</v>
      </c>
      <c r="E114">
        <v>2</v>
      </c>
      <c r="F114" s="2">
        <v>25000</v>
      </c>
      <c r="G114" t="s">
        <v>11</v>
      </c>
      <c r="H114" t="s">
        <v>12</v>
      </c>
      <c r="I114" t="s">
        <v>13</v>
      </c>
      <c r="J114" s="2">
        <v>50000</v>
      </c>
    </row>
    <row r="115" spans="1:10" x14ac:dyDescent="0.25">
      <c r="A115">
        <v>2114</v>
      </c>
      <c r="B115" s="1">
        <v>45686</v>
      </c>
      <c r="C115" t="s">
        <v>14</v>
      </c>
      <c r="D115" t="s">
        <v>136</v>
      </c>
      <c r="E115">
        <v>3</v>
      </c>
      <c r="F115" s="2">
        <v>12000</v>
      </c>
      <c r="G115" t="s">
        <v>16</v>
      </c>
      <c r="H115" t="s">
        <v>17</v>
      </c>
      <c r="I115" t="s">
        <v>18</v>
      </c>
      <c r="J115" s="2">
        <v>36000</v>
      </c>
    </row>
    <row r="116" spans="1:10" x14ac:dyDescent="0.25">
      <c r="A116">
        <v>2115</v>
      </c>
      <c r="B116" s="1">
        <v>45687</v>
      </c>
      <c r="C116" t="s">
        <v>19</v>
      </c>
      <c r="D116" t="s">
        <v>137</v>
      </c>
      <c r="E116">
        <v>1</v>
      </c>
      <c r="F116" s="2">
        <v>65000</v>
      </c>
      <c r="G116" t="s">
        <v>21</v>
      </c>
      <c r="H116" t="s">
        <v>22</v>
      </c>
      <c r="I116" t="s">
        <v>23</v>
      </c>
      <c r="J116" s="2">
        <v>65000</v>
      </c>
    </row>
    <row r="117" spans="1:10" x14ac:dyDescent="0.25">
      <c r="A117">
        <v>2116</v>
      </c>
      <c r="B117" s="1">
        <v>45688</v>
      </c>
      <c r="C117" t="s">
        <v>9</v>
      </c>
      <c r="D117" t="s">
        <v>138</v>
      </c>
      <c r="E117">
        <v>1</v>
      </c>
      <c r="F117" s="2">
        <v>75000</v>
      </c>
      <c r="G117" t="s">
        <v>25</v>
      </c>
      <c r="H117" t="s">
        <v>26</v>
      </c>
      <c r="I117" t="s">
        <v>13</v>
      </c>
      <c r="J117" s="2">
        <v>75000</v>
      </c>
    </row>
    <row r="118" spans="1:10" x14ac:dyDescent="0.25">
      <c r="A118">
        <v>2117</v>
      </c>
      <c r="B118" s="1">
        <v>45689</v>
      </c>
      <c r="C118" t="s">
        <v>14</v>
      </c>
      <c r="D118" t="s">
        <v>139</v>
      </c>
      <c r="E118">
        <v>2</v>
      </c>
      <c r="F118" s="2">
        <v>20000</v>
      </c>
      <c r="G118" t="s">
        <v>11</v>
      </c>
      <c r="H118" t="s">
        <v>12</v>
      </c>
      <c r="I118" t="s">
        <v>18</v>
      </c>
      <c r="J118" s="2">
        <v>40000</v>
      </c>
    </row>
    <row r="119" spans="1:10" x14ac:dyDescent="0.25">
      <c r="A119">
        <v>2118</v>
      </c>
      <c r="B119" s="1">
        <v>45690</v>
      </c>
      <c r="C119" t="s">
        <v>19</v>
      </c>
      <c r="D119" t="s">
        <v>140</v>
      </c>
      <c r="E119">
        <v>3</v>
      </c>
      <c r="F119" s="2">
        <v>8000</v>
      </c>
      <c r="G119" t="s">
        <v>16</v>
      </c>
      <c r="H119" t="s">
        <v>17</v>
      </c>
      <c r="I119" t="s">
        <v>23</v>
      </c>
      <c r="J119" s="2">
        <v>24000</v>
      </c>
    </row>
    <row r="120" spans="1:10" x14ac:dyDescent="0.25">
      <c r="A120">
        <v>2119</v>
      </c>
      <c r="B120" s="1">
        <v>45691</v>
      </c>
      <c r="C120" t="s">
        <v>9</v>
      </c>
      <c r="D120" t="s">
        <v>141</v>
      </c>
      <c r="E120">
        <v>4</v>
      </c>
      <c r="F120" s="2">
        <v>4000</v>
      </c>
      <c r="G120" t="s">
        <v>21</v>
      </c>
      <c r="H120" t="s">
        <v>22</v>
      </c>
      <c r="I120" t="s">
        <v>13</v>
      </c>
      <c r="J120" s="2">
        <v>16000</v>
      </c>
    </row>
    <row r="121" spans="1:10" x14ac:dyDescent="0.25">
      <c r="A121">
        <v>2120</v>
      </c>
      <c r="B121" s="1">
        <v>45692</v>
      </c>
      <c r="C121" t="s">
        <v>14</v>
      </c>
      <c r="D121" t="s">
        <v>142</v>
      </c>
      <c r="E121">
        <v>2</v>
      </c>
      <c r="F121" s="2">
        <v>15000</v>
      </c>
      <c r="G121" t="s">
        <v>25</v>
      </c>
      <c r="H121" t="s">
        <v>26</v>
      </c>
      <c r="I121" t="s">
        <v>18</v>
      </c>
      <c r="J121" s="2">
        <v>30000</v>
      </c>
    </row>
    <row r="122" spans="1:10" x14ac:dyDescent="0.25">
      <c r="A122">
        <v>2121</v>
      </c>
      <c r="B122" s="1">
        <v>45693</v>
      </c>
      <c r="C122" t="s">
        <v>19</v>
      </c>
      <c r="D122" t="s">
        <v>143</v>
      </c>
      <c r="E122">
        <v>1</v>
      </c>
      <c r="F122" s="2">
        <v>18000</v>
      </c>
      <c r="G122" t="s">
        <v>11</v>
      </c>
      <c r="H122" t="s">
        <v>12</v>
      </c>
      <c r="I122" t="s">
        <v>23</v>
      </c>
      <c r="J122" s="2">
        <v>18000</v>
      </c>
    </row>
    <row r="123" spans="1:10" x14ac:dyDescent="0.25">
      <c r="A123">
        <v>2122</v>
      </c>
      <c r="B123" s="1">
        <v>45694</v>
      </c>
      <c r="C123" t="s">
        <v>9</v>
      </c>
      <c r="D123" t="s">
        <v>144</v>
      </c>
      <c r="E123">
        <v>1</v>
      </c>
      <c r="F123" s="2">
        <v>12000</v>
      </c>
      <c r="G123" t="s">
        <v>16</v>
      </c>
      <c r="H123" t="s">
        <v>17</v>
      </c>
      <c r="I123" t="s">
        <v>13</v>
      </c>
      <c r="J123" s="2">
        <v>12000</v>
      </c>
    </row>
    <row r="124" spans="1:10" x14ac:dyDescent="0.25">
      <c r="A124">
        <v>2123</v>
      </c>
      <c r="B124" s="1">
        <v>45695</v>
      </c>
      <c r="C124" t="s">
        <v>14</v>
      </c>
      <c r="D124" t="s">
        <v>145</v>
      </c>
      <c r="E124">
        <v>3</v>
      </c>
      <c r="F124" s="2">
        <v>18000</v>
      </c>
      <c r="G124" t="s">
        <v>21</v>
      </c>
      <c r="H124" t="s">
        <v>22</v>
      </c>
      <c r="I124" t="s">
        <v>18</v>
      </c>
      <c r="J124" s="2">
        <v>54000</v>
      </c>
    </row>
    <row r="125" spans="1:10" x14ac:dyDescent="0.25">
      <c r="A125">
        <v>2124</v>
      </c>
      <c r="B125" s="1">
        <v>45696</v>
      </c>
      <c r="C125" t="s">
        <v>19</v>
      </c>
      <c r="D125" t="s">
        <v>146</v>
      </c>
      <c r="E125">
        <v>2</v>
      </c>
      <c r="F125" s="2">
        <v>10000</v>
      </c>
      <c r="G125" t="s">
        <v>25</v>
      </c>
      <c r="H125" t="s">
        <v>26</v>
      </c>
      <c r="I125" t="s">
        <v>23</v>
      </c>
      <c r="J125" s="2">
        <v>20000</v>
      </c>
    </row>
    <row r="126" spans="1:10" x14ac:dyDescent="0.25">
      <c r="A126">
        <v>2125</v>
      </c>
      <c r="B126" s="1">
        <v>45697</v>
      </c>
      <c r="C126" t="s">
        <v>9</v>
      </c>
      <c r="D126" t="s">
        <v>147</v>
      </c>
      <c r="E126">
        <v>5</v>
      </c>
      <c r="F126" s="2">
        <v>3000</v>
      </c>
      <c r="G126" t="s">
        <v>11</v>
      </c>
      <c r="H126" t="s">
        <v>12</v>
      </c>
      <c r="I126" t="s">
        <v>13</v>
      </c>
      <c r="J126" s="2">
        <v>15000</v>
      </c>
    </row>
    <row r="127" spans="1:10" x14ac:dyDescent="0.25">
      <c r="A127">
        <v>2126</v>
      </c>
      <c r="B127" s="1">
        <v>45698</v>
      </c>
      <c r="C127" t="s">
        <v>14</v>
      </c>
      <c r="D127" t="s">
        <v>148</v>
      </c>
      <c r="E127">
        <v>1</v>
      </c>
      <c r="F127" s="2">
        <v>55000</v>
      </c>
      <c r="G127" t="s">
        <v>16</v>
      </c>
      <c r="H127" t="s">
        <v>17</v>
      </c>
      <c r="I127" t="s">
        <v>18</v>
      </c>
      <c r="J127" s="2">
        <v>55000</v>
      </c>
    </row>
    <row r="128" spans="1:10" x14ac:dyDescent="0.25">
      <c r="A128">
        <v>2127</v>
      </c>
      <c r="B128" s="1">
        <v>45699</v>
      </c>
      <c r="C128" t="s">
        <v>19</v>
      </c>
      <c r="D128" t="s">
        <v>149</v>
      </c>
      <c r="E128">
        <v>1</v>
      </c>
      <c r="F128" s="2">
        <v>22000</v>
      </c>
      <c r="G128" t="s">
        <v>21</v>
      </c>
      <c r="H128" t="s">
        <v>22</v>
      </c>
      <c r="I128" t="s">
        <v>23</v>
      </c>
      <c r="J128" s="2">
        <v>22000</v>
      </c>
    </row>
    <row r="129" spans="1:10" x14ac:dyDescent="0.25">
      <c r="A129">
        <v>2128</v>
      </c>
      <c r="B129" s="1">
        <v>45700</v>
      </c>
      <c r="C129" t="s">
        <v>9</v>
      </c>
      <c r="D129" t="s">
        <v>150</v>
      </c>
      <c r="E129">
        <v>3</v>
      </c>
      <c r="F129" s="2">
        <v>10000</v>
      </c>
      <c r="G129" t="s">
        <v>25</v>
      </c>
      <c r="H129" t="s">
        <v>26</v>
      </c>
      <c r="I129" t="s">
        <v>13</v>
      </c>
      <c r="J129" s="2">
        <v>30000</v>
      </c>
    </row>
    <row r="130" spans="1:10" x14ac:dyDescent="0.25">
      <c r="A130">
        <v>2129</v>
      </c>
      <c r="B130" s="1">
        <v>45701</v>
      </c>
      <c r="C130" t="s">
        <v>14</v>
      </c>
      <c r="D130" t="s">
        <v>151</v>
      </c>
      <c r="E130">
        <v>3</v>
      </c>
      <c r="F130" s="2">
        <v>12000</v>
      </c>
      <c r="G130" t="s">
        <v>11</v>
      </c>
      <c r="H130" t="s">
        <v>12</v>
      </c>
      <c r="I130" t="s">
        <v>18</v>
      </c>
      <c r="J130" s="2">
        <v>36000</v>
      </c>
    </row>
    <row r="131" spans="1:10" x14ac:dyDescent="0.25">
      <c r="A131">
        <v>2130</v>
      </c>
      <c r="B131" s="1">
        <v>45702</v>
      </c>
      <c r="C131" t="s">
        <v>19</v>
      </c>
      <c r="D131" t="s">
        <v>152</v>
      </c>
      <c r="E131">
        <v>2</v>
      </c>
      <c r="F131" s="2">
        <v>8000</v>
      </c>
      <c r="G131" t="s">
        <v>16</v>
      </c>
      <c r="H131" t="s">
        <v>17</v>
      </c>
      <c r="I131" t="s">
        <v>23</v>
      </c>
      <c r="J131" s="2">
        <v>16000</v>
      </c>
    </row>
    <row r="132" spans="1:10" x14ac:dyDescent="0.25">
      <c r="A132">
        <v>2131</v>
      </c>
      <c r="B132" s="1">
        <v>45703</v>
      </c>
      <c r="C132" t="s">
        <v>9</v>
      </c>
      <c r="D132" t="s">
        <v>153</v>
      </c>
      <c r="E132">
        <v>2</v>
      </c>
      <c r="F132" s="2">
        <v>15000</v>
      </c>
      <c r="G132" t="s">
        <v>21</v>
      </c>
      <c r="H132" t="s">
        <v>22</v>
      </c>
      <c r="I132" t="s">
        <v>13</v>
      </c>
      <c r="J132" s="2">
        <v>30000</v>
      </c>
    </row>
    <row r="133" spans="1:10" x14ac:dyDescent="0.25">
      <c r="A133">
        <v>2132</v>
      </c>
      <c r="B133" s="1">
        <v>45704</v>
      </c>
      <c r="C133" t="s">
        <v>14</v>
      </c>
      <c r="D133" t="s">
        <v>154</v>
      </c>
      <c r="E133">
        <v>1</v>
      </c>
      <c r="F133" s="2">
        <v>65000</v>
      </c>
      <c r="G133" t="s">
        <v>25</v>
      </c>
      <c r="H133" t="s">
        <v>26</v>
      </c>
      <c r="I133" t="s">
        <v>18</v>
      </c>
      <c r="J133" s="2">
        <v>65000</v>
      </c>
    </row>
    <row r="134" spans="1:10" x14ac:dyDescent="0.25">
      <c r="A134">
        <v>2133</v>
      </c>
      <c r="B134" s="1">
        <v>45705</v>
      </c>
      <c r="C134" t="s">
        <v>19</v>
      </c>
      <c r="D134" t="s">
        <v>155</v>
      </c>
      <c r="E134">
        <v>3</v>
      </c>
      <c r="F134" s="2">
        <v>7000</v>
      </c>
      <c r="G134" t="s">
        <v>11</v>
      </c>
      <c r="H134" t="s">
        <v>12</v>
      </c>
      <c r="I134" t="s">
        <v>23</v>
      </c>
      <c r="J134" s="2">
        <v>21000</v>
      </c>
    </row>
    <row r="135" spans="1:10" x14ac:dyDescent="0.25">
      <c r="A135">
        <v>2134</v>
      </c>
      <c r="B135" s="1">
        <v>45706</v>
      </c>
      <c r="C135" t="s">
        <v>9</v>
      </c>
      <c r="D135" t="s">
        <v>156</v>
      </c>
      <c r="E135">
        <v>2</v>
      </c>
      <c r="F135" s="2">
        <v>18000</v>
      </c>
      <c r="G135" t="s">
        <v>16</v>
      </c>
      <c r="H135" t="s">
        <v>17</v>
      </c>
      <c r="I135" t="s">
        <v>13</v>
      </c>
      <c r="J135" s="2">
        <v>36000</v>
      </c>
    </row>
    <row r="136" spans="1:10" x14ac:dyDescent="0.25">
      <c r="A136">
        <v>2135</v>
      </c>
      <c r="B136" s="1">
        <v>45707</v>
      </c>
      <c r="C136" t="s">
        <v>14</v>
      </c>
      <c r="D136" t="s">
        <v>157</v>
      </c>
      <c r="E136">
        <v>4</v>
      </c>
      <c r="F136" s="2">
        <v>6000</v>
      </c>
      <c r="G136" t="s">
        <v>21</v>
      </c>
      <c r="H136" t="s">
        <v>22</v>
      </c>
      <c r="I136" t="s">
        <v>18</v>
      </c>
      <c r="J136" s="2">
        <v>24000</v>
      </c>
    </row>
    <row r="137" spans="1:10" x14ac:dyDescent="0.25">
      <c r="A137">
        <v>2136</v>
      </c>
      <c r="B137" s="1">
        <v>45708</v>
      </c>
      <c r="C137" t="s">
        <v>19</v>
      </c>
      <c r="D137" t="s">
        <v>158</v>
      </c>
      <c r="E137">
        <v>1</v>
      </c>
      <c r="F137" s="2">
        <v>12000</v>
      </c>
      <c r="G137" t="s">
        <v>25</v>
      </c>
      <c r="H137" t="s">
        <v>26</v>
      </c>
      <c r="I137" t="s">
        <v>23</v>
      </c>
      <c r="J137" s="2">
        <v>12000</v>
      </c>
    </row>
    <row r="138" spans="1:10" x14ac:dyDescent="0.25">
      <c r="A138">
        <v>2137</v>
      </c>
      <c r="B138" s="1">
        <v>45709</v>
      </c>
      <c r="C138" t="s">
        <v>9</v>
      </c>
      <c r="D138" t="s">
        <v>159</v>
      </c>
      <c r="E138">
        <v>1</v>
      </c>
      <c r="F138" s="2">
        <v>45000</v>
      </c>
      <c r="G138" t="s">
        <v>11</v>
      </c>
      <c r="H138" t="s">
        <v>12</v>
      </c>
      <c r="I138" t="s">
        <v>13</v>
      </c>
      <c r="J138" s="2">
        <v>45000</v>
      </c>
    </row>
    <row r="139" spans="1:10" x14ac:dyDescent="0.25">
      <c r="A139">
        <v>2138</v>
      </c>
      <c r="B139" s="1">
        <v>45710</v>
      </c>
      <c r="C139" t="s">
        <v>14</v>
      </c>
      <c r="D139" t="s">
        <v>160</v>
      </c>
      <c r="E139">
        <v>4</v>
      </c>
      <c r="F139" s="2">
        <v>8000</v>
      </c>
      <c r="G139" t="s">
        <v>16</v>
      </c>
      <c r="H139" t="s">
        <v>17</v>
      </c>
      <c r="I139" t="s">
        <v>18</v>
      </c>
      <c r="J139" s="2">
        <v>32000</v>
      </c>
    </row>
    <row r="140" spans="1:10" x14ac:dyDescent="0.25">
      <c r="A140">
        <v>2139</v>
      </c>
      <c r="B140" s="1">
        <v>45711</v>
      </c>
      <c r="C140" t="s">
        <v>19</v>
      </c>
      <c r="D140" t="s">
        <v>161</v>
      </c>
      <c r="E140">
        <v>3</v>
      </c>
      <c r="F140" s="2">
        <v>5000</v>
      </c>
      <c r="G140" t="s">
        <v>21</v>
      </c>
      <c r="H140" t="s">
        <v>22</v>
      </c>
      <c r="I140" t="s">
        <v>23</v>
      </c>
      <c r="J140" s="2">
        <v>15000</v>
      </c>
    </row>
    <row r="141" spans="1:10" x14ac:dyDescent="0.25">
      <c r="A141">
        <v>2140</v>
      </c>
      <c r="B141" s="1">
        <v>45712</v>
      </c>
      <c r="C141" t="s">
        <v>9</v>
      </c>
      <c r="D141" t="s">
        <v>162</v>
      </c>
      <c r="E141">
        <v>1</v>
      </c>
      <c r="F141" s="2">
        <v>20000</v>
      </c>
      <c r="G141" t="s">
        <v>25</v>
      </c>
      <c r="H141" t="s">
        <v>26</v>
      </c>
      <c r="I141" t="s">
        <v>13</v>
      </c>
      <c r="J141" s="2">
        <v>20000</v>
      </c>
    </row>
    <row r="142" spans="1:10" x14ac:dyDescent="0.25">
      <c r="A142">
        <v>2141</v>
      </c>
      <c r="B142" s="1">
        <v>45713</v>
      </c>
      <c r="C142" t="s">
        <v>14</v>
      </c>
      <c r="D142" t="s">
        <v>163</v>
      </c>
      <c r="E142">
        <v>2</v>
      </c>
      <c r="F142" s="2">
        <v>15000</v>
      </c>
      <c r="G142" t="s">
        <v>11</v>
      </c>
      <c r="H142" t="s">
        <v>12</v>
      </c>
      <c r="I142" t="s">
        <v>18</v>
      </c>
      <c r="J142" s="2">
        <v>30000</v>
      </c>
    </row>
    <row r="143" spans="1:10" x14ac:dyDescent="0.25">
      <c r="A143">
        <v>2142</v>
      </c>
      <c r="B143" s="1">
        <v>45714</v>
      </c>
      <c r="C143" t="s">
        <v>19</v>
      </c>
      <c r="D143" t="s">
        <v>164</v>
      </c>
      <c r="E143">
        <v>1</v>
      </c>
      <c r="F143" s="2">
        <v>10000</v>
      </c>
      <c r="G143" t="s">
        <v>16</v>
      </c>
      <c r="H143" t="s">
        <v>17</v>
      </c>
      <c r="I143" t="s">
        <v>23</v>
      </c>
      <c r="J143" s="2">
        <v>10000</v>
      </c>
    </row>
    <row r="144" spans="1:10" x14ac:dyDescent="0.25">
      <c r="A144">
        <v>2143</v>
      </c>
      <c r="B144" s="1">
        <v>45715</v>
      </c>
      <c r="C144" t="s">
        <v>9</v>
      </c>
      <c r="D144" t="s">
        <v>165</v>
      </c>
      <c r="E144">
        <v>4</v>
      </c>
      <c r="F144" s="2">
        <v>6000</v>
      </c>
      <c r="G144" t="s">
        <v>21</v>
      </c>
      <c r="H144" t="s">
        <v>22</v>
      </c>
      <c r="I144" t="s">
        <v>13</v>
      </c>
      <c r="J144" s="2">
        <v>24000</v>
      </c>
    </row>
    <row r="145" spans="1:10" x14ac:dyDescent="0.25">
      <c r="A145">
        <v>2144</v>
      </c>
      <c r="B145" s="1">
        <v>45716</v>
      </c>
      <c r="C145" t="s">
        <v>14</v>
      </c>
      <c r="D145" t="s">
        <v>166</v>
      </c>
      <c r="E145">
        <v>5</v>
      </c>
      <c r="F145" s="2">
        <v>3000</v>
      </c>
      <c r="G145" t="s">
        <v>25</v>
      </c>
      <c r="H145" t="s">
        <v>26</v>
      </c>
      <c r="I145" t="s">
        <v>18</v>
      </c>
      <c r="J145" s="2">
        <v>15000</v>
      </c>
    </row>
    <row r="146" spans="1:10" x14ac:dyDescent="0.25">
      <c r="A146">
        <v>2145</v>
      </c>
      <c r="B146" s="1">
        <v>45717</v>
      </c>
      <c r="C146" t="s">
        <v>19</v>
      </c>
      <c r="D146" t="s">
        <v>167</v>
      </c>
      <c r="E146">
        <v>3</v>
      </c>
      <c r="F146" s="2">
        <v>4000</v>
      </c>
      <c r="G146" t="s">
        <v>11</v>
      </c>
      <c r="H146" t="s">
        <v>12</v>
      </c>
      <c r="I146" t="s">
        <v>23</v>
      </c>
      <c r="J146" s="2">
        <v>12000</v>
      </c>
    </row>
    <row r="147" spans="1:10" x14ac:dyDescent="0.25">
      <c r="A147">
        <v>2146</v>
      </c>
      <c r="B147" s="1">
        <v>45718</v>
      </c>
      <c r="C147" t="s">
        <v>9</v>
      </c>
      <c r="D147" t="s">
        <v>168</v>
      </c>
      <c r="E147">
        <v>8</v>
      </c>
      <c r="F147" s="2">
        <v>2000</v>
      </c>
      <c r="G147" t="s">
        <v>16</v>
      </c>
      <c r="H147" t="s">
        <v>17</v>
      </c>
      <c r="I147" t="s">
        <v>13</v>
      </c>
      <c r="J147" s="2">
        <v>16000</v>
      </c>
    </row>
    <row r="148" spans="1:10" x14ac:dyDescent="0.25">
      <c r="A148">
        <v>2147</v>
      </c>
      <c r="B148" s="1">
        <v>45719</v>
      </c>
      <c r="C148" t="s">
        <v>14</v>
      </c>
      <c r="D148" t="s">
        <v>169</v>
      </c>
      <c r="E148">
        <v>4</v>
      </c>
      <c r="F148" s="2">
        <v>5000</v>
      </c>
      <c r="G148" t="s">
        <v>21</v>
      </c>
      <c r="H148" t="s">
        <v>22</v>
      </c>
      <c r="I148" t="s">
        <v>18</v>
      </c>
      <c r="J148" s="2">
        <v>20000</v>
      </c>
    </row>
    <row r="149" spans="1:10" x14ac:dyDescent="0.25">
      <c r="A149">
        <v>2148</v>
      </c>
      <c r="B149" s="1">
        <v>45720</v>
      </c>
      <c r="C149" t="s">
        <v>19</v>
      </c>
      <c r="D149" t="s">
        <v>170</v>
      </c>
      <c r="E149">
        <v>6</v>
      </c>
      <c r="F149" s="2">
        <v>3000</v>
      </c>
      <c r="G149" t="s">
        <v>25</v>
      </c>
      <c r="H149" t="s">
        <v>26</v>
      </c>
      <c r="I149" t="s">
        <v>23</v>
      </c>
      <c r="J149" s="2">
        <v>18000</v>
      </c>
    </row>
    <row r="150" spans="1:10" x14ac:dyDescent="0.25">
      <c r="A150">
        <v>2149</v>
      </c>
      <c r="B150" s="1">
        <v>45721</v>
      </c>
      <c r="C150" t="s">
        <v>9</v>
      </c>
      <c r="D150" t="s">
        <v>171</v>
      </c>
      <c r="E150">
        <v>3</v>
      </c>
      <c r="F150" s="2">
        <v>7000</v>
      </c>
      <c r="G150" t="s">
        <v>11</v>
      </c>
      <c r="H150" t="s">
        <v>12</v>
      </c>
      <c r="I150" t="s">
        <v>13</v>
      </c>
      <c r="J150" s="2">
        <v>21000</v>
      </c>
    </row>
    <row r="151" spans="1:10" x14ac:dyDescent="0.25">
      <c r="A151">
        <v>2150</v>
      </c>
      <c r="B151" s="1">
        <v>45677</v>
      </c>
      <c r="C151" t="s">
        <v>14</v>
      </c>
      <c r="D151" t="s">
        <v>172</v>
      </c>
      <c r="E151">
        <v>10</v>
      </c>
      <c r="F151" s="2">
        <v>2000</v>
      </c>
      <c r="G151" t="s">
        <v>16</v>
      </c>
      <c r="H151" t="s">
        <v>17</v>
      </c>
      <c r="I151" t="s">
        <v>18</v>
      </c>
      <c r="J151" s="2">
        <v>20000</v>
      </c>
    </row>
    <row r="152" spans="1:10" x14ac:dyDescent="0.25">
      <c r="A152">
        <v>2151</v>
      </c>
      <c r="B152" s="1">
        <v>45678</v>
      </c>
      <c r="C152" t="s">
        <v>19</v>
      </c>
      <c r="D152" t="s">
        <v>173</v>
      </c>
      <c r="E152">
        <v>4</v>
      </c>
      <c r="F152" s="2">
        <v>5000</v>
      </c>
      <c r="G152" t="s">
        <v>21</v>
      </c>
      <c r="H152" t="s">
        <v>22</v>
      </c>
      <c r="I152" t="s">
        <v>23</v>
      </c>
      <c r="J152" s="2">
        <v>20000</v>
      </c>
    </row>
    <row r="153" spans="1:10" x14ac:dyDescent="0.25">
      <c r="A153">
        <v>2152</v>
      </c>
      <c r="B153" s="1">
        <v>45679</v>
      </c>
      <c r="C153" t="s">
        <v>9</v>
      </c>
      <c r="D153" t="s">
        <v>174</v>
      </c>
      <c r="E153">
        <v>2</v>
      </c>
      <c r="F153" s="2">
        <v>8000</v>
      </c>
      <c r="G153" t="s">
        <v>25</v>
      </c>
      <c r="H153" t="s">
        <v>26</v>
      </c>
      <c r="I153" t="s">
        <v>13</v>
      </c>
      <c r="J153" s="2">
        <v>16000</v>
      </c>
    </row>
    <row r="154" spans="1:10" x14ac:dyDescent="0.25">
      <c r="A154">
        <v>2153</v>
      </c>
      <c r="B154" s="1">
        <v>45680</v>
      </c>
      <c r="C154" t="s">
        <v>14</v>
      </c>
      <c r="D154" t="s">
        <v>175</v>
      </c>
      <c r="E154">
        <v>3</v>
      </c>
      <c r="F154" s="2">
        <v>7000</v>
      </c>
      <c r="G154" t="s">
        <v>11</v>
      </c>
      <c r="H154" t="s">
        <v>12</v>
      </c>
      <c r="I154" t="s">
        <v>18</v>
      </c>
      <c r="J154" s="2">
        <v>21000</v>
      </c>
    </row>
    <row r="155" spans="1:10" x14ac:dyDescent="0.25">
      <c r="A155">
        <v>2154</v>
      </c>
      <c r="B155" s="1">
        <v>45681</v>
      </c>
      <c r="C155" t="s">
        <v>19</v>
      </c>
      <c r="D155" t="s">
        <v>176</v>
      </c>
      <c r="E155">
        <v>1</v>
      </c>
      <c r="F155" s="2">
        <v>12000</v>
      </c>
      <c r="G155" t="s">
        <v>16</v>
      </c>
      <c r="H155" t="s">
        <v>17</v>
      </c>
      <c r="I155" t="s">
        <v>23</v>
      </c>
      <c r="J155" s="2">
        <v>12000</v>
      </c>
    </row>
    <row r="156" spans="1:10" x14ac:dyDescent="0.25">
      <c r="A156">
        <v>2155</v>
      </c>
      <c r="B156" s="1">
        <v>45682</v>
      </c>
      <c r="C156" t="s">
        <v>9</v>
      </c>
      <c r="D156" t="s">
        <v>177</v>
      </c>
      <c r="E156">
        <v>1</v>
      </c>
      <c r="F156" s="2">
        <v>85000</v>
      </c>
      <c r="G156" t="s">
        <v>21</v>
      </c>
      <c r="H156" t="s">
        <v>22</v>
      </c>
      <c r="I156" t="s">
        <v>13</v>
      </c>
      <c r="J156" s="2">
        <v>85000</v>
      </c>
    </row>
    <row r="157" spans="1:10" x14ac:dyDescent="0.25">
      <c r="A157">
        <v>2156</v>
      </c>
      <c r="B157" s="1">
        <v>45683</v>
      </c>
      <c r="C157" t="s">
        <v>14</v>
      </c>
      <c r="D157" t="s">
        <v>178</v>
      </c>
      <c r="E157">
        <v>2</v>
      </c>
      <c r="F157" s="2">
        <v>15000</v>
      </c>
      <c r="G157" t="s">
        <v>25</v>
      </c>
      <c r="H157" t="s">
        <v>26</v>
      </c>
      <c r="I157" t="s">
        <v>18</v>
      </c>
      <c r="J157" s="2">
        <v>30000</v>
      </c>
    </row>
    <row r="158" spans="1:10" x14ac:dyDescent="0.25">
      <c r="A158">
        <v>2157</v>
      </c>
      <c r="B158" s="1">
        <v>45684</v>
      </c>
      <c r="C158" t="s">
        <v>19</v>
      </c>
      <c r="D158" t="s">
        <v>179</v>
      </c>
      <c r="E158">
        <v>4</v>
      </c>
      <c r="F158" s="2">
        <v>6000</v>
      </c>
      <c r="G158" t="s">
        <v>11</v>
      </c>
      <c r="H158" t="s">
        <v>12</v>
      </c>
      <c r="I158" t="s">
        <v>23</v>
      </c>
      <c r="J158" s="2">
        <v>24000</v>
      </c>
    </row>
    <row r="159" spans="1:10" x14ac:dyDescent="0.25">
      <c r="A159">
        <v>2158</v>
      </c>
      <c r="B159" s="1">
        <v>45685</v>
      </c>
      <c r="C159" t="s">
        <v>9</v>
      </c>
      <c r="D159" t="s">
        <v>180</v>
      </c>
      <c r="E159">
        <v>1</v>
      </c>
      <c r="F159" s="2">
        <v>35000</v>
      </c>
      <c r="G159" t="s">
        <v>16</v>
      </c>
      <c r="H159" t="s">
        <v>17</v>
      </c>
      <c r="I159" t="s">
        <v>13</v>
      </c>
      <c r="J159" s="2">
        <v>35000</v>
      </c>
    </row>
    <row r="160" spans="1:10" x14ac:dyDescent="0.25">
      <c r="A160">
        <v>2159</v>
      </c>
      <c r="B160" s="1">
        <v>45686</v>
      </c>
      <c r="C160" t="s">
        <v>14</v>
      </c>
      <c r="D160" t="s">
        <v>181</v>
      </c>
      <c r="E160">
        <v>2</v>
      </c>
      <c r="F160" s="2">
        <v>10000</v>
      </c>
      <c r="G160" t="s">
        <v>21</v>
      </c>
      <c r="H160" t="s">
        <v>22</v>
      </c>
      <c r="I160" t="s">
        <v>18</v>
      </c>
      <c r="J160" s="2">
        <v>20000</v>
      </c>
    </row>
    <row r="161" spans="1:10" x14ac:dyDescent="0.25">
      <c r="A161">
        <v>2160</v>
      </c>
      <c r="B161" s="1">
        <v>45687</v>
      </c>
      <c r="C161" t="s">
        <v>19</v>
      </c>
      <c r="D161" t="s">
        <v>182</v>
      </c>
      <c r="E161">
        <v>2</v>
      </c>
      <c r="F161" s="2">
        <v>15000</v>
      </c>
      <c r="G161" t="s">
        <v>25</v>
      </c>
      <c r="H161" t="s">
        <v>26</v>
      </c>
      <c r="I161" t="s">
        <v>23</v>
      </c>
      <c r="J161" s="2">
        <v>30000</v>
      </c>
    </row>
    <row r="162" spans="1:10" x14ac:dyDescent="0.25">
      <c r="A162">
        <v>2161</v>
      </c>
      <c r="B162" s="1">
        <v>45688</v>
      </c>
      <c r="C162" t="s">
        <v>9</v>
      </c>
      <c r="D162" t="s">
        <v>183</v>
      </c>
      <c r="E162">
        <v>3</v>
      </c>
      <c r="F162" s="2">
        <v>8000</v>
      </c>
      <c r="G162" t="s">
        <v>11</v>
      </c>
      <c r="H162" t="s">
        <v>12</v>
      </c>
      <c r="I162" t="s">
        <v>13</v>
      </c>
      <c r="J162" s="2">
        <v>24000</v>
      </c>
    </row>
    <row r="163" spans="1:10" x14ac:dyDescent="0.25">
      <c r="A163">
        <v>2162</v>
      </c>
      <c r="B163" s="1">
        <v>45689</v>
      </c>
      <c r="C163" t="s">
        <v>14</v>
      </c>
      <c r="D163" t="s">
        <v>184</v>
      </c>
      <c r="E163">
        <v>1</v>
      </c>
      <c r="F163" s="2">
        <v>12000</v>
      </c>
      <c r="G163" t="s">
        <v>16</v>
      </c>
      <c r="H163" t="s">
        <v>17</v>
      </c>
      <c r="I163" t="s">
        <v>18</v>
      </c>
      <c r="J163" s="2">
        <v>12000</v>
      </c>
    </row>
    <row r="164" spans="1:10" x14ac:dyDescent="0.25">
      <c r="A164">
        <v>2163</v>
      </c>
      <c r="B164" s="1">
        <v>45690</v>
      </c>
      <c r="C164" t="s">
        <v>19</v>
      </c>
      <c r="D164" t="s">
        <v>185</v>
      </c>
      <c r="E164">
        <v>4</v>
      </c>
      <c r="F164" s="2">
        <v>4000</v>
      </c>
      <c r="G164" t="s">
        <v>21</v>
      </c>
      <c r="H164" t="s">
        <v>22</v>
      </c>
      <c r="I164" t="s">
        <v>23</v>
      </c>
      <c r="J164" s="2">
        <v>16000</v>
      </c>
    </row>
    <row r="165" spans="1:10" x14ac:dyDescent="0.25">
      <c r="A165">
        <v>2164</v>
      </c>
      <c r="B165" s="1">
        <v>45691</v>
      </c>
      <c r="C165" t="s">
        <v>9</v>
      </c>
      <c r="D165" t="s">
        <v>186</v>
      </c>
      <c r="E165">
        <v>2</v>
      </c>
      <c r="F165" s="2">
        <v>9000</v>
      </c>
      <c r="G165" t="s">
        <v>25</v>
      </c>
      <c r="H165" t="s">
        <v>26</v>
      </c>
      <c r="I165" t="s">
        <v>13</v>
      </c>
      <c r="J165" s="2">
        <v>18000</v>
      </c>
    </row>
    <row r="166" spans="1:10" x14ac:dyDescent="0.25">
      <c r="A166">
        <v>2165</v>
      </c>
      <c r="B166" s="1">
        <v>45692</v>
      </c>
      <c r="C166" t="s">
        <v>14</v>
      </c>
      <c r="D166" t="s">
        <v>187</v>
      </c>
      <c r="E166">
        <v>2</v>
      </c>
      <c r="F166" s="2">
        <v>8000</v>
      </c>
      <c r="G166" t="s">
        <v>11</v>
      </c>
      <c r="H166" t="s">
        <v>12</v>
      </c>
      <c r="I166" t="s">
        <v>18</v>
      </c>
      <c r="J166" s="2">
        <v>16000</v>
      </c>
    </row>
    <row r="167" spans="1:10" x14ac:dyDescent="0.25">
      <c r="A167">
        <v>2166</v>
      </c>
      <c r="B167" s="1">
        <v>45693</v>
      </c>
      <c r="C167" t="s">
        <v>19</v>
      </c>
      <c r="D167" t="s">
        <v>188</v>
      </c>
      <c r="E167">
        <v>1</v>
      </c>
      <c r="F167" s="2">
        <v>45000</v>
      </c>
      <c r="G167" t="s">
        <v>16</v>
      </c>
      <c r="H167" t="s">
        <v>17</v>
      </c>
      <c r="I167" t="s">
        <v>23</v>
      </c>
      <c r="J167" s="2">
        <v>45000</v>
      </c>
    </row>
    <row r="168" spans="1:10" x14ac:dyDescent="0.25">
      <c r="A168">
        <v>2167</v>
      </c>
      <c r="B168" s="1">
        <v>45694</v>
      </c>
      <c r="C168" t="s">
        <v>9</v>
      </c>
      <c r="D168" t="s">
        <v>189</v>
      </c>
      <c r="E168">
        <v>1</v>
      </c>
      <c r="F168" s="2">
        <v>15000</v>
      </c>
      <c r="G168" t="s">
        <v>21</v>
      </c>
      <c r="H168" t="s">
        <v>22</v>
      </c>
      <c r="I168" t="s">
        <v>13</v>
      </c>
      <c r="J168" s="2">
        <v>15000</v>
      </c>
    </row>
    <row r="169" spans="1:10" x14ac:dyDescent="0.25">
      <c r="A169">
        <v>2168</v>
      </c>
      <c r="B169" s="1">
        <v>45695</v>
      </c>
      <c r="C169" t="s">
        <v>14</v>
      </c>
      <c r="D169" t="s">
        <v>190</v>
      </c>
      <c r="E169">
        <v>1</v>
      </c>
      <c r="F169" s="2">
        <v>18000</v>
      </c>
      <c r="G169" t="s">
        <v>25</v>
      </c>
      <c r="H169" t="s">
        <v>26</v>
      </c>
      <c r="I169" t="s">
        <v>18</v>
      </c>
      <c r="J169" s="2">
        <v>18000</v>
      </c>
    </row>
    <row r="170" spans="1:10" x14ac:dyDescent="0.25">
      <c r="A170">
        <v>2169</v>
      </c>
      <c r="B170" s="1">
        <v>45696</v>
      </c>
      <c r="C170" t="s">
        <v>19</v>
      </c>
      <c r="D170" t="s">
        <v>191</v>
      </c>
      <c r="E170">
        <v>1</v>
      </c>
      <c r="F170" s="2">
        <v>25000</v>
      </c>
      <c r="G170" t="s">
        <v>11</v>
      </c>
      <c r="H170" t="s">
        <v>12</v>
      </c>
      <c r="I170" t="s">
        <v>23</v>
      </c>
      <c r="J170" s="2">
        <v>25000</v>
      </c>
    </row>
    <row r="171" spans="1:10" x14ac:dyDescent="0.25">
      <c r="A171">
        <v>2170</v>
      </c>
      <c r="B171" s="1">
        <v>45697</v>
      </c>
      <c r="C171" t="s">
        <v>9</v>
      </c>
      <c r="D171" t="s">
        <v>192</v>
      </c>
      <c r="E171">
        <v>2</v>
      </c>
      <c r="F171" s="2">
        <v>8000</v>
      </c>
      <c r="G171" t="s">
        <v>16</v>
      </c>
      <c r="H171" t="s">
        <v>17</v>
      </c>
      <c r="I171" t="s">
        <v>13</v>
      </c>
      <c r="J171" s="2">
        <v>16000</v>
      </c>
    </row>
    <row r="172" spans="1:10" x14ac:dyDescent="0.25">
      <c r="A172">
        <v>2171</v>
      </c>
      <c r="B172" s="1">
        <v>45698</v>
      </c>
      <c r="C172" t="s">
        <v>14</v>
      </c>
      <c r="D172" t="s">
        <v>193</v>
      </c>
      <c r="E172">
        <v>3</v>
      </c>
      <c r="F172" s="2">
        <v>5000</v>
      </c>
      <c r="G172" t="s">
        <v>21</v>
      </c>
      <c r="H172" t="s">
        <v>22</v>
      </c>
      <c r="I172" t="s">
        <v>18</v>
      </c>
      <c r="J172" s="2">
        <v>15000</v>
      </c>
    </row>
    <row r="173" spans="1:10" x14ac:dyDescent="0.25">
      <c r="A173">
        <v>2172</v>
      </c>
      <c r="B173" s="1">
        <v>45699</v>
      </c>
      <c r="C173" t="s">
        <v>19</v>
      </c>
      <c r="D173" t="s">
        <v>194</v>
      </c>
      <c r="E173">
        <v>1</v>
      </c>
      <c r="F173" s="2">
        <v>20000</v>
      </c>
      <c r="G173" t="s">
        <v>25</v>
      </c>
      <c r="H173" t="s">
        <v>26</v>
      </c>
      <c r="I173" t="s">
        <v>23</v>
      </c>
      <c r="J173" s="2">
        <v>20000</v>
      </c>
    </row>
    <row r="174" spans="1:10" x14ac:dyDescent="0.25">
      <c r="A174">
        <v>2173</v>
      </c>
      <c r="B174" s="1">
        <v>45700</v>
      </c>
      <c r="C174" t="s">
        <v>9</v>
      </c>
      <c r="D174" t="s">
        <v>195</v>
      </c>
      <c r="E174">
        <v>1</v>
      </c>
      <c r="F174" s="2">
        <v>25000</v>
      </c>
      <c r="G174" t="s">
        <v>11</v>
      </c>
      <c r="H174" t="s">
        <v>12</v>
      </c>
      <c r="I174" t="s">
        <v>13</v>
      </c>
      <c r="J174" s="2">
        <v>25000</v>
      </c>
    </row>
    <row r="175" spans="1:10" x14ac:dyDescent="0.25">
      <c r="A175">
        <v>2174</v>
      </c>
      <c r="B175" s="1">
        <v>45701</v>
      </c>
      <c r="C175" t="s">
        <v>14</v>
      </c>
      <c r="D175" t="s">
        <v>196</v>
      </c>
      <c r="E175">
        <v>2</v>
      </c>
      <c r="F175" s="2">
        <v>10000</v>
      </c>
      <c r="G175" t="s">
        <v>16</v>
      </c>
      <c r="H175" t="s">
        <v>17</v>
      </c>
      <c r="I175" t="s">
        <v>18</v>
      </c>
      <c r="J175" s="2">
        <v>20000</v>
      </c>
    </row>
    <row r="176" spans="1:10" x14ac:dyDescent="0.25">
      <c r="A176">
        <v>2175</v>
      </c>
      <c r="B176" s="1">
        <v>45702</v>
      </c>
      <c r="C176" t="s">
        <v>19</v>
      </c>
      <c r="D176" t="s">
        <v>197</v>
      </c>
      <c r="E176">
        <v>1</v>
      </c>
      <c r="F176" s="2">
        <v>85000</v>
      </c>
      <c r="G176" t="s">
        <v>21</v>
      </c>
      <c r="H176" t="s">
        <v>22</v>
      </c>
      <c r="I176" t="s">
        <v>23</v>
      </c>
      <c r="J176" s="2">
        <v>85000</v>
      </c>
    </row>
    <row r="177" spans="1:10" x14ac:dyDescent="0.25">
      <c r="A177">
        <v>2176</v>
      </c>
      <c r="B177" s="1">
        <v>45703</v>
      </c>
      <c r="C177" t="s">
        <v>9</v>
      </c>
      <c r="D177" t="s">
        <v>198</v>
      </c>
      <c r="E177">
        <v>3</v>
      </c>
      <c r="F177" s="2">
        <v>5000</v>
      </c>
      <c r="G177" t="s">
        <v>25</v>
      </c>
      <c r="H177" t="s">
        <v>26</v>
      </c>
      <c r="I177" t="s">
        <v>13</v>
      </c>
      <c r="J177" s="2">
        <v>15000</v>
      </c>
    </row>
    <row r="178" spans="1:10" x14ac:dyDescent="0.25">
      <c r="A178">
        <v>2177</v>
      </c>
      <c r="B178" s="1">
        <v>45704</v>
      </c>
      <c r="C178" t="s">
        <v>14</v>
      </c>
      <c r="D178" t="s">
        <v>199</v>
      </c>
      <c r="E178">
        <v>6</v>
      </c>
      <c r="F178" s="2">
        <v>2000</v>
      </c>
      <c r="G178" t="s">
        <v>11</v>
      </c>
      <c r="H178" t="s">
        <v>12</v>
      </c>
      <c r="I178" t="s">
        <v>18</v>
      </c>
      <c r="J178" s="2">
        <v>12000</v>
      </c>
    </row>
    <row r="179" spans="1:10" x14ac:dyDescent="0.25">
      <c r="A179">
        <v>2178</v>
      </c>
      <c r="B179" s="1">
        <v>45705</v>
      </c>
      <c r="C179" t="s">
        <v>19</v>
      </c>
      <c r="D179" t="s">
        <v>200</v>
      </c>
      <c r="E179">
        <v>8</v>
      </c>
      <c r="F179" s="2">
        <v>1500</v>
      </c>
      <c r="G179" t="s">
        <v>16</v>
      </c>
      <c r="H179" t="s">
        <v>17</v>
      </c>
      <c r="I179" t="s">
        <v>23</v>
      </c>
      <c r="J179" s="2">
        <v>12000</v>
      </c>
    </row>
    <row r="180" spans="1:10" x14ac:dyDescent="0.25">
      <c r="A180">
        <v>2179</v>
      </c>
      <c r="B180" s="1">
        <v>45706</v>
      </c>
      <c r="C180" t="s">
        <v>9</v>
      </c>
      <c r="D180" t="s">
        <v>201</v>
      </c>
      <c r="E180">
        <v>4</v>
      </c>
      <c r="F180" s="2">
        <v>3000</v>
      </c>
      <c r="G180" t="s">
        <v>21</v>
      </c>
      <c r="H180" t="s">
        <v>22</v>
      </c>
      <c r="I180" t="s">
        <v>13</v>
      </c>
      <c r="J180" s="2">
        <v>12000</v>
      </c>
    </row>
    <row r="181" spans="1:10" x14ac:dyDescent="0.25">
      <c r="A181">
        <v>2180</v>
      </c>
      <c r="B181" s="1">
        <v>45707</v>
      </c>
      <c r="C181" t="s">
        <v>14</v>
      </c>
      <c r="D181" t="s">
        <v>202</v>
      </c>
      <c r="E181">
        <v>5</v>
      </c>
      <c r="F181" s="2">
        <v>2000</v>
      </c>
      <c r="G181" t="s">
        <v>25</v>
      </c>
      <c r="H181" t="s">
        <v>26</v>
      </c>
      <c r="I181" t="s">
        <v>18</v>
      </c>
      <c r="J181" s="2">
        <v>10000</v>
      </c>
    </row>
    <row r="182" spans="1:10" x14ac:dyDescent="0.25">
      <c r="A182">
        <v>2181</v>
      </c>
      <c r="B182" s="1">
        <v>45708</v>
      </c>
      <c r="C182" t="s">
        <v>19</v>
      </c>
      <c r="D182" t="s">
        <v>203</v>
      </c>
      <c r="E182">
        <v>2</v>
      </c>
      <c r="F182" s="2">
        <v>8000</v>
      </c>
      <c r="G182" t="s">
        <v>11</v>
      </c>
      <c r="H182" t="s">
        <v>12</v>
      </c>
      <c r="I182" t="s">
        <v>23</v>
      </c>
      <c r="J182" s="2">
        <v>16000</v>
      </c>
    </row>
    <row r="183" spans="1:10" x14ac:dyDescent="0.25">
      <c r="A183">
        <v>2182</v>
      </c>
      <c r="B183" s="1">
        <v>45709</v>
      </c>
      <c r="C183" t="s">
        <v>9</v>
      </c>
      <c r="D183" t="s">
        <v>204</v>
      </c>
      <c r="E183">
        <v>3</v>
      </c>
      <c r="F183" s="2">
        <v>7000</v>
      </c>
      <c r="G183" t="s">
        <v>16</v>
      </c>
      <c r="H183" t="s">
        <v>17</v>
      </c>
      <c r="I183" t="s">
        <v>13</v>
      </c>
      <c r="J183" s="2">
        <v>21000</v>
      </c>
    </row>
    <row r="184" spans="1:10" x14ac:dyDescent="0.25">
      <c r="A184">
        <v>2183</v>
      </c>
      <c r="B184" s="1">
        <v>45710</v>
      </c>
      <c r="C184" t="s">
        <v>14</v>
      </c>
      <c r="D184" t="s">
        <v>205</v>
      </c>
      <c r="E184">
        <v>2</v>
      </c>
      <c r="F184" s="2">
        <v>12000</v>
      </c>
      <c r="G184" t="s">
        <v>21</v>
      </c>
      <c r="H184" t="s">
        <v>22</v>
      </c>
      <c r="I184" t="s">
        <v>18</v>
      </c>
      <c r="J184" s="2">
        <v>24000</v>
      </c>
    </row>
    <row r="185" spans="1:10" x14ac:dyDescent="0.25">
      <c r="A185">
        <v>2184</v>
      </c>
      <c r="B185" s="1">
        <v>45711</v>
      </c>
      <c r="C185" t="s">
        <v>19</v>
      </c>
      <c r="D185" t="s">
        <v>206</v>
      </c>
      <c r="E185">
        <v>1</v>
      </c>
      <c r="F185" s="2">
        <v>45000</v>
      </c>
      <c r="G185" t="s">
        <v>25</v>
      </c>
      <c r="H185" t="s">
        <v>26</v>
      </c>
      <c r="I185" t="s">
        <v>23</v>
      </c>
      <c r="J185" s="2">
        <v>45000</v>
      </c>
    </row>
    <row r="186" spans="1:10" x14ac:dyDescent="0.25">
      <c r="A186">
        <v>2185</v>
      </c>
      <c r="B186" s="1">
        <v>45712</v>
      </c>
      <c r="C186" t="s">
        <v>9</v>
      </c>
      <c r="D186" t="s">
        <v>207</v>
      </c>
      <c r="E186">
        <v>1</v>
      </c>
      <c r="F186" s="2">
        <v>15000</v>
      </c>
      <c r="G186" t="s">
        <v>11</v>
      </c>
      <c r="H186" t="s">
        <v>12</v>
      </c>
      <c r="I186" t="s">
        <v>13</v>
      </c>
      <c r="J186" s="2">
        <v>15000</v>
      </c>
    </row>
    <row r="187" spans="1:10" x14ac:dyDescent="0.25">
      <c r="A187">
        <v>2186</v>
      </c>
      <c r="B187" s="1">
        <v>45713</v>
      </c>
      <c r="C187" t="s">
        <v>14</v>
      </c>
      <c r="D187" t="s">
        <v>208</v>
      </c>
      <c r="E187">
        <v>1</v>
      </c>
      <c r="F187" s="2">
        <v>18000</v>
      </c>
      <c r="G187" t="s">
        <v>16</v>
      </c>
      <c r="H187" t="s">
        <v>17</v>
      </c>
      <c r="I187" t="s">
        <v>18</v>
      </c>
      <c r="J187" s="2">
        <v>18000</v>
      </c>
    </row>
    <row r="188" spans="1:10" x14ac:dyDescent="0.25">
      <c r="A188">
        <v>2187</v>
      </c>
      <c r="B188" s="1">
        <v>45714</v>
      </c>
      <c r="C188" t="s">
        <v>19</v>
      </c>
      <c r="D188" t="s">
        <v>209</v>
      </c>
      <c r="E188">
        <v>1</v>
      </c>
      <c r="F188" s="2">
        <v>35000</v>
      </c>
      <c r="G188" t="s">
        <v>21</v>
      </c>
      <c r="H188" t="s">
        <v>22</v>
      </c>
      <c r="I188" t="s">
        <v>23</v>
      </c>
      <c r="J188" s="2">
        <v>35000</v>
      </c>
    </row>
    <row r="189" spans="1:10" x14ac:dyDescent="0.25">
      <c r="A189">
        <v>2188</v>
      </c>
      <c r="B189" s="1">
        <v>45715</v>
      </c>
      <c r="C189" t="s">
        <v>9</v>
      </c>
      <c r="D189" t="s">
        <v>210</v>
      </c>
      <c r="E189">
        <v>2</v>
      </c>
      <c r="F189" s="2">
        <v>6000</v>
      </c>
      <c r="G189" t="s">
        <v>25</v>
      </c>
      <c r="H189" t="s">
        <v>26</v>
      </c>
      <c r="I189" t="s">
        <v>13</v>
      </c>
      <c r="J189" s="2">
        <v>12000</v>
      </c>
    </row>
    <row r="190" spans="1:10" x14ac:dyDescent="0.25">
      <c r="A190">
        <v>2189</v>
      </c>
      <c r="B190" s="1">
        <v>45716</v>
      </c>
      <c r="C190" t="s">
        <v>14</v>
      </c>
      <c r="D190" t="s">
        <v>211</v>
      </c>
      <c r="E190">
        <v>2</v>
      </c>
      <c r="F190" s="2">
        <v>8000</v>
      </c>
      <c r="G190" t="s">
        <v>11</v>
      </c>
      <c r="H190" t="s">
        <v>12</v>
      </c>
      <c r="I190" t="s">
        <v>18</v>
      </c>
      <c r="J190" s="2">
        <v>16000</v>
      </c>
    </row>
    <row r="191" spans="1:10" x14ac:dyDescent="0.25">
      <c r="A191">
        <v>2190</v>
      </c>
      <c r="B191" s="1">
        <v>45717</v>
      </c>
      <c r="C191" t="s">
        <v>19</v>
      </c>
      <c r="D191" t="s">
        <v>212</v>
      </c>
      <c r="E191">
        <v>1</v>
      </c>
      <c r="F191" s="2">
        <v>12000</v>
      </c>
      <c r="G191" t="s">
        <v>16</v>
      </c>
      <c r="H191" t="s">
        <v>17</v>
      </c>
      <c r="I191" t="s">
        <v>23</v>
      </c>
      <c r="J191" s="2">
        <v>12000</v>
      </c>
    </row>
    <row r="192" spans="1:10" x14ac:dyDescent="0.25">
      <c r="A192">
        <v>2191</v>
      </c>
      <c r="B192" s="1">
        <v>45718</v>
      </c>
      <c r="C192" t="s">
        <v>9</v>
      </c>
      <c r="D192" t="s">
        <v>213</v>
      </c>
      <c r="E192">
        <v>1</v>
      </c>
      <c r="F192" s="2">
        <v>250000</v>
      </c>
      <c r="G192" t="s">
        <v>21</v>
      </c>
      <c r="H192" t="s">
        <v>22</v>
      </c>
      <c r="I192" t="s">
        <v>13</v>
      </c>
      <c r="J192" s="2">
        <v>250000</v>
      </c>
    </row>
    <row r="193" spans="1:10" x14ac:dyDescent="0.25">
      <c r="A193">
        <v>2192</v>
      </c>
      <c r="B193" s="1">
        <v>45719</v>
      </c>
      <c r="C193" t="s">
        <v>14</v>
      </c>
      <c r="D193" t="s">
        <v>214</v>
      </c>
      <c r="E193">
        <v>3</v>
      </c>
      <c r="F193" s="2">
        <v>7000</v>
      </c>
      <c r="G193" t="s">
        <v>25</v>
      </c>
      <c r="H193" t="s">
        <v>26</v>
      </c>
      <c r="I193" t="s">
        <v>18</v>
      </c>
      <c r="J193" s="2">
        <v>21000</v>
      </c>
    </row>
    <row r="194" spans="1:10" x14ac:dyDescent="0.25">
      <c r="A194">
        <v>2193</v>
      </c>
      <c r="B194" s="1">
        <v>45720</v>
      </c>
      <c r="C194" t="s">
        <v>19</v>
      </c>
      <c r="D194" t="s">
        <v>215</v>
      </c>
      <c r="E194">
        <v>6</v>
      </c>
      <c r="F194" s="2">
        <v>3000</v>
      </c>
      <c r="G194" t="s">
        <v>11</v>
      </c>
      <c r="H194" t="s">
        <v>12</v>
      </c>
      <c r="I194" t="s">
        <v>23</v>
      </c>
      <c r="J194" s="2">
        <v>18000</v>
      </c>
    </row>
    <row r="195" spans="1:10" x14ac:dyDescent="0.25">
      <c r="A195">
        <v>2194</v>
      </c>
      <c r="B195" s="1">
        <v>45721</v>
      </c>
      <c r="C195" t="s">
        <v>9</v>
      </c>
      <c r="D195" t="s">
        <v>216</v>
      </c>
      <c r="E195">
        <v>1</v>
      </c>
      <c r="F195" s="2">
        <v>18000</v>
      </c>
      <c r="G195" t="s">
        <v>16</v>
      </c>
      <c r="H195" t="s">
        <v>17</v>
      </c>
      <c r="I195" t="s">
        <v>13</v>
      </c>
      <c r="J195" s="2">
        <v>18000</v>
      </c>
    </row>
    <row r="196" spans="1:10" x14ac:dyDescent="0.25">
      <c r="A196">
        <v>2195</v>
      </c>
      <c r="B196" s="1">
        <v>45682</v>
      </c>
      <c r="C196" t="s">
        <v>14</v>
      </c>
      <c r="D196" t="s">
        <v>217</v>
      </c>
      <c r="E196">
        <v>1</v>
      </c>
      <c r="F196" s="2">
        <v>85000</v>
      </c>
      <c r="G196" t="s">
        <v>21</v>
      </c>
      <c r="H196" t="s">
        <v>22</v>
      </c>
      <c r="I196" t="s">
        <v>18</v>
      </c>
      <c r="J196" s="2">
        <v>85000</v>
      </c>
    </row>
    <row r="197" spans="1:10" x14ac:dyDescent="0.25">
      <c r="A197">
        <v>2196</v>
      </c>
      <c r="B197" s="1">
        <v>45683</v>
      </c>
      <c r="C197" t="s">
        <v>19</v>
      </c>
      <c r="D197" t="s">
        <v>218</v>
      </c>
      <c r="E197">
        <v>2</v>
      </c>
      <c r="F197" s="2">
        <v>25000</v>
      </c>
      <c r="G197" t="s">
        <v>25</v>
      </c>
      <c r="H197" t="s">
        <v>26</v>
      </c>
      <c r="I197" t="s">
        <v>23</v>
      </c>
      <c r="J197" s="2">
        <v>50000</v>
      </c>
    </row>
    <row r="198" spans="1:10" x14ac:dyDescent="0.25">
      <c r="A198">
        <v>2197</v>
      </c>
      <c r="B198" s="1">
        <v>45684</v>
      </c>
      <c r="C198" t="s">
        <v>9</v>
      </c>
      <c r="D198" t="s">
        <v>219</v>
      </c>
      <c r="E198">
        <v>1</v>
      </c>
      <c r="F198" s="2">
        <v>15000</v>
      </c>
      <c r="G198" t="s">
        <v>11</v>
      </c>
      <c r="H198" t="s">
        <v>12</v>
      </c>
      <c r="I198" t="s">
        <v>13</v>
      </c>
      <c r="J198" s="2">
        <v>15000</v>
      </c>
    </row>
    <row r="199" spans="1:10" x14ac:dyDescent="0.25">
      <c r="A199">
        <v>2198</v>
      </c>
      <c r="B199" s="1">
        <v>45685</v>
      </c>
      <c r="C199" t="s">
        <v>14</v>
      </c>
      <c r="D199" t="s">
        <v>220</v>
      </c>
      <c r="E199">
        <v>3</v>
      </c>
      <c r="F199" s="2">
        <v>8000</v>
      </c>
      <c r="G199" t="s">
        <v>16</v>
      </c>
      <c r="H199" t="s">
        <v>17</v>
      </c>
      <c r="I199" t="s">
        <v>18</v>
      </c>
      <c r="J199" s="2">
        <v>24000</v>
      </c>
    </row>
    <row r="200" spans="1:10" x14ac:dyDescent="0.25">
      <c r="A200">
        <v>2199</v>
      </c>
      <c r="B200" s="1">
        <v>45686</v>
      </c>
      <c r="C200" t="s">
        <v>19</v>
      </c>
      <c r="D200" t="s">
        <v>221</v>
      </c>
      <c r="E200">
        <v>2</v>
      </c>
      <c r="F200" s="2">
        <v>10000</v>
      </c>
      <c r="G200" t="s">
        <v>21</v>
      </c>
      <c r="H200" t="s">
        <v>22</v>
      </c>
      <c r="I200" t="s">
        <v>23</v>
      </c>
      <c r="J200" s="2">
        <v>20000</v>
      </c>
    </row>
    <row r="201" spans="1:10" x14ac:dyDescent="0.25">
      <c r="A201">
        <v>2200</v>
      </c>
      <c r="B201" s="1">
        <v>45687</v>
      </c>
      <c r="C201" t="s">
        <v>9</v>
      </c>
      <c r="D201" t="s">
        <v>222</v>
      </c>
      <c r="E201">
        <v>1</v>
      </c>
      <c r="F201" s="2">
        <v>120000</v>
      </c>
      <c r="G201" t="s">
        <v>25</v>
      </c>
      <c r="H201" t="s">
        <v>26</v>
      </c>
      <c r="I201" t="s">
        <v>13</v>
      </c>
      <c r="J201" s="2">
        <v>120000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3F15-3271-40AA-8B22-8EE0DC771BD2}">
  <dimension ref="A1:C201"/>
  <sheetViews>
    <sheetView topLeftCell="A16" workbookViewId="0"/>
  </sheetViews>
  <sheetFormatPr defaultRowHeight="15" x14ac:dyDescent="0.25"/>
  <cols>
    <col min="3" max="3" width="51.5703125" bestFit="1" customWidth="1"/>
  </cols>
  <sheetData>
    <row r="1" spans="1:3" x14ac:dyDescent="0.25">
      <c r="A1" s="5" t="s">
        <v>223</v>
      </c>
      <c r="C1" s="4" t="s">
        <v>224</v>
      </c>
    </row>
    <row r="2" spans="1:3" x14ac:dyDescent="0.25">
      <c r="A2" s="2">
        <v>900000</v>
      </c>
      <c r="C2" s="3">
        <v>2870500</v>
      </c>
    </row>
    <row r="3" spans="1:3" x14ac:dyDescent="0.25">
      <c r="A3" s="2">
        <v>45000</v>
      </c>
      <c r="C3" s="4" t="s">
        <v>225</v>
      </c>
    </row>
    <row r="4" spans="1:3" x14ac:dyDescent="0.25">
      <c r="A4" s="2">
        <v>75000</v>
      </c>
      <c r="C4">
        <v>50</v>
      </c>
    </row>
    <row r="5" spans="1:3" x14ac:dyDescent="0.25">
      <c r="A5" s="2">
        <v>120000</v>
      </c>
      <c r="C5" s="4" t="s">
        <v>226</v>
      </c>
    </row>
    <row r="6" spans="1:3" x14ac:dyDescent="0.25">
      <c r="A6" s="2">
        <v>25000</v>
      </c>
      <c r="C6" s="2">
        <v>31795.454545454544</v>
      </c>
    </row>
    <row r="7" spans="1:3" x14ac:dyDescent="0.25">
      <c r="A7" s="2">
        <v>150000</v>
      </c>
      <c r="C7" s="4" t="s">
        <v>227</v>
      </c>
    </row>
    <row r="8" spans="1:3" x14ac:dyDescent="0.25">
      <c r="A8" s="2">
        <v>50000</v>
      </c>
      <c r="C8" s="2">
        <v>1881000</v>
      </c>
    </row>
    <row r="9" spans="1:3" x14ac:dyDescent="0.25">
      <c r="A9" s="2">
        <v>35000</v>
      </c>
      <c r="C9" s="4" t="s">
        <v>228</v>
      </c>
    </row>
    <row r="10" spans="1:3" x14ac:dyDescent="0.25">
      <c r="A10" s="2">
        <v>120000</v>
      </c>
      <c r="C10">
        <v>0</v>
      </c>
    </row>
    <row r="11" spans="1:3" x14ac:dyDescent="0.25">
      <c r="A11" s="2">
        <v>80000</v>
      </c>
      <c r="C11" s="4" t="s">
        <v>229</v>
      </c>
    </row>
    <row r="12" spans="1:3" x14ac:dyDescent="0.25">
      <c r="A12" s="2">
        <v>50000</v>
      </c>
      <c r="C12">
        <v>3</v>
      </c>
    </row>
    <row r="13" spans="1:3" x14ac:dyDescent="0.25">
      <c r="A13" s="2">
        <v>45000</v>
      </c>
      <c r="C13" s="4" t="s">
        <v>230</v>
      </c>
    </row>
    <row r="14" spans="1:3" x14ac:dyDescent="0.25">
      <c r="A14" s="2">
        <v>35000</v>
      </c>
      <c r="C14">
        <v>2.36</v>
      </c>
    </row>
    <row r="15" spans="1:3" x14ac:dyDescent="0.25">
      <c r="A15" s="2">
        <v>24000</v>
      </c>
      <c r="C15" s="4" t="s">
        <v>231</v>
      </c>
    </row>
    <row r="16" spans="1:3" x14ac:dyDescent="0.25">
      <c r="A16" s="2">
        <v>170000</v>
      </c>
      <c r="C16">
        <v>0</v>
      </c>
    </row>
    <row r="17" spans="1:3" x14ac:dyDescent="0.25">
      <c r="A17" s="2">
        <v>120000</v>
      </c>
      <c r="C17" s="4" t="s">
        <v>232</v>
      </c>
    </row>
    <row r="18" spans="1:3" x14ac:dyDescent="0.25">
      <c r="A18" s="2">
        <v>44000</v>
      </c>
      <c r="C18">
        <v>112</v>
      </c>
    </row>
    <row r="19" spans="1:3" x14ac:dyDescent="0.25">
      <c r="A19" s="2">
        <v>180000</v>
      </c>
      <c r="C19" s="4" t="s">
        <v>233</v>
      </c>
    </row>
    <row r="20" spans="1:3" x14ac:dyDescent="0.25">
      <c r="A20" s="2">
        <v>45000</v>
      </c>
      <c r="C20">
        <v>44</v>
      </c>
    </row>
    <row r="21" spans="1:3" x14ac:dyDescent="0.25">
      <c r="A21" s="2">
        <v>28000</v>
      </c>
      <c r="C21" s="4" t="s">
        <v>234</v>
      </c>
    </row>
    <row r="22" spans="1:3" x14ac:dyDescent="0.25">
      <c r="A22" s="2">
        <v>250000</v>
      </c>
      <c r="C22" s="2">
        <v>33920</v>
      </c>
    </row>
    <row r="23" spans="1:3" x14ac:dyDescent="0.25">
      <c r="A23" s="2">
        <v>25000</v>
      </c>
      <c r="C23" s="4" t="s">
        <v>235</v>
      </c>
    </row>
    <row r="24" spans="1:3" x14ac:dyDescent="0.25">
      <c r="A24" s="2">
        <v>36000</v>
      </c>
      <c r="C24">
        <v>68</v>
      </c>
    </row>
    <row r="25" spans="1:3" x14ac:dyDescent="0.25">
      <c r="A25" s="2">
        <v>50000</v>
      </c>
      <c r="C25" s="4" t="s">
        <v>236</v>
      </c>
    </row>
    <row r="26" spans="1:3" x14ac:dyDescent="0.25">
      <c r="A26" s="2">
        <v>65000</v>
      </c>
      <c r="C26">
        <v>2</v>
      </c>
    </row>
    <row r="27" spans="1:3" x14ac:dyDescent="0.25">
      <c r="A27" s="2">
        <v>40000</v>
      </c>
      <c r="C27" s="4" t="s">
        <v>237</v>
      </c>
    </row>
    <row r="28" spans="1:3" x14ac:dyDescent="0.25">
      <c r="A28" s="2">
        <v>55000</v>
      </c>
      <c r="C28">
        <v>2.46</v>
      </c>
    </row>
    <row r="29" spans="1:3" x14ac:dyDescent="0.25">
      <c r="A29" s="2">
        <v>60000</v>
      </c>
      <c r="C29" s="4" t="s">
        <v>239</v>
      </c>
    </row>
    <row r="30" spans="1:3" x14ac:dyDescent="0.25">
      <c r="A30" s="2">
        <v>36000</v>
      </c>
      <c r="C30" s="2">
        <v>1672000</v>
      </c>
    </row>
    <row r="31" spans="1:3" x14ac:dyDescent="0.25">
      <c r="A31" s="2">
        <v>40000</v>
      </c>
      <c r="C31" s="4" t="s">
        <v>238</v>
      </c>
    </row>
    <row r="32" spans="1:3" x14ac:dyDescent="0.25">
      <c r="A32" s="2">
        <v>25000</v>
      </c>
      <c r="C32">
        <v>0</v>
      </c>
    </row>
    <row r="33" spans="1:1" x14ac:dyDescent="0.25">
      <c r="A33" s="2">
        <v>30000</v>
      </c>
    </row>
    <row r="34" spans="1:1" x14ac:dyDescent="0.25">
      <c r="A34" s="2">
        <v>15000</v>
      </c>
    </row>
    <row r="35" spans="1:1" x14ac:dyDescent="0.25">
      <c r="A35" s="2">
        <v>22000</v>
      </c>
    </row>
    <row r="36" spans="1:1" x14ac:dyDescent="0.25">
      <c r="A36" s="2">
        <v>32000</v>
      </c>
    </row>
    <row r="37" spans="1:1" x14ac:dyDescent="0.25">
      <c r="A37" s="2">
        <v>24000</v>
      </c>
    </row>
    <row r="38" spans="1:1" x14ac:dyDescent="0.25">
      <c r="A38" s="2">
        <v>20000</v>
      </c>
    </row>
    <row r="39" spans="1:1" x14ac:dyDescent="0.25">
      <c r="A39" s="2">
        <v>15000</v>
      </c>
    </row>
    <row r="40" spans="1:1" x14ac:dyDescent="0.25">
      <c r="A40" s="2">
        <v>25000</v>
      </c>
    </row>
    <row r="41" spans="1:1" x14ac:dyDescent="0.25">
      <c r="A41" s="2">
        <v>40000</v>
      </c>
    </row>
    <row r="42" spans="1:1" x14ac:dyDescent="0.25">
      <c r="A42" s="2">
        <v>18000</v>
      </c>
    </row>
    <row r="43" spans="1:1" x14ac:dyDescent="0.25">
      <c r="A43" s="2">
        <v>18000</v>
      </c>
    </row>
    <row r="44" spans="1:1" x14ac:dyDescent="0.25">
      <c r="A44" s="2">
        <v>30000</v>
      </c>
    </row>
    <row r="45" spans="1:1" x14ac:dyDescent="0.25">
      <c r="A45" s="2">
        <v>20000</v>
      </c>
    </row>
    <row r="46" spans="1:1" x14ac:dyDescent="0.25">
      <c r="A46" s="2">
        <v>10000</v>
      </c>
    </row>
    <row r="47" spans="1:1" x14ac:dyDescent="0.25">
      <c r="A47" s="2">
        <v>55000</v>
      </c>
    </row>
    <row r="48" spans="1:1" x14ac:dyDescent="0.25">
      <c r="A48" s="2">
        <v>24000</v>
      </c>
    </row>
    <row r="49" spans="1:1" x14ac:dyDescent="0.25">
      <c r="A49" s="2">
        <v>35000</v>
      </c>
    </row>
    <row r="50" spans="1:1" x14ac:dyDescent="0.25">
      <c r="A50" s="2">
        <v>20000</v>
      </c>
    </row>
    <row r="51" spans="1:1" x14ac:dyDescent="0.25">
      <c r="A51" s="2">
        <v>21000</v>
      </c>
    </row>
    <row r="52" spans="1:1" x14ac:dyDescent="0.25">
      <c r="A52" s="2">
        <v>50000</v>
      </c>
    </row>
    <row r="53" spans="1:1" x14ac:dyDescent="0.25">
      <c r="A53" s="2">
        <v>180000</v>
      </c>
    </row>
    <row r="54" spans="1:1" x14ac:dyDescent="0.25">
      <c r="A54" s="2">
        <v>25000</v>
      </c>
    </row>
    <row r="55" spans="1:1" x14ac:dyDescent="0.25">
      <c r="A55" s="2">
        <v>24000</v>
      </c>
    </row>
    <row r="56" spans="1:1" x14ac:dyDescent="0.25">
      <c r="A56" s="2">
        <v>45000</v>
      </c>
    </row>
    <row r="57" spans="1:1" x14ac:dyDescent="0.25">
      <c r="A57" s="2">
        <v>20000</v>
      </c>
    </row>
    <row r="58" spans="1:1" x14ac:dyDescent="0.25">
      <c r="A58" s="2">
        <v>16000</v>
      </c>
    </row>
    <row r="59" spans="1:1" x14ac:dyDescent="0.25">
      <c r="A59" s="2">
        <v>45000</v>
      </c>
    </row>
    <row r="60" spans="1:1" x14ac:dyDescent="0.25">
      <c r="A60" s="2">
        <v>32000</v>
      </c>
    </row>
    <row r="61" spans="1:1" x14ac:dyDescent="0.25">
      <c r="A61" s="2">
        <v>60000</v>
      </c>
    </row>
    <row r="62" spans="1:1" x14ac:dyDescent="0.25">
      <c r="A62" s="2">
        <v>32000</v>
      </c>
    </row>
    <row r="63" spans="1:1" x14ac:dyDescent="0.25">
      <c r="A63" s="2">
        <v>24000</v>
      </c>
    </row>
    <row r="64" spans="1:1" x14ac:dyDescent="0.25">
      <c r="A64" s="2">
        <v>45000</v>
      </c>
    </row>
    <row r="65" spans="1:1" x14ac:dyDescent="0.25">
      <c r="A65" s="2">
        <v>25000</v>
      </c>
    </row>
    <row r="66" spans="1:1" x14ac:dyDescent="0.25">
      <c r="A66" s="2">
        <v>35000</v>
      </c>
    </row>
    <row r="67" spans="1:1" x14ac:dyDescent="0.25">
      <c r="A67" s="2">
        <v>65000</v>
      </c>
    </row>
    <row r="68" spans="1:1" x14ac:dyDescent="0.25">
      <c r="A68" s="2">
        <v>250000</v>
      </c>
    </row>
    <row r="69" spans="1:1" x14ac:dyDescent="0.25">
      <c r="A69" s="2">
        <v>30000</v>
      </c>
    </row>
    <row r="70" spans="1:1" x14ac:dyDescent="0.25">
      <c r="A70" s="2">
        <v>16000</v>
      </c>
    </row>
    <row r="71" spans="1:1" x14ac:dyDescent="0.25">
      <c r="A71" s="2">
        <v>24000</v>
      </c>
    </row>
    <row r="72" spans="1:1" x14ac:dyDescent="0.25">
      <c r="A72" s="2">
        <v>25000</v>
      </c>
    </row>
    <row r="73" spans="1:1" x14ac:dyDescent="0.25">
      <c r="A73" s="2">
        <v>28000</v>
      </c>
    </row>
    <row r="74" spans="1:1" x14ac:dyDescent="0.25">
      <c r="A74" s="2">
        <v>150000</v>
      </c>
    </row>
    <row r="75" spans="1:1" x14ac:dyDescent="0.25">
      <c r="A75" s="2">
        <v>24000</v>
      </c>
    </row>
    <row r="76" spans="1:1" x14ac:dyDescent="0.25">
      <c r="A76" s="2">
        <v>40000</v>
      </c>
    </row>
    <row r="77" spans="1:1" x14ac:dyDescent="0.25">
      <c r="A77" s="2">
        <v>18000</v>
      </c>
    </row>
    <row r="78" spans="1:1" x14ac:dyDescent="0.25">
      <c r="A78" s="2">
        <v>24000</v>
      </c>
    </row>
    <row r="79" spans="1:1" x14ac:dyDescent="0.25">
      <c r="A79" s="2">
        <v>15000</v>
      </c>
    </row>
    <row r="80" spans="1:1" x14ac:dyDescent="0.25">
      <c r="A80" s="2">
        <v>15000</v>
      </c>
    </row>
    <row r="81" spans="1:1" x14ac:dyDescent="0.25">
      <c r="A81" s="2">
        <v>25000</v>
      </c>
    </row>
    <row r="82" spans="1:1" x14ac:dyDescent="0.25">
      <c r="A82" s="2">
        <v>24000</v>
      </c>
    </row>
    <row r="83" spans="1:1" x14ac:dyDescent="0.25">
      <c r="A83" s="2">
        <v>24000</v>
      </c>
    </row>
    <row r="84" spans="1:1" x14ac:dyDescent="0.25">
      <c r="A84" s="2">
        <v>18000</v>
      </c>
    </row>
    <row r="85" spans="1:1" x14ac:dyDescent="0.25">
      <c r="A85" s="2">
        <v>20000</v>
      </c>
    </row>
    <row r="86" spans="1:1" x14ac:dyDescent="0.25">
      <c r="A86" s="2">
        <v>25000</v>
      </c>
    </row>
    <row r="87" spans="1:1" x14ac:dyDescent="0.25">
      <c r="A87" s="2">
        <v>27000</v>
      </c>
    </row>
    <row r="88" spans="1:1" x14ac:dyDescent="0.25">
      <c r="A88" s="2">
        <v>10000</v>
      </c>
    </row>
    <row r="89" spans="1:1" x14ac:dyDescent="0.25">
      <c r="A89" s="2">
        <v>18000</v>
      </c>
    </row>
    <row r="90" spans="1:1" x14ac:dyDescent="0.25">
      <c r="A90" s="2">
        <v>20000</v>
      </c>
    </row>
    <row r="91" spans="1:1" x14ac:dyDescent="0.25">
      <c r="A91" s="2">
        <v>30000</v>
      </c>
    </row>
    <row r="92" spans="1:1" x14ac:dyDescent="0.25">
      <c r="A92" s="2">
        <v>20000</v>
      </c>
    </row>
    <row r="93" spans="1:1" x14ac:dyDescent="0.25">
      <c r="A93" s="2">
        <v>12000</v>
      </c>
    </row>
    <row r="94" spans="1:1" x14ac:dyDescent="0.25">
      <c r="A94" s="2">
        <v>18000</v>
      </c>
    </row>
    <row r="95" spans="1:1" x14ac:dyDescent="0.25">
      <c r="A95" s="2">
        <v>22000</v>
      </c>
    </row>
    <row r="96" spans="1:1" x14ac:dyDescent="0.25">
      <c r="A96" s="2">
        <v>50000</v>
      </c>
    </row>
    <row r="97" spans="1:1" x14ac:dyDescent="0.25">
      <c r="A97" s="2">
        <v>45000</v>
      </c>
    </row>
    <row r="98" spans="1:1" x14ac:dyDescent="0.25">
      <c r="A98" s="2">
        <v>12000</v>
      </c>
    </row>
    <row r="99" spans="1:1" x14ac:dyDescent="0.25">
      <c r="A99" s="2">
        <v>16000</v>
      </c>
    </row>
    <row r="100" spans="1:1" x14ac:dyDescent="0.25">
      <c r="A100" s="2">
        <v>25000</v>
      </c>
    </row>
    <row r="101" spans="1:1" x14ac:dyDescent="0.25">
      <c r="A101" s="2">
        <v>85000</v>
      </c>
    </row>
    <row r="102" spans="1:1" x14ac:dyDescent="0.25">
      <c r="A102" s="2">
        <v>70000</v>
      </c>
    </row>
    <row r="103" spans="1:1" x14ac:dyDescent="0.25">
      <c r="A103" s="2">
        <v>28000</v>
      </c>
    </row>
    <row r="104" spans="1:1" x14ac:dyDescent="0.25">
      <c r="A104" s="2">
        <v>36000</v>
      </c>
    </row>
    <row r="105" spans="1:1" x14ac:dyDescent="0.25">
      <c r="A105" s="2">
        <v>20000</v>
      </c>
    </row>
    <row r="106" spans="1:1" x14ac:dyDescent="0.25">
      <c r="A106" s="2">
        <v>44000</v>
      </c>
    </row>
    <row r="107" spans="1:1" x14ac:dyDescent="0.25">
      <c r="A107" s="2">
        <v>72000</v>
      </c>
    </row>
    <row r="108" spans="1:1" x14ac:dyDescent="0.25">
      <c r="A108" s="2">
        <v>24000</v>
      </c>
    </row>
    <row r="109" spans="1:1" x14ac:dyDescent="0.25">
      <c r="A109" s="2">
        <v>15000</v>
      </c>
    </row>
    <row r="110" spans="1:1" x14ac:dyDescent="0.25">
      <c r="A110" s="2">
        <v>55000</v>
      </c>
    </row>
    <row r="111" spans="1:1" x14ac:dyDescent="0.25">
      <c r="A111" s="2">
        <v>15000</v>
      </c>
    </row>
    <row r="112" spans="1:1" x14ac:dyDescent="0.25">
      <c r="A112" s="2">
        <v>45000</v>
      </c>
    </row>
    <row r="113" spans="1:1" x14ac:dyDescent="0.25">
      <c r="A113" s="2">
        <v>35000</v>
      </c>
    </row>
    <row r="114" spans="1:1" x14ac:dyDescent="0.25">
      <c r="A114" s="2">
        <v>50000</v>
      </c>
    </row>
    <row r="115" spans="1:1" x14ac:dyDescent="0.25">
      <c r="A115" s="2">
        <v>36000</v>
      </c>
    </row>
    <row r="116" spans="1:1" x14ac:dyDescent="0.25">
      <c r="A116" s="2">
        <v>65000</v>
      </c>
    </row>
    <row r="117" spans="1:1" x14ac:dyDescent="0.25">
      <c r="A117" s="2">
        <v>75000</v>
      </c>
    </row>
    <row r="118" spans="1:1" x14ac:dyDescent="0.25">
      <c r="A118" s="2">
        <v>40000</v>
      </c>
    </row>
    <row r="119" spans="1:1" x14ac:dyDescent="0.25">
      <c r="A119" s="2">
        <v>24000</v>
      </c>
    </row>
    <row r="120" spans="1:1" x14ac:dyDescent="0.25">
      <c r="A120" s="2">
        <v>16000</v>
      </c>
    </row>
    <row r="121" spans="1:1" x14ac:dyDescent="0.25">
      <c r="A121" s="2">
        <v>30000</v>
      </c>
    </row>
    <row r="122" spans="1:1" x14ac:dyDescent="0.25">
      <c r="A122" s="2">
        <v>18000</v>
      </c>
    </row>
    <row r="123" spans="1:1" x14ac:dyDescent="0.25">
      <c r="A123" s="2">
        <v>12000</v>
      </c>
    </row>
    <row r="124" spans="1:1" x14ac:dyDescent="0.25">
      <c r="A124" s="2">
        <v>54000</v>
      </c>
    </row>
    <row r="125" spans="1:1" x14ac:dyDescent="0.25">
      <c r="A125" s="2">
        <v>20000</v>
      </c>
    </row>
    <row r="126" spans="1:1" x14ac:dyDescent="0.25">
      <c r="A126" s="2">
        <v>15000</v>
      </c>
    </row>
    <row r="127" spans="1:1" x14ac:dyDescent="0.25">
      <c r="A127" s="2">
        <v>55000</v>
      </c>
    </row>
    <row r="128" spans="1:1" x14ac:dyDescent="0.25">
      <c r="A128" s="2">
        <v>22000</v>
      </c>
    </row>
    <row r="129" spans="1:1" x14ac:dyDescent="0.25">
      <c r="A129" s="2">
        <v>30000</v>
      </c>
    </row>
    <row r="130" spans="1:1" x14ac:dyDescent="0.25">
      <c r="A130" s="2">
        <v>36000</v>
      </c>
    </row>
    <row r="131" spans="1:1" x14ac:dyDescent="0.25">
      <c r="A131" s="2">
        <v>16000</v>
      </c>
    </row>
    <row r="132" spans="1:1" x14ac:dyDescent="0.25">
      <c r="A132" s="2">
        <v>30000</v>
      </c>
    </row>
    <row r="133" spans="1:1" x14ac:dyDescent="0.25">
      <c r="A133" s="2">
        <v>65000</v>
      </c>
    </row>
    <row r="134" spans="1:1" x14ac:dyDescent="0.25">
      <c r="A134" s="2">
        <v>21000</v>
      </c>
    </row>
    <row r="135" spans="1:1" x14ac:dyDescent="0.25">
      <c r="A135" s="2">
        <v>36000</v>
      </c>
    </row>
    <row r="136" spans="1:1" x14ac:dyDescent="0.25">
      <c r="A136" s="2">
        <v>24000</v>
      </c>
    </row>
    <row r="137" spans="1:1" x14ac:dyDescent="0.25">
      <c r="A137" s="2">
        <v>12000</v>
      </c>
    </row>
    <row r="138" spans="1:1" x14ac:dyDescent="0.25">
      <c r="A138" s="2">
        <v>45000</v>
      </c>
    </row>
    <row r="139" spans="1:1" x14ac:dyDescent="0.25">
      <c r="A139" s="2">
        <v>32000</v>
      </c>
    </row>
    <row r="140" spans="1:1" x14ac:dyDescent="0.25">
      <c r="A140" s="2">
        <v>15000</v>
      </c>
    </row>
    <row r="141" spans="1:1" x14ac:dyDescent="0.25">
      <c r="A141" s="2">
        <v>20000</v>
      </c>
    </row>
    <row r="142" spans="1:1" x14ac:dyDescent="0.25">
      <c r="A142" s="2">
        <v>30000</v>
      </c>
    </row>
    <row r="143" spans="1:1" x14ac:dyDescent="0.25">
      <c r="A143" s="2">
        <v>10000</v>
      </c>
    </row>
    <row r="144" spans="1:1" x14ac:dyDescent="0.25">
      <c r="A144" s="2">
        <v>24000</v>
      </c>
    </row>
    <row r="145" spans="1:1" x14ac:dyDescent="0.25">
      <c r="A145" s="2">
        <v>15000</v>
      </c>
    </row>
    <row r="146" spans="1:1" x14ac:dyDescent="0.25">
      <c r="A146" s="2">
        <v>12000</v>
      </c>
    </row>
    <row r="147" spans="1:1" x14ac:dyDescent="0.25">
      <c r="A147" s="2">
        <v>16000</v>
      </c>
    </row>
    <row r="148" spans="1:1" x14ac:dyDescent="0.25">
      <c r="A148" s="2">
        <v>20000</v>
      </c>
    </row>
    <row r="149" spans="1:1" x14ac:dyDescent="0.25">
      <c r="A149" s="2">
        <v>18000</v>
      </c>
    </row>
    <row r="150" spans="1:1" x14ac:dyDescent="0.25">
      <c r="A150" s="2">
        <v>21000</v>
      </c>
    </row>
    <row r="151" spans="1:1" x14ac:dyDescent="0.25">
      <c r="A151" s="2">
        <v>20000</v>
      </c>
    </row>
    <row r="152" spans="1:1" x14ac:dyDescent="0.25">
      <c r="A152" s="2">
        <v>20000</v>
      </c>
    </row>
    <row r="153" spans="1:1" x14ac:dyDescent="0.25">
      <c r="A153" s="2">
        <v>16000</v>
      </c>
    </row>
    <row r="154" spans="1:1" x14ac:dyDescent="0.25">
      <c r="A154" s="2">
        <v>21000</v>
      </c>
    </row>
    <row r="155" spans="1:1" x14ac:dyDescent="0.25">
      <c r="A155" s="2">
        <v>12000</v>
      </c>
    </row>
    <row r="156" spans="1:1" x14ac:dyDescent="0.25">
      <c r="A156" s="2">
        <v>85000</v>
      </c>
    </row>
    <row r="157" spans="1:1" x14ac:dyDescent="0.25">
      <c r="A157" s="2">
        <v>30000</v>
      </c>
    </row>
    <row r="158" spans="1:1" x14ac:dyDescent="0.25">
      <c r="A158" s="2">
        <v>24000</v>
      </c>
    </row>
    <row r="159" spans="1:1" x14ac:dyDescent="0.25">
      <c r="A159" s="2">
        <v>35000</v>
      </c>
    </row>
    <row r="160" spans="1:1" x14ac:dyDescent="0.25">
      <c r="A160" s="2">
        <v>20000</v>
      </c>
    </row>
    <row r="161" spans="1:1" x14ac:dyDescent="0.25">
      <c r="A161" s="2">
        <v>30000</v>
      </c>
    </row>
    <row r="162" spans="1:1" x14ac:dyDescent="0.25">
      <c r="A162" s="2">
        <v>24000</v>
      </c>
    </row>
    <row r="163" spans="1:1" x14ac:dyDescent="0.25">
      <c r="A163" s="2">
        <v>12000</v>
      </c>
    </row>
    <row r="164" spans="1:1" x14ac:dyDescent="0.25">
      <c r="A164" s="2">
        <v>16000</v>
      </c>
    </row>
    <row r="165" spans="1:1" x14ac:dyDescent="0.25">
      <c r="A165" s="2">
        <v>18000</v>
      </c>
    </row>
    <row r="166" spans="1:1" x14ac:dyDescent="0.25">
      <c r="A166" s="2">
        <v>16000</v>
      </c>
    </row>
    <row r="167" spans="1:1" x14ac:dyDescent="0.25">
      <c r="A167" s="2">
        <v>45000</v>
      </c>
    </row>
    <row r="168" spans="1:1" x14ac:dyDescent="0.25">
      <c r="A168" s="2">
        <v>15000</v>
      </c>
    </row>
    <row r="169" spans="1:1" x14ac:dyDescent="0.25">
      <c r="A169" s="2">
        <v>18000</v>
      </c>
    </row>
    <row r="170" spans="1:1" x14ac:dyDescent="0.25">
      <c r="A170" s="2">
        <v>25000</v>
      </c>
    </row>
    <row r="171" spans="1:1" x14ac:dyDescent="0.25">
      <c r="A171" s="2">
        <v>16000</v>
      </c>
    </row>
    <row r="172" spans="1:1" x14ac:dyDescent="0.25">
      <c r="A172" s="2">
        <v>15000</v>
      </c>
    </row>
    <row r="173" spans="1:1" x14ac:dyDescent="0.25">
      <c r="A173" s="2">
        <v>20000</v>
      </c>
    </row>
    <row r="174" spans="1:1" x14ac:dyDescent="0.25">
      <c r="A174" s="2">
        <v>25000</v>
      </c>
    </row>
    <row r="175" spans="1:1" x14ac:dyDescent="0.25">
      <c r="A175" s="2">
        <v>20000</v>
      </c>
    </row>
    <row r="176" spans="1:1" x14ac:dyDescent="0.25">
      <c r="A176" s="2">
        <v>85000</v>
      </c>
    </row>
    <row r="177" spans="1:1" x14ac:dyDescent="0.25">
      <c r="A177" s="2">
        <v>15000</v>
      </c>
    </row>
    <row r="178" spans="1:1" x14ac:dyDescent="0.25">
      <c r="A178" s="2">
        <v>12000</v>
      </c>
    </row>
    <row r="179" spans="1:1" x14ac:dyDescent="0.25">
      <c r="A179" s="2">
        <v>12000</v>
      </c>
    </row>
    <row r="180" spans="1:1" x14ac:dyDescent="0.25">
      <c r="A180" s="2">
        <v>12000</v>
      </c>
    </row>
    <row r="181" spans="1:1" x14ac:dyDescent="0.25">
      <c r="A181" s="2">
        <v>10000</v>
      </c>
    </row>
    <row r="182" spans="1:1" x14ac:dyDescent="0.25">
      <c r="A182" s="2">
        <v>16000</v>
      </c>
    </row>
    <row r="183" spans="1:1" x14ac:dyDescent="0.25">
      <c r="A183" s="2">
        <v>21000</v>
      </c>
    </row>
    <row r="184" spans="1:1" x14ac:dyDescent="0.25">
      <c r="A184" s="2">
        <v>24000</v>
      </c>
    </row>
    <row r="185" spans="1:1" x14ac:dyDescent="0.25">
      <c r="A185" s="2">
        <v>45000</v>
      </c>
    </row>
    <row r="186" spans="1:1" x14ac:dyDescent="0.25">
      <c r="A186" s="2">
        <v>15000</v>
      </c>
    </row>
    <row r="187" spans="1:1" x14ac:dyDescent="0.25">
      <c r="A187" s="2">
        <v>18000</v>
      </c>
    </row>
    <row r="188" spans="1:1" x14ac:dyDescent="0.25">
      <c r="A188" s="2">
        <v>35000</v>
      </c>
    </row>
    <row r="189" spans="1:1" x14ac:dyDescent="0.25">
      <c r="A189" s="2">
        <v>12000</v>
      </c>
    </row>
    <row r="190" spans="1:1" x14ac:dyDescent="0.25">
      <c r="A190" s="2">
        <v>16000</v>
      </c>
    </row>
    <row r="191" spans="1:1" x14ac:dyDescent="0.25">
      <c r="A191" s="2">
        <v>12000</v>
      </c>
    </row>
    <row r="192" spans="1:1" x14ac:dyDescent="0.25">
      <c r="A192" s="2">
        <v>250000</v>
      </c>
    </row>
    <row r="193" spans="1:1" x14ac:dyDescent="0.25">
      <c r="A193" s="2">
        <v>21000</v>
      </c>
    </row>
    <row r="194" spans="1:1" x14ac:dyDescent="0.25">
      <c r="A194" s="2">
        <v>18000</v>
      </c>
    </row>
    <row r="195" spans="1:1" x14ac:dyDescent="0.25">
      <c r="A195" s="2">
        <v>18000</v>
      </c>
    </row>
    <row r="196" spans="1:1" x14ac:dyDescent="0.25">
      <c r="A196" s="2">
        <v>85000</v>
      </c>
    </row>
    <row r="197" spans="1:1" x14ac:dyDescent="0.25">
      <c r="A197" s="2">
        <v>50000</v>
      </c>
    </row>
    <row r="198" spans="1:1" x14ac:dyDescent="0.25">
      <c r="A198" s="2">
        <v>15000</v>
      </c>
    </row>
    <row r="199" spans="1:1" x14ac:dyDescent="0.25">
      <c r="A199" s="2">
        <v>24000</v>
      </c>
    </row>
    <row r="200" spans="1:1" x14ac:dyDescent="0.25">
      <c r="A200" s="2">
        <v>20000</v>
      </c>
    </row>
    <row r="201" spans="1:1" x14ac:dyDescent="0.25">
      <c r="A201" s="2">
        <v>120000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F7DE14-D398-4273-BD33-2B4E3D0B2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2026-04-21T14:03:59Z</dcterms:created>
  <dcterms:modified xsi:type="dcterms:W3CDTF">2026-04-21T20:41:49Z</dcterms:modified>
</cp:coreProperties>
</file>