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3D4D0A1-E3CF-4B30-947D-CE3D37A43562}" xr6:coauthVersionLast="47" xr6:coauthVersionMax="47" xr10:uidLastSave="{00000000-0000-0000-0000-000000000000}"/>
  <bookViews>
    <workbookView xWindow="-120" yWindow="-120" windowWidth="20730" windowHeight="11160" xr2:uid="{B830C999-D9EA-4A01-8428-A247F3B7C6D9}"/>
  </bookViews>
  <sheets>
    <sheet name="Raw Data" sheetId="2" r:id="rId1"/>
    <sheet name="Filters" sheetId="5" r:id="rId2"/>
    <sheet name="North Orders" sheetId="3" r:id="rId3"/>
    <sheet name="East Region" sheetId="4" r:id="rId4"/>
  </sheets>
  <definedNames>
    <definedName name="ExternalData_1" localSheetId="0" hidden="1">'Raw Data'!$A$1:$J$246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0" i="4" l="1" a="1"/>
  <c r="L90" i="4" s="1"/>
  <c r="L3" i="4" a="1"/>
  <c r="L3" i="4" s="1"/>
  <c r="A67" i="4" a="1"/>
  <c r="A67" i="4" s="1"/>
  <c r="A237" i="3" a="1"/>
  <c r="A237" i="3" s="1"/>
  <c r="A72" i="3" a="1"/>
  <c r="A72" i="3" s="1"/>
  <c r="A371" i="5" a="1"/>
  <c r="A371" i="5" s="1"/>
  <c r="A362" i="5" a="1"/>
  <c r="A362" i="5" s="1"/>
  <c r="A350" i="5" a="1"/>
  <c r="A350" i="5" s="1"/>
  <c r="A204" i="5" a="1"/>
  <c r="A204" i="5" s="1"/>
  <c r="A152" i="5" a="1"/>
  <c r="A152" i="5" s="1"/>
  <c r="A25" i="5" a="1"/>
  <c r="A25" i="5" s="1"/>
  <c r="A3" i="5" a="1"/>
  <c r="A3" i="5" s="1"/>
  <c r="A3" i="4" a="1"/>
  <c r="A3" i="4" s="1"/>
  <c r="A2" i="3" a="1"/>
  <c r="A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956CE-A1C5-4B3C-95FC-B53B5750CA43}" keepAlive="1" name="Query - deepseek_csv_20260422_7f7afa" description="Connection to the 'deepseek_csv_20260422_7f7afa' query in the workbook." type="5" refreshedVersion="7" background="1" saveData="1">
    <dbPr connection="Provider=Microsoft.Mashup.OleDb.1;Data Source=$Workbook$;Location=deepseek_csv_20260422_7f7afa;Extended Properties=&quot;&quot;" command="SELECT * FROM [deepseek_csv_20260422_7f7af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<sst xmlns="http://schemas.openxmlformats.org/spreadsheetml/2006/main" count="1372" uniqueCount="274">
  <si>
    <t>OrderID</t>
  </si>
  <si>
    <t>OrderDate</t>
  </si>
  <si>
    <t>ProductCategory</t>
  </si>
  <si>
    <t>ProductName</t>
  </si>
  <si>
    <t>UnitsSold</t>
  </si>
  <si>
    <t>UnitPrice</t>
  </si>
  <si>
    <t>Region</t>
  </si>
  <si>
    <t>SalesRep</t>
  </si>
  <si>
    <t>PaymentMethod</t>
  </si>
  <si>
    <t>Discount</t>
  </si>
  <si>
    <t>Electronics</t>
  </si>
  <si>
    <t>Laptop</t>
  </si>
  <si>
    <t>North</t>
  </si>
  <si>
    <t>Abiola Ogun</t>
  </si>
  <si>
    <t>Card</t>
  </si>
  <si>
    <t>Clothing</t>
  </si>
  <si>
    <t>Jeans</t>
  </si>
  <si>
    <t>South</t>
  </si>
  <si>
    <t>Chidi Nwosu</t>
  </si>
  <si>
    <t>Cash</t>
  </si>
  <si>
    <t>Furniture</t>
  </si>
  <si>
    <t>Office Chair</t>
  </si>
  <si>
    <t>East</t>
  </si>
  <si>
    <t>Femi Adebayo</t>
  </si>
  <si>
    <t>Transfer</t>
  </si>
  <si>
    <t>Smartphone</t>
  </si>
  <si>
    <t>West</t>
  </si>
  <si>
    <t>Tunde Bakare</t>
  </si>
  <si>
    <t>TShirt</t>
  </si>
  <si>
    <t>Dining Table</t>
  </si>
  <si>
    <t>Headphones</t>
  </si>
  <si>
    <t>Jacket</t>
  </si>
  <si>
    <t>Bed Frame</t>
  </si>
  <si>
    <t>Tablet</t>
  </si>
  <si>
    <t>Sneakers</t>
  </si>
  <si>
    <t>Bookshelf</t>
  </si>
  <si>
    <t>Smartwatch</t>
  </si>
  <si>
    <t>Hat</t>
  </si>
  <si>
    <t>Office Desk</t>
  </si>
  <si>
    <t>Monitor</t>
  </si>
  <si>
    <t>Dress</t>
  </si>
  <si>
    <t>Wardrobe</t>
  </si>
  <si>
    <t>Keyboard</t>
  </si>
  <si>
    <t>Shorts</t>
  </si>
  <si>
    <t>Sofa Set</t>
  </si>
  <si>
    <t>Mouse</t>
  </si>
  <si>
    <t>Sweater</t>
  </si>
  <si>
    <t>Nightstand</t>
  </si>
  <si>
    <t>Printer</t>
  </si>
  <si>
    <t>Blazer</t>
  </si>
  <si>
    <t>Coffee Table</t>
  </si>
  <si>
    <t>Speaker</t>
  </si>
  <si>
    <t>Skirt</t>
  </si>
  <si>
    <t>Drawer Unit</t>
  </si>
  <si>
    <t>Webcam</t>
  </si>
  <si>
    <t>Cardigan</t>
  </si>
  <si>
    <t>Shoe Rack</t>
  </si>
  <si>
    <t>Router</t>
  </si>
  <si>
    <t>Leggings</t>
  </si>
  <si>
    <t>Desk Lamp</t>
  </si>
  <si>
    <t>USBCable</t>
  </si>
  <si>
    <t>Vest</t>
  </si>
  <si>
    <t>Mirror</t>
  </si>
  <si>
    <t>Charger</t>
  </si>
  <si>
    <t>Scarf</t>
  </si>
  <si>
    <t>CoatRack</t>
  </si>
  <si>
    <t>PowerBank</t>
  </si>
  <si>
    <t>Gloves</t>
  </si>
  <si>
    <t>MagazineRack</t>
  </si>
  <si>
    <t>HardDrive</t>
  </si>
  <si>
    <t>Belt</t>
  </si>
  <si>
    <t>FilingCabinet</t>
  </si>
  <si>
    <t>Microphone</t>
  </si>
  <si>
    <t>Slippers</t>
  </si>
  <si>
    <t>BeanBag</t>
  </si>
  <si>
    <t>Camera</t>
  </si>
  <si>
    <t>Bracelet</t>
  </si>
  <si>
    <t>WallClock</t>
  </si>
  <si>
    <t>Headset</t>
  </si>
  <si>
    <t>Socks</t>
  </si>
  <si>
    <t>PlantStand</t>
  </si>
  <si>
    <t>GraphicsTablet</t>
  </si>
  <si>
    <t>Necklace</t>
  </si>
  <si>
    <t>BarStool</t>
  </si>
  <si>
    <t>SmartLight</t>
  </si>
  <si>
    <t>Cap</t>
  </si>
  <si>
    <t>Rug</t>
  </si>
  <si>
    <t>FitnessTracker</t>
  </si>
  <si>
    <t>Handbag</t>
  </si>
  <si>
    <t>TVStand</t>
  </si>
  <si>
    <t>Projector</t>
  </si>
  <si>
    <t>PoloShirt</t>
  </si>
  <si>
    <t>LaundryBasket</t>
  </si>
  <si>
    <t>ExternalBattery</t>
  </si>
  <si>
    <t>FlipFlops</t>
  </si>
  <si>
    <t>Stool</t>
  </si>
  <si>
    <t>VRHeadset</t>
  </si>
  <si>
    <t>TankTop</t>
  </si>
  <si>
    <t>Curtains</t>
  </si>
  <si>
    <t>USBHub</t>
  </si>
  <si>
    <t>Sandals</t>
  </si>
  <si>
    <t>KeyHolder</t>
  </si>
  <si>
    <t>CardReader</t>
  </si>
  <si>
    <t>Watch</t>
  </si>
  <si>
    <t>WallShelf</t>
  </si>
  <si>
    <t>SmartPlug</t>
  </si>
  <si>
    <t>Raincoat</t>
  </si>
  <si>
    <t>PetBed</t>
  </si>
  <si>
    <t>DockingStation</t>
  </si>
  <si>
    <t>Pyjamas</t>
  </si>
  <si>
    <t>TVRemoteHolder</t>
  </si>
  <si>
    <t>ScreenProtector</t>
  </si>
  <si>
    <t>Necktie</t>
  </si>
  <si>
    <t>FoldableTable</t>
  </si>
  <si>
    <t>PhoneStand</t>
  </si>
  <si>
    <t>Suspenders</t>
  </si>
  <si>
    <t>VanityStool</t>
  </si>
  <si>
    <t>SmartScale</t>
  </si>
  <si>
    <t>Kaftan</t>
  </si>
  <si>
    <t>WallArt</t>
  </si>
  <si>
    <t>CableOrganizer</t>
  </si>
  <si>
    <t>Cufflinks</t>
  </si>
  <si>
    <t>FloorLamp</t>
  </si>
  <si>
    <t>AirPurifier</t>
  </si>
  <si>
    <t>BluetoothSpeaker</t>
  </si>
  <si>
    <t>MaxiDress</t>
  </si>
  <si>
    <t>OfficeStool</t>
  </si>
  <si>
    <t>SmartBulb</t>
  </si>
  <si>
    <t>Hoodie</t>
  </si>
  <si>
    <t>PatioChair</t>
  </si>
  <si>
    <t>WirelessMouse</t>
  </si>
  <si>
    <t>Kimono</t>
  </si>
  <si>
    <t>Bookcase</t>
  </si>
  <si>
    <t>WebcamCover</t>
  </si>
  <si>
    <t>BomberJacket</t>
  </si>
  <si>
    <t>StorageOttoman</t>
  </si>
  <si>
    <t>GamingMouse</t>
  </si>
  <si>
    <t>Blouse</t>
  </si>
  <si>
    <t>Futon</t>
  </si>
  <si>
    <t>NoiseCancellingHeadphones</t>
  </si>
  <si>
    <t>Tracksuit</t>
  </si>
  <si>
    <t>BeanBagCover</t>
  </si>
  <si>
    <t>HDMICable</t>
  </si>
  <si>
    <t>FlannelShirt</t>
  </si>
  <si>
    <t>WallMirror</t>
  </si>
  <si>
    <t>DeskFan</t>
  </si>
  <si>
    <t>Chinos</t>
  </si>
  <si>
    <t>LaundryHamper</t>
  </si>
  <si>
    <t>USBFan</t>
  </si>
  <si>
    <t>PufferJacket</t>
  </si>
  <si>
    <t>CornerShelf</t>
  </si>
  <si>
    <t>MemoryCard</t>
  </si>
  <si>
    <t>Sweatpants</t>
  </si>
  <si>
    <t>Footstool</t>
  </si>
  <si>
    <t>WirelessCharger</t>
  </si>
  <si>
    <t>Overcoat</t>
  </si>
  <si>
    <t>MagazineHolder</t>
  </si>
  <si>
    <t>LaptopStand</t>
  </si>
  <si>
    <t>CropTop</t>
  </si>
  <si>
    <t>WineRack</t>
  </si>
  <si>
    <t>SmartSpeaker</t>
  </si>
  <si>
    <t>BermudaShorts</t>
  </si>
  <si>
    <t>ShowerCaddy</t>
  </si>
  <si>
    <t>ExternalDVDDrive</t>
  </si>
  <si>
    <t>DenimSkirt</t>
  </si>
  <si>
    <t>UmbrellaStand</t>
  </si>
  <si>
    <t>LightningCable</t>
  </si>
  <si>
    <t>CardHolder</t>
  </si>
  <si>
    <t>LetterTray</t>
  </si>
  <si>
    <t>PhoneGrip</t>
  </si>
  <si>
    <t>BowTie</t>
  </si>
  <si>
    <t>PlantPot</t>
  </si>
  <si>
    <t>TabletStand</t>
  </si>
  <si>
    <t>FaceMaskPack</t>
  </si>
  <si>
    <t>PictureFrame</t>
  </si>
  <si>
    <t>StylusPen</t>
  </si>
  <si>
    <t>SportsBra</t>
  </si>
  <si>
    <t>JewelryBox</t>
  </si>
  <si>
    <t>CameraLens</t>
  </si>
  <si>
    <t>Sunglasses</t>
  </si>
  <si>
    <t>Cushion</t>
  </si>
  <si>
    <t>SmartThermostat</t>
  </si>
  <si>
    <t>WaistBag</t>
  </si>
  <si>
    <t>ThrowBlanket</t>
  </si>
  <si>
    <t>CarCharger</t>
  </si>
  <si>
    <t>Swimsuit</t>
  </si>
  <si>
    <t>BathMat</t>
  </si>
  <si>
    <t>AlarmClock</t>
  </si>
  <si>
    <t>Shawl</t>
  </si>
  <si>
    <t>KitchenTrolley</t>
  </si>
  <si>
    <t>Calculator</t>
  </si>
  <si>
    <t>SlipDress</t>
  </si>
  <si>
    <t>OverbedTable</t>
  </si>
  <si>
    <t>DigitalClock</t>
  </si>
  <si>
    <t>LegWarmers</t>
  </si>
  <si>
    <t>ClothesRack</t>
  </si>
  <si>
    <t>VoltageRegulator</t>
  </si>
  <si>
    <t>CorsetTop</t>
  </si>
  <si>
    <t>VanityTable</t>
  </si>
  <si>
    <t>SelfieStick</t>
  </si>
  <si>
    <t>AnkleSocks</t>
  </si>
  <si>
    <t>WallHook</t>
  </si>
  <si>
    <t>LensCleaner</t>
  </si>
  <si>
    <t>Headband</t>
  </si>
  <si>
    <t>TrashCan</t>
  </si>
  <si>
    <t>ExtensionCord</t>
  </si>
  <si>
    <t>TieDyeShirt</t>
  </si>
  <si>
    <t>FireplaceScreen</t>
  </si>
  <si>
    <t>AntivirusUSB</t>
  </si>
  <si>
    <t>Romper</t>
  </si>
  <si>
    <t>PetCrate</t>
  </si>
  <si>
    <t>RouterStand</t>
  </si>
  <si>
    <t>FannyPack</t>
  </si>
  <si>
    <t>MakeupMirror</t>
  </si>
  <si>
    <t>Drone</t>
  </si>
  <si>
    <t>BaseballCap</t>
  </si>
  <si>
    <t>CoatHook</t>
  </si>
  <si>
    <t>RechargeableFan</t>
  </si>
  <si>
    <t>Agbada</t>
  </si>
  <si>
    <t>TraditionalStool</t>
  </si>
  <si>
    <t>Kettle</t>
  </si>
  <si>
    <t>Hijab</t>
  </si>
  <si>
    <t>PrayerMat</t>
  </si>
  <si>
    <t>ElectricCooker</t>
  </si>
  <si>
    <t>GamingConsole</t>
  </si>
  <si>
    <t>DenimJacket</t>
  </si>
  <si>
    <t>AccentChair</t>
  </si>
  <si>
    <t>SmartTV</t>
  </si>
  <si>
    <t>LeatherJacket</t>
  </si>
  <si>
    <t>ConsoleTable</t>
  </si>
  <si>
    <t>Soundbar</t>
  </si>
  <si>
    <t>CargoPants</t>
  </si>
  <si>
    <t>AdirondackChair</t>
  </si>
  <si>
    <t>TabletCase</t>
  </si>
  <si>
    <t>Windbreaker</t>
  </si>
  <si>
    <t>HangingChair</t>
  </si>
  <si>
    <t>LEDStrip</t>
  </si>
  <si>
    <t>JeansShorts</t>
  </si>
  <si>
    <t>BarCabinet</t>
  </si>
  <si>
    <t>WebcamRingLight</t>
  </si>
  <si>
    <t>Turtleneck</t>
  </si>
  <si>
    <t>WallPuzzle</t>
  </si>
  <si>
    <t>MicroSDCard</t>
  </si>
  <si>
    <t>SilkScarf</t>
  </si>
  <si>
    <t>BistroTable</t>
  </si>
  <si>
    <t>VideoDoorbell</t>
  </si>
  <si>
    <t>HikingBoots</t>
  </si>
  <si>
    <t>FirePit</t>
  </si>
  <si>
    <t>RobotVacuum</t>
  </si>
  <si>
    <t>Bathrobe</t>
  </si>
  <si>
    <t>ShagRug</t>
  </si>
  <si>
    <t>CarSpeakers</t>
  </si>
  <si>
    <t>DrawerOrganizer</t>
  </si>
  <si>
    <t>HDMISwitch</t>
  </si>
  <si>
    <t>Poncho</t>
  </si>
  <si>
    <t>USBWallOutlet</t>
  </si>
  <si>
    <t>NoiseMachine</t>
  </si>
  <si>
    <t>FloatingShelf</t>
  </si>
  <si>
    <t>DigitalPictureFrame</t>
  </si>
  <si>
    <t>CarMount</t>
  </si>
  <si>
    <t>NeckGaiter</t>
  </si>
  <si>
    <t>Trunk</t>
  </si>
  <si>
    <t>FILTER With Multiple Conditions(OR Logic)</t>
  </si>
  <si>
    <t>FILTER With Multiple Conditions (AND Logic)</t>
  </si>
  <si>
    <t>FILTER With Numeric Conditions</t>
  </si>
  <si>
    <t>All Orders in February</t>
  </si>
  <si>
    <t>FILTER With Text Wildcards (Using ISNUMBER + SEARCH)</t>
  </si>
  <si>
    <t>FILTER With AND + OR Combined</t>
  </si>
  <si>
    <t>FILTER with NOT Logic</t>
  </si>
  <si>
    <t>Basic SORT</t>
  </si>
  <si>
    <t>SORTBY-Basic Usage</t>
  </si>
  <si>
    <t>FILTER With Different Column</t>
  </si>
  <si>
    <t>This shows orders in the East Region only in those columns</t>
  </si>
  <si>
    <t>SORT +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</si>
</sst>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6" formatCode="dd/mm/yyyy;@"/>
    <numFmt numFmtId="167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0" xfId="0" applyNumberFormat="1"/>
    <xf numFmtId="164" fontId="1" fillId="2" borderId="2" xfId="0" applyNumberFormat="1" applyFont="1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1" fillId="2" borderId="2" xfId="0" applyNumberFormat="1" applyFont="1" applyFill="1" applyBorder="1"/>
    <xf numFmtId="166" fontId="0" fillId="0" borderId="0" xfId="0" applyNumberFormat="1"/>
    <xf numFmtId="0" fontId="2" fillId="0" borderId="0" xfId="0" applyFont="1" applyAlignment="1">
      <alignment horizontal="center"/>
    </xf>
    <xf numFmtId="167" fontId="0" fillId="0" borderId="0" xfId="0" applyNumberFormat="1"/>
    <xf numFmtId="167" fontId="1" fillId="2" borderId="2" xfId="0" applyNumberFormat="1" applyFont="1" applyFill="1" applyBorder="1"/>
  </cellXfs>
  <cellStyles count="1">
    <cellStyle name="Normal" xfId="0" builtinId="0"/>
  </cellStyles>
  <dxfs count="6">
    <dxf>
      <numFmt numFmtId="167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5E8A57-90F5-45C1-83AC-DEFE16B60999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OrderDate" tableColumnId="2"/>
      <queryTableField id="3" name="ProductCategory" tableColumnId="3"/>
      <queryTableField id="4" name="ProductName" tableColumnId="4"/>
      <queryTableField id="5" name="UnitsSold" tableColumnId="5"/>
      <queryTableField id="6" name="UnitPrice" tableColumnId="6"/>
      <queryTableField id="7" name="Region" tableColumnId="7"/>
      <queryTableField id="8" name="SalesRep" tableColumnId="8"/>
      <queryTableField id="9" name="PaymentMethod" tableColumnId="9"/>
      <queryTableField id="10" name="Disc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8CDC4-2194-4CF9-8B17-C7903130FD50}" name="deepseek_csv_20260422_7f7afa" displayName="deepseek_csv_20260422_7f7afa" ref="A1:J246" tableType="queryTable" totalsRowShown="0">
  <autoFilter ref="A1:J246" xr:uid="{8418CDC4-2194-4CF9-8B17-C7903130FD50}"/>
  <tableColumns count="10">
    <tableColumn id="1" xr3:uid="{FEBB0D4E-EAAC-4C1D-90E1-8D5D84FF203D}" uniqueName="1" name="OrderID" queryTableFieldId="1"/>
    <tableColumn id="2" xr3:uid="{CA84C4EA-C6D4-4D4E-8355-A20A1A08F54B}" uniqueName="2" name="OrderDate" queryTableFieldId="2" dataDxfId="0"/>
    <tableColumn id="3" xr3:uid="{D38396D5-C6BC-482C-9FE8-56CFA8195B30}" uniqueName="3" name="ProductCategory" queryTableFieldId="3" dataDxfId="5"/>
    <tableColumn id="4" xr3:uid="{A1820EF0-CAFF-4891-A898-7A30E1ED674D}" uniqueName="4" name="ProductName" queryTableFieldId="4" dataDxfId="4"/>
    <tableColumn id="5" xr3:uid="{71CEA140-1103-437B-AF88-E8267401C2F5}" uniqueName="5" name="UnitsSold" queryTableFieldId="5"/>
    <tableColumn id="6" xr3:uid="{514DA17B-B329-4849-B729-FD2AADB2A9C9}" uniqueName="6" name="UnitPrice" queryTableFieldId="6"/>
    <tableColumn id="7" xr3:uid="{A83DF8A0-D920-4764-9C53-628DDB32778F}" uniqueName="7" name="Region" queryTableFieldId="7" dataDxfId="3"/>
    <tableColumn id="8" xr3:uid="{A58E43AC-E847-454B-89BB-F83FA2B8B360}" uniqueName="8" name="SalesRep" queryTableFieldId="8" dataDxfId="2"/>
    <tableColumn id="9" xr3:uid="{0812E3FA-1DD4-42E8-950C-609EE27F75B7}" uniqueName="9" name="PaymentMethod" queryTableFieldId="9" dataDxfId="1"/>
    <tableColumn id="10" xr3:uid="{43F3E215-618F-41E2-AA77-3B4300CCE73E}" uniqueName="10" name="Disc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361A-374C-4BFF-B947-029CBD6DBC15}">
  <dimension ref="A1:J246"/>
  <sheetViews>
    <sheetView tabSelected="1" workbookViewId="0">
      <selection sqref="A1:D1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8.140625" bestFit="1" customWidth="1"/>
    <col min="4" max="4" width="27" bestFit="1" customWidth="1"/>
    <col min="5" max="5" width="11.85546875" bestFit="1" customWidth="1"/>
    <col min="6" max="6" width="11.5703125" bestFit="1" customWidth="1"/>
    <col min="7" max="7" width="9.42578125" bestFit="1" customWidth="1"/>
    <col min="8" max="8" width="13.85546875" bestFit="1" customWidth="1"/>
    <col min="9" max="9" width="18.42578125" bestFit="1" customWidth="1"/>
    <col min="10" max="10" width="11" bestFit="1" customWidth="1"/>
  </cols>
  <sheetData>
    <row r="1" spans="1:10" x14ac:dyDescent="0.25">
      <c r="A1" t="s">
        <v>0</v>
      </c>
      <c r="B1" s="13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3001</v>
      </c>
      <c r="B2" s="13">
        <v>45667</v>
      </c>
      <c r="C2" s="1" t="s">
        <v>10</v>
      </c>
      <c r="D2" s="1" t="s">
        <v>11</v>
      </c>
      <c r="E2">
        <v>3</v>
      </c>
      <c r="F2" s="5">
        <v>450000</v>
      </c>
      <c r="G2" s="1" t="s">
        <v>12</v>
      </c>
      <c r="H2" s="1" t="s">
        <v>13</v>
      </c>
      <c r="I2" s="1" t="s">
        <v>14</v>
      </c>
      <c r="J2">
        <v>5</v>
      </c>
    </row>
    <row r="3" spans="1:10" x14ac:dyDescent="0.25">
      <c r="A3">
        <v>3002</v>
      </c>
      <c r="B3" s="13">
        <v>45667</v>
      </c>
      <c r="C3" s="1" t="s">
        <v>15</v>
      </c>
      <c r="D3" s="1" t="s">
        <v>16</v>
      </c>
      <c r="E3">
        <v>5</v>
      </c>
      <c r="F3" s="5">
        <v>15000</v>
      </c>
      <c r="G3" s="1" t="s">
        <v>17</v>
      </c>
      <c r="H3" s="1" t="s">
        <v>18</v>
      </c>
      <c r="I3" s="1" t="s">
        <v>19</v>
      </c>
      <c r="J3">
        <v>0</v>
      </c>
    </row>
    <row r="4" spans="1:10" x14ac:dyDescent="0.25">
      <c r="A4">
        <v>3003</v>
      </c>
      <c r="B4" s="13">
        <v>45668</v>
      </c>
      <c r="C4" s="1" t="s">
        <v>20</v>
      </c>
      <c r="D4" s="1" t="s">
        <v>21</v>
      </c>
      <c r="E4">
        <v>2</v>
      </c>
      <c r="F4" s="5">
        <v>75000</v>
      </c>
      <c r="G4" s="1" t="s">
        <v>22</v>
      </c>
      <c r="H4" s="1" t="s">
        <v>23</v>
      </c>
      <c r="I4" s="1" t="s">
        <v>24</v>
      </c>
      <c r="J4">
        <v>10</v>
      </c>
    </row>
    <row r="5" spans="1:10" x14ac:dyDescent="0.25">
      <c r="A5">
        <v>3004</v>
      </c>
      <c r="B5" s="13">
        <v>45668</v>
      </c>
      <c r="C5" s="1" t="s">
        <v>10</v>
      </c>
      <c r="D5" s="1" t="s">
        <v>25</v>
      </c>
      <c r="E5">
        <v>2</v>
      </c>
      <c r="F5" s="5">
        <v>120000</v>
      </c>
      <c r="G5" s="1" t="s">
        <v>26</v>
      </c>
      <c r="H5" s="1" t="s">
        <v>27</v>
      </c>
      <c r="I5" s="1" t="s">
        <v>14</v>
      </c>
      <c r="J5">
        <v>0</v>
      </c>
    </row>
    <row r="6" spans="1:10" x14ac:dyDescent="0.25">
      <c r="A6">
        <v>3005</v>
      </c>
      <c r="B6" s="13">
        <v>45669</v>
      </c>
      <c r="C6" s="1" t="s">
        <v>15</v>
      </c>
      <c r="D6" s="1" t="s">
        <v>28</v>
      </c>
      <c r="E6">
        <v>8</v>
      </c>
      <c r="F6" s="5">
        <v>5000</v>
      </c>
      <c r="G6" s="1" t="s">
        <v>12</v>
      </c>
      <c r="H6" s="1" t="s">
        <v>13</v>
      </c>
      <c r="I6" s="1" t="s">
        <v>19</v>
      </c>
      <c r="J6">
        <v>5</v>
      </c>
    </row>
    <row r="7" spans="1:10" x14ac:dyDescent="0.25">
      <c r="A7">
        <v>3006</v>
      </c>
      <c r="B7" s="13">
        <v>45669</v>
      </c>
      <c r="C7" s="1" t="s">
        <v>20</v>
      </c>
      <c r="D7" s="1" t="s">
        <v>29</v>
      </c>
      <c r="E7">
        <v>1</v>
      </c>
      <c r="F7" s="5">
        <v>150000</v>
      </c>
      <c r="G7" s="1" t="s">
        <v>17</v>
      </c>
      <c r="H7" s="1" t="s">
        <v>18</v>
      </c>
      <c r="I7" s="1" t="s">
        <v>24</v>
      </c>
      <c r="J7">
        <v>0</v>
      </c>
    </row>
    <row r="8" spans="1:10" x14ac:dyDescent="0.25">
      <c r="A8">
        <v>3007</v>
      </c>
      <c r="B8" s="13">
        <v>45670</v>
      </c>
      <c r="C8" s="1" t="s">
        <v>10</v>
      </c>
      <c r="D8" s="1" t="s">
        <v>30</v>
      </c>
      <c r="E8">
        <v>3</v>
      </c>
      <c r="F8" s="5">
        <v>25000</v>
      </c>
      <c r="G8" s="1" t="s">
        <v>22</v>
      </c>
      <c r="H8" s="1" t="s">
        <v>23</v>
      </c>
      <c r="I8" s="1" t="s">
        <v>14</v>
      </c>
      <c r="J8">
        <v>10</v>
      </c>
    </row>
    <row r="9" spans="1:10" x14ac:dyDescent="0.25">
      <c r="A9">
        <v>3008</v>
      </c>
      <c r="B9" s="13">
        <v>45670</v>
      </c>
      <c r="C9" s="1" t="s">
        <v>15</v>
      </c>
      <c r="D9" s="1" t="s">
        <v>31</v>
      </c>
      <c r="E9">
        <v>2</v>
      </c>
      <c r="F9" s="5">
        <v>35000</v>
      </c>
      <c r="G9" s="1" t="s">
        <v>26</v>
      </c>
      <c r="H9" s="1" t="s">
        <v>27</v>
      </c>
      <c r="I9" s="1" t="s">
        <v>19</v>
      </c>
      <c r="J9">
        <v>0</v>
      </c>
    </row>
    <row r="10" spans="1:10" x14ac:dyDescent="0.25">
      <c r="A10">
        <v>3009</v>
      </c>
      <c r="B10" s="13">
        <v>45671</v>
      </c>
      <c r="C10" s="1" t="s">
        <v>20</v>
      </c>
      <c r="D10" s="1" t="s">
        <v>32</v>
      </c>
      <c r="E10">
        <v>1</v>
      </c>
      <c r="F10" s="5">
        <v>120000</v>
      </c>
      <c r="G10" s="1" t="s">
        <v>12</v>
      </c>
      <c r="H10" s="1" t="s">
        <v>13</v>
      </c>
      <c r="I10" s="1" t="s">
        <v>24</v>
      </c>
      <c r="J10">
        <v>15</v>
      </c>
    </row>
    <row r="11" spans="1:10" x14ac:dyDescent="0.25">
      <c r="A11">
        <v>3010</v>
      </c>
      <c r="B11" s="13">
        <v>45671</v>
      </c>
      <c r="C11" s="1" t="s">
        <v>10</v>
      </c>
      <c r="D11" s="1" t="s">
        <v>33</v>
      </c>
      <c r="E11">
        <v>2</v>
      </c>
      <c r="F11" s="5">
        <v>80000</v>
      </c>
      <c r="G11" s="1" t="s">
        <v>17</v>
      </c>
      <c r="H11" s="1" t="s">
        <v>18</v>
      </c>
      <c r="I11" s="1" t="s">
        <v>14</v>
      </c>
      <c r="J11">
        <v>5</v>
      </c>
    </row>
    <row r="12" spans="1:10" x14ac:dyDescent="0.25">
      <c r="A12">
        <v>3011</v>
      </c>
      <c r="B12" s="13">
        <v>45672</v>
      </c>
      <c r="C12" s="1" t="s">
        <v>15</v>
      </c>
      <c r="D12" s="1" t="s">
        <v>34</v>
      </c>
      <c r="E12">
        <v>3</v>
      </c>
      <c r="F12" s="5">
        <v>25000</v>
      </c>
      <c r="G12" s="1" t="s">
        <v>22</v>
      </c>
      <c r="H12" s="1" t="s">
        <v>23</v>
      </c>
      <c r="I12" s="1" t="s">
        <v>19</v>
      </c>
      <c r="J12">
        <v>0</v>
      </c>
    </row>
    <row r="13" spans="1:10" x14ac:dyDescent="0.25">
      <c r="A13">
        <v>3012</v>
      </c>
      <c r="B13" s="13">
        <v>45672</v>
      </c>
      <c r="C13" s="1" t="s">
        <v>20</v>
      </c>
      <c r="D13" s="1" t="s">
        <v>35</v>
      </c>
      <c r="E13">
        <v>2</v>
      </c>
      <c r="F13" s="5">
        <v>45000</v>
      </c>
      <c r="G13" s="1" t="s">
        <v>26</v>
      </c>
      <c r="H13" s="1" t="s">
        <v>27</v>
      </c>
      <c r="I13" s="1" t="s">
        <v>24</v>
      </c>
      <c r="J13">
        <v>0</v>
      </c>
    </row>
    <row r="14" spans="1:10" x14ac:dyDescent="0.25">
      <c r="A14">
        <v>3013</v>
      </c>
      <c r="B14" s="13">
        <v>45673</v>
      </c>
      <c r="C14" s="1" t="s">
        <v>10</v>
      </c>
      <c r="D14" s="1" t="s">
        <v>36</v>
      </c>
      <c r="E14">
        <v>2</v>
      </c>
      <c r="F14" s="5">
        <v>35000</v>
      </c>
      <c r="G14" s="1" t="s">
        <v>12</v>
      </c>
      <c r="H14" s="1" t="s">
        <v>13</v>
      </c>
      <c r="I14" s="1" t="s">
        <v>14</v>
      </c>
      <c r="J14">
        <v>0</v>
      </c>
    </row>
    <row r="15" spans="1:10" x14ac:dyDescent="0.25">
      <c r="A15">
        <v>3014</v>
      </c>
      <c r="B15" s="13">
        <v>45673</v>
      </c>
      <c r="C15" s="1" t="s">
        <v>15</v>
      </c>
      <c r="D15" s="1" t="s">
        <v>37</v>
      </c>
      <c r="E15">
        <v>5</v>
      </c>
      <c r="F15" s="5">
        <v>8000</v>
      </c>
      <c r="G15" s="1" t="s">
        <v>17</v>
      </c>
      <c r="H15" s="1" t="s">
        <v>18</v>
      </c>
      <c r="I15" s="1" t="s">
        <v>19</v>
      </c>
      <c r="J15">
        <v>5</v>
      </c>
    </row>
    <row r="16" spans="1:10" x14ac:dyDescent="0.25">
      <c r="A16">
        <v>3015</v>
      </c>
      <c r="B16" s="13">
        <v>45674</v>
      </c>
      <c r="C16" s="1" t="s">
        <v>20</v>
      </c>
      <c r="D16" s="1" t="s">
        <v>38</v>
      </c>
      <c r="E16">
        <v>1</v>
      </c>
      <c r="F16" s="5">
        <v>85000</v>
      </c>
      <c r="G16" s="1" t="s">
        <v>22</v>
      </c>
      <c r="H16" s="1" t="s">
        <v>23</v>
      </c>
      <c r="I16" s="1" t="s">
        <v>24</v>
      </c>
      <c r="J16">
        <v>0</v>
      </c>
    </row>
    <row r="17" spans="1:10" x14ac:dyDescent="0.25">
      <c r="A17">
        <v>3016</v>
      </c>
      <c r="B17" s="13">
        <v>45674</v>
      </c>
      <c r="C17" s="1" t="s">
        <v>10</v>
      </c>
      <c r="D17" s="1" t="s">
        <v>39</v>
      </c>
      <c r="E17">
        <v>2</v>
      </c>
      <c r="F17" s="5">
        <v>120000</v>
      </c>
      <c r="G17" s="1" t="s">
        <v>26</v>
      </c>
      <c r="H17" s="1" t="s">
        <v>27</v>
      </c>
      <c r="I17" s="1" t="s">
        <v>14</v>
      </c>
      <c r="J17">
        <v>10</v>
      </c>
    </row>
    <row r="18" spans="1:10" x14ac:dyDescent="0.25">
      <c r="A18">
        <v>3017</v>
      </c>
      <c r="B18" s="13">
        <v>45675</v>
      </c>
      <c r="C18" s="1" t="s">
        <v>15</v>
      </c>
      <c r="D18" s="1" t="s">
        <v>40</v>
      </c>
      <c r="E18">
        <v>3</v>
      </c>
      <c r="F18" s="5">
        <v>22000</v>
      </c>
      <c r="G18" s="1" t="s">
        <v>12</v>
      </c>
      <c r="H18" s="1" t="s">
        <v>13</v>
      </c>
      <c r="I18" s="1" t="s">
        <v>19</v>
      </c>
      <c r="J18">
        <v>0</v>
      </c>
    </row>
    <row r="19" spans="1:10" x14ac:dyDescent="0.25">
      <c r="A19">
        <v>3018</v>
      </c>
      <c r="B19" s="13">
        <v>45675</v>
      </c>
      <c r="C19" s="1" t="s">
        <v>20</v>
      </c>
      <c r="D19" s="1" t="s">
        <v>41</v>
      </c>
      <c r="E19">
        <v>1</v>
      </c>
      <c r="F19" s="5">
        <v>180000</v>
      </c>
      <c r="G19" s="1" t="s">
        <v>17</v>
      </c>
      <c r="H19" s="1" t="s">
        <v>18</v>
      </c>
      <c r="I19" s="1" t="s">
        <v>24</v>
      </c>
      <c r="J19">
        <v>0</v>
      </c>
    </row>
    <row r="20" spans="1:10" x14ac:dyDescent="0.25">
      <c r="A20">
        <v>3019</v>
      </c>
      <c r="B20" s="13">
        <v>45676</v>
      </c>
      <c r="C20" s="1" t="s">
        <v>10</v>
      </c>
      <c r="D20" s="1" t="s">
        <v>42</v>
      </c>
      <c r="E20">
        <v>5</v>
      </c>
      <c r="F20" s="5">
        <v>15000</v>
      </c>
      <c r="G20" s="1" t="s">
        <v>22</v>
      </c>
      <c r="H20" s="1" t="s">
        <v>23</v>
      </c>
      <c r="I20" s="1" t="s">
        <v>14</v>
      </c>
      <c r="J20">
        <v>5</v>
      </c>
    </row>
    <row r="21" spans="1:10" x14ac:dyDescent="0.25">
      <c r="A21">
        <v>3020</v>
      </c>
      <c r="B21" s="13">
        <v>45676</v>
      </c>
      <c r="C21" s="1" t="s">
        <v>15</v>
      </c>
      <c r="D21" s="1" t="s">
        <v>43</v>
      </c>
      <c r="E21">
        <v>6</v>
      </c>
      <c r="F21" s="5">
        <v>7000</v>
      </c>
      <c r="G21" s="1" t="s">
        <v>26</v>
      </c>
      <c r="H21" s="1" t="s">
        <v>27</v>
      </c>
      <c r="I21" s="1" t="s">
        <v>19</v>
      </c>
      <c r="J21">
        <v>0</v>
      </c>
    </row>
    <row r="22" spans="1:10" x14ac:dyDescent="0.25">
      <c r="A22">
        <v>3021</v>
      </c>
      <c r="B22" s="13">
        <v>45677</v>
      </c>
      <c r="C22" s="1" t="s">
        <v>20</v>
      </c>
      <c r="D22" s="1" t="s">
        <v>44</v>
      </c>
      <c r="E22">
        <v>1</v>
      </c>
      <c r="F22" s="5">
        <v>250000</v>
      </c>
      <c r="G22" s="1" t="s">
        <v>12</v>
      </c>
      <c r="H22" s="1" t="s">
        <v>13</v>
      </c>
      <c r="I22" s="1" t="s">
        <v>24</v>
      </c>
      <c r="J22">
        <v>0</v>
      </c>
    </row>
    <row r="23" spans="1:10" x14ac:dyDescent="0.25">
      <c r="A23">
        <v>3022</v>
      </c>
      <c r="B23" s="13">
        <v>45677</v>
      </c>
      <c r="C23" s="1" t="s">
        <v>10</v>
      </c>
      <c r="D23" s="1" t="s">
        <v>45</v>
      </c>
      <c r="E23">
        <v>8</v>
      </c>
      <c r="F23" s="5">
        <v>5000</v>
      </c>
      <c r="G23" s="1" t="s">
        <v>17</v>
      </c>
      <c r="H23" s="1" t="s">
        <v>18</v>
      </c>
      <c r="I23" s="1" t="s">
        <v>14</v>
      </c>
      <c r="J23">
        <v>10</v>
      </c>
    </row>
    <row r="24" spans="1:10" x14ac:dyDescent="0.25">
      <c r="A24">
        <v>3023</v>
      </c>
      <c r="B24" s="13">
        <v>45678</v>
      </c>
      <c r="C24" s="1" t="s">
        <v>15</v>
      </c>
      <c r="D24" s="1" t="s">
        <v>46</v>
      </c>
      <c r="E24">
        <v>3</v>
      </c>
      <c r="F24" s="5">
        <v>18000</v>
      </c>
      <c r="G24" s="1" t="s">
        <v>22</v>
      </c>
      <c r="H24" s="1" t="s">
        <v>23</v>
      </c>
      <c r="I24" s="1" t="s">
        <v>19</v>
      </c>
      <c r="J24">
        <v>0</v>
      </c>
    </row>
    <row r="25" spans="1:10" x14ac:dyDescent="0.25">
      <c r="A25">
        <v>3024</v>
      </c>
      <c r="B25" s="13">
        <v>45678</v>
      </c>
      <c r="C25" s="1" t="s">
        <v>20</v>
      </c>
      <c r="D25" s="1" t="s">
        <v>47</v>
      </c>
      <c r="E25">
        <v>3</v>
      </c>
      <c r="F25" s="5">
        <v>25000</v>
      </c>
      <c r="G25" s="1" t="s">
        <v>26</v>
      </c>
      <c r="H25" s="1" t="s">
        <v>27</v>
      </c>
      <c r="I25" s="1" t="s">
        <v>24</v>
      </c>
      <c r="J25">
        <v>5</v>
      </c>
    </row>
    <row r="26" spans="1:10" x14ac:dyDescent="0.25">
      <c r="A26">
        <v>3025</v>
      </c>
      <c r="B26" s="13">
        <v>45679</v>
      </c>
      <c r="C26" s="1" t="s">
        <v>10</v>
      </c>
      <c r="D26" s="1" t="s">
        <v>48</v>
      </c>
      <c r="E26">
        <v>1</v>
      </c>
      <c r="F26" s="5">
        <v>65000</v>
      </c>
      <c r="G26" s="1" t="s">
        <v>12</v>
      </c>
      <c r="H26" s="1" t="s">
        <v>13</v>
      </c>
      <c r="I26" s="1" t="s">
        <v>14</v>
      </c>
      <c r="J26">
        <v>0</v>
      </c>
    </row>
    <row r="27" spans="1:10" x14ac:dyDescent="0.25">
      <c r="A27">
        <v>3026</v>
      </c>
      <c r="B27" s="13">
        <v>45679</v>
      </c>
      <c r="C27" s="1" t="s">
        <v>15</v>
      </c>
      <c r="D27" s="1" t="s">
        <v>49</v>
      </c>
      <c r="E27">
        <v>1</v>
      </c>
      <c r="F27" s="5">
        <v>40000</v>
      </c>
      <c r="G27" s="1" t="s">
        <v>17</v>
      </c>
      <c r="H27" s="1" t="s">
        <v>18</v>
      </c>
      <c r="I27" s="1" t="s">
        <v>19</v>
      </c>
      <c r="J27">
        <v>15</v>
      </c>
    </row>
    <row r="28" spans="1:10" x14ac:dyDescent="0.25">
      <c r="A28">
        <v>3027</v>
      </c>
      <c r="B28" s="13">
        <v>45680</v>
      </c>
      <c r="C28" s="1" t="s">
        <v>20</v>
      </c>
      <c r="D28" s="1" t="s">
        <v>50</v>
      </c>
      <c r="E28">
        <v>2</v>
      </c>
      <c r="F28" s="5">
        <v>55000</v>
      </c>
      <c r="G28" s="1" t="s">
        <v>22</v>
      </c>
      <c r="H28" s="1" t="s">
        <v>23</v>
      </c>
      <c r="I28" s="1" t="s">
        <v>24</v>
      </c>
      <c r="J28">
        <v>0</v>
      </c>
    </row>
    <row r="29" spans="1:10" x14ac:dyDescent="0.25">
      <c r="A29">
        <v>3028</v>
      </c>
      <c r="B29" s="13">
        <v>45680</v>
      </c>
      <c r="C29" s="1" t="s">
        <v>10</v>
      </c>
      <c r="D29" s="1" t="s">
        <v>51</v>
      </c>
      <c r="E29">
        <v>3</v>
      </c>
      <c r="F29" s="5">
        <v>30000</v>
      </c>
      <c r="G29" s="1" t="s">
        <v>26</v>
      </c>
      <c r="H29" s="1" t="s">
        <v>27</v>
      </c>
      <c r="I29" s="1" t="s">
        <v>14</v>
      </c>
      <c r="J29">
        <v>0</v>
      </c>
    </row>
    <row r="30" spans="1:10" x14ac:dyDescent="0.25">
      <c r="A30">
        <v>3029</v>
      </c>
      <c r="B30" s="13">
        <v>45681</v>
      </c>
      <c r="C30" s="1" t="s">
        <v>15</v>
      </c>
      <c r="D30" s="1" t="s">
        <v>52</v>
      </c>
      <c r="E30">
        <v>4</v>
      </c>
      <c r="F30" s="5">
        <v>12000</v>
      </c>
      <c r="G30" s="1" t="s">
        <v>12</v>
      </c>
      <c r="H30" s="1" t="s">
        <v>13</v>
      </c>
      <c r="I30" s="1" t="s">
        <v>19</v>
      </c>
      <c r="J30">
        <v>5</v>
      </c>
    </row>
    <row r="31" spans="1:10" x14ac:dyDescent="0.25">
      <c r="A31">
        <v>3030</v>
      </c>
      <c r="B31" s="13">
        <v>45681</v>
      </c>
      <c r="C31" s="1" t="s">
        <v>20</v>
      </c>
      <c r="D31" s="1" t="s">
        <v>53</v>
      </c>
      <c r="E31">
        <v>2</v>
      </c>
      <c r="F31" s="5">
        <v>40000</v>
      </c>
      <c r="G31" s="1" t="s">
        <v>17</v>
      </c>
      <c r="H31" s="1" t="s">
        <v>18</v>
      </c>
      <c r="I31" s="1" t="s">
        <v>24</v>
      </c>
      <c r="J31">
        <v>0</v>
      </c>
    </row>
    <row r="32" spans="1:10" x14ac:dyDescent="0.25">
      <c r="A32">
        <v>3031</v>
      </c>
      <c r="B32" s="13">
        <v>45682</v>
      </c>
      <c r="C32" s="1" t="s">
        <v>10</v>
      </c>
      <c r="D32" s="1" t="s">
        <v>54</v>
      </c>
      <c r="E32">
        <v>2</v>
      </c>
      <c r="F32" s="5">
        <v>25000</v>
      </c>
      <c r="G32" s="1" t="s">
        <v>22</v>
      </c>
      <c r="H32" s="1" t="s">
        <v>23</v>
      </c>
      <c r="I32" s="1" t="s">
        <v>14</v>
      </c>
      <c r="J32">
        <v>0</v>
      </c>
    </row>
    <row r="33" spans="1:10" x14ac:dyDescent="0.25">
      <c r="A33">
        <v>3032</v>
      </c>
      <c r="B33" s="13">
        <v>45682</v>
      </c>
      <c r="C33" s="1" t="s">
        <v>15</v>
      </c>
      <c r="D33" s="1" t="s">
        <v>55</v>
      </c>
      <c r="E33">
        <v>3</v>
      </c>
      <c r="F33" s="5">
        <v>15000</v>
      </c>
      <c r="G33" s="1" t="s">
        <v>26</v>
      </c>
      <c r="H33" s="1" t="s">
        <v>27</v>
      </c>
      <c r="I33" s="1" t="s">
        <v>19</v>
      </c>
      <c r="J33">
        <v>10</v>
      </c>
    </row>
    <row r="34" spans="1:10" x14ac:dyDescent="0.25">
      <c r="A34">
        <v>3033</v>
      </c>
      <c r="B34" s="13">
        <v>45683</v>
      </c>
      <c r="C34" s="1" t="s">
        <v>20</v>
      </c>
      <c r="D34" s="1" t="s">
        <v>56</v>
      </c>
      <c r="E34">
        <v>2</v>
      </c>
      <c r="F34" s="5">
        <v>15000</v>
      </c>
      <c r="G34" s="1" t="s">
        <v>12</v>
      </c>
      <c r="H34" s="1" t="s">
        <v>13</v>
      </c>
      <c r="I34" s="1" t="s">
        <v>24</v>
      </c>
      <c r="J34">
        <v>0</v>
      </c>
    </row>
    <row r="35" spans="1:10" x14ac:dyDescent="0.25">
      <c r="A35">
        <v>3034</v>
      </c>
      <c r="B35" s="13">
        <v>45683</v>
      </c>
      <c r="C35" s="1" t="s">
        <v>10</v>
      </c>
      <c r="D35" s="1" t="s">
        <v>57</v>
      </c>
      <c r="E35">
        <v>2</v>
      </c>
      <c r="F35" s="5">
        <v>22000</v>
      </c>
      <c r="G35" s="1" t="s">
        <v>17</v>
      </c>
      <c r="H35" s="1" t="s">
        <v>18</v>
      </c>
      <c r="I35" s="1" t="s">
        <v>14</v>
      </c>
      <c r="J35">
        <v>0</v>
      </c>
    </row>
    <row r="36" spans="1:10" x14ac:dyDescent="0.25">
      <c r="A36">
        <v>3035</v>
      </c>
      <c r="B36" s="13">
        <v>45684</v>
      </c>
      <c r="C36" s="1" t="s">
        <v>15</v>
      </c>
      <c r="D36" s="1" t="s">
        <v>58</v>
      </c>
      <c r="E36">
        <v>6</v>
      </c>
      <c r="F36" s="5">
        <v>8000</v>
      </c>
      <c r="G36" s="1" t="s">
        <v>22</v>
      </c>
      <c r="H36" s="1" t="s">
        <v>23</v>
      </c>
      <c r="I36" s="1" t="s">
        <v>19</v>
      </c>
      <c r="J36">
        <v>5</v>
      </c>
    </row>
    <row r="37" spans="1:10" x14ac:dyDescent="0.25">
      <c r="A37">
        <v>3036</v>
      </c>
      <c r="B37" s="13">
        <v>45684</v>
      </c>
      <c r="C37" s="1" t="s">
        <v>20</v>
      </c>
      <c r="D37" s="1" t="s">
        <v>59</v>
      </c>
      <c r="E37">
        <v>3</v>
      </c>
      <c r="F37" s="5">
        <v>12000</v>
      </c>
      <c r="G37" s="1" t="s">
        <v>26</v>
      </c>
      <c r="H37" s="1" t="s">
        <v>27</v>
      </c>
      <c r="I37" s="1" t="s">
        <v>24</v>
      </c>
      <c r="J37">
        <v>0</v>
      </c>
    </row>
    <row r="38" spans="1:10" x14ac:dyDescent="0.25">
      <c r="A38">
        <v>3037</v>
      </c>
      <c r="B38" s="13">
        <v>45685</v>
      </c>
      <c r="C38" s="1" t="s">
        <v>10</v>
      </c>
      <c r="D38" s="1" t="s">
        <v>60</v>
      </c>
      <c r="E38">
        <v>15</v>
      </c>
      <c r="F38" s="5">
        <v>2000</v>
      </c>
      <c r="G38" s="1" t="s">
        <v>12</v>
      </c>
      <c r="H38" s="1" t="s">
        <v>13</v>
      </c>
      <c r="I38" s="1" t="s">
        <v>14</v>
      </c>
      <c r="J38">
        <v>10</v>
      </c>
    </row>
    <row r="39" spans="1:10" x14ac:dyDescent="0.25">
      <c r="A39">
        <v>3038</v>
      </c>
      <c r="B39" s="13">
        <v>45685</v>
      </c>
      <c r="C39" s="1" t="s">
        <v>15</v>
      </c>
      <c r="D39" s="1" t="s">
        <v>61</v>
      </c>
      <c r="E39">
        <v>5</v>
      </c>
      <c r="F39" s="5">
        <v>5000</v>
      </c>
      <c r="G39" s="1" t="s">
        <v>17</v>
      </c>
      <c r="H39" s="1" t="s">
        <v>18</v>
      </c>
      <c r="I39" s="1" t="s">
        <v>19</v>
      </c>
      <c r="J39">
        <v>0</v>
      </c>
    </row>
    <row r="40" spans="1:10" x14ac:dyDescent="0.25">
      <c r="A40">
        <v>3039</v>
      </c>
      <c r="B40" s="13">
        <v>45686</v>
      </c>
      <c r="C40" s="1" t="s">
        <v>20</v>
      </c>
      <c r="D40" s="1" t="s">
        <v>62</v>
      </c>
      <c r="E40">
        <v>2</v>
      </c>
      <c r="F40" s="5">
        <v>25000</v>
      </c>
      <c r="G40" s="1" t="s">
        <v>22</v>
      </c>
      <c r="H40" s="1" t="s">
        <v>23</v>
      </c>
      <c r="I40" s="1" t="s">
        <v>24</v>
      </c>
      <c r="J40">
        <v>0</v>
      </c>
    </row>
    <row r="41" spans="1:10" x14ac:dyDescent="0.25">
      <c r="A41">
        <v>3040</v>
      </c>
      <c r="B41" s="13">
        <v>45686</v>
      </c>
      <c r="C41" s="1" t="s">
        <v>10</v>
      </c>
      <c r="D41" s="1" t="s">
        <v>63</v>
      </c>
      <c r="E41">
        <v>8</v>
      </c>
      <c r="F41" s="5">
        <v>8000</v>
      </c>
      <c r="G41" s="1" t="s">
        <v>26</v>
      </c>
      <c r="H41" s="1" t="s">
        <v>27</v>
      </c>
      <c r="I41" s="1" t="s">
        <v>14</v>
      </c>
      <c r="J41">
        <v>5</v>
      </c>
    </row>
    <row r="42" spans="1:10" x14ac:dyDescent="0.25">
      <c r="A42">
        <v>3041</v>
      </c>
      <c r="B42" s="13">
        <v>45687</v>
      </c>
      <c r="C42" s="1" t="s">
        <v>15</v>
      </c>
      <c r="D42" s="1" t="s">
        <v>64</v>
      </c>
      <c r="E42">
        <v>7</v>
      </c>
      <c r="F42" s="5">
        <v>3000</v>
      </c>
      <c r="G42" s="1" t="s">
        <v>12</v>
      </c>
      <c r="H42" s="1" t="s">
        <v>13</v>
      </c>
      <c r="I42" s="1" t="s">
        <v>19</v>
      </c>
      <c r="J42">
        <v>0</v>
      </c>
    </row>
    <row r="43" spans="1:10" x14ac:dyDescent="0.25">
      <c r="A43">
        <v>3042</v>
      </c>
      <c r="B43" s="13">
        <v>45687</v>
      </c>
      <c r="C43" s="1" t="s">
        <v>20</v>
      </c>
      <c r="D43" s="1" t="s">
        <v>65</v>
      </c>
      <c r="E43">
        <v>2</v>
      </c>
      <c r="F43" s="5">
        <v>18000</v>
      </c>
      <c r="G43" s="1" t="s">
        <v>17</v>
      </c>
      <c r="H43" s="1" t="s">
        <v>18</v>
      </c>
      <c r="I43" s="1" t="s">
        <v>24</v>
      </c>
      <c r="J43">
        <v>0</v>
      </c>
    </row>
    <row r="44" spans="1:10" x14ac:dyDescent="0.25">
      <c r="A44">
        <v>3043</v>
      </c>
      <c r="B44" s="13">
        <v>45688</v>
      </c>
      <c r="C44" s="1" t="s">
        <v>10</v>
      </c>
      <c r="D44" s="1" t="s">
        <v>66</v>
      </c>
      <c r="E44">
        <v>3</v>
      </c>
      <c r="F44" s="5">
        <v>15000</v>
      </c>
      <c r="G44" s="1" t="s">
        <v>22</v>
      </c>
      <c r="H44" s="1" t="s">
        <v>23</v>
      </c>
      <c r="I44" s="1" t="s">
        <v>14</v>
      </c>
      <c r="J44">
        <v>10</v>
      </c>
    </row>
    <row r="45" spans="1:10" x14ac:dyDescent="0.25">
      <c r="A45">
        <v>3044</v>
      </c>
      <c r="B45" s="13">
        <v>45688</v>
      </c>
      <c r="C45" s="1" t="s">
        <v>15</v>
      </c>
      <c r="D45" s="1" t="s">
        <v>67</v>
      </c>
      <c r="E45">
        <v>6</v>
      </c>
      <c r="F45" s="5">
        <v>4000</v>
      </c>
      <c r="G45" s="1" t="s">
        <v>26</v>
      </c>
      <c r="H45" s="1" t="s">
        <v>27</v>
      </c>
      <c r="I45" s="1" t="s">
        <v>19</v>
      </c>
      <c r="J45">
        <v>0</v>
      </c>
    </row>
    <row r="46" spans="1:10" x14ac:dyDescent="0.25">
      <c r="A46">
        <v>3045</v>
      </c>
      <c r="B46" s="13">
        <v>45689</v>
      </c>
      <c r="C46" s="1" t="s">
        <v>20</v>
      </c>
      <c r="D46" s="1" t="s">
        <v>68</v>
      </c>
      <c r="E46">
        <v>2</v>
      </c>
      <c r="F46" s="5">
        <v>10000</v>
      </c>
      <c r="G46" s="1" t="s">
        <v>12</v>
      </c>
      <c r="H46" s="1" t="s">
        <v>13</v>
      </c>
      <c r="I46" s="1" t="s">
        <v>24</v>
      </c>
      <c r="J46">
        <v>5</v>
      </c>
    </row>
    <row r="47" spans="1:10" x14ac:dyDescent="0.25">
      <c r="A47">
        <v>3046</v>
      </c>
      <c r="B47" s="13">
        <v>45689</v>
      </c>
      <c r="C47" s="1" t="s">
        <v>10</v>
      </c>
      <c r="D47" s="1" t="s">
        <v>69</v>
      </c>
      <c r="E47">
        <v>1</v>
      </c>
      <c r="F47" s="5">
        <v>55000</v>
      </c>
      <c r="G47" s="1" t="s">
        <v>17</v>
      </c>
      <c r="H47" s="1" t="s">
        <v>18</v>
      </c>
      <c r="I47" s="1" t="s">
        <v>14</v>
      </c>
      <c r="J47">
        <v>0</v>
      </c>
    </row>
    <row r="48" spans="1:10" x14ac:dyDescent="0.25">
      <c r="A48">
        <v>3047</v>
      </c>
      <c r="B48" s="13">
        <v>45690</v>
      </c>
      <c r="C48" s="1" t="s">
        <v>15</v>
      </c>
      <c r="D48" s="1" t="s">
        <v>70</v>
      </c>
      <c r="E48">
        <v>6</v>
      </c>
      <c r="F48" s="5">
        <v>6000</v>
      </c>
      <c r="G48" s="1" t="s">
        <v>22</v>
      </c>
      <c r="H48" s="1" t="s">
        <v>23</v>
      </c>
      <c r="I48" s="1" t="s">
        <v>19</v>
      </c>
      <c r="J48">
        <v>0</v>
      </c>
    </row>
    <row r="49" spans="1:10" x14ac:dyDescent="0.25">
      <c r="A49">
        <v>3048</v>
      </c>
      <c r="B49" s="13">
        <v>45690</v>
      </c>
      <c r="C49" s="1" t="s">
        <v>20</v>
      </c>
      <c r="D49" s="1" t="s">
        <v>71</v>
      </c>
      <c r="E49">
        <v>1</v>
      </c>
      <c r="F49" s="5">
        <v>35000</v>
      </c>
      <c r="G49" s="1" t="s">
        <v>26</v>
      </c>
      <c r="H49" s="1" t="s">
        <v>27</v>
      </c>
      <c r="I49" s="1" t="s">
        <v>24</v>
      </c>
      <c r="J49">
        <v>10</v>
      </c>
    </row>
    <row r="50" spans="1:10" x14ac:dyDescent="0.25">
      <c r="A50">
        <v>3049</v>
      </c>
      <c r="B50" s="13">
        <v>45691</v>
      </c>
      <c r="C50" s="1" t="s">
        <v>10</v>
      </c>
      <c r="D50" s="1" t="s">
        <v>72</v>
      </c>
      <c r="E50">
        <v>2</v>
      </c>
      <c r="F50" s="5">
        <v>20000</v>
      </c>
      <c r="G50" s="1" t="s">
        <v>12</v>
      </c>
      <c r="H50" s="1" t="s">
        <v>13</v>
      </c>
      <c r="I50" s="1" t="s">
        <v>14</v>
      </c>
      <c r="J50">
        <v>0</v>
      </c>
    </row>
    <row r="51" spans="1:10" x14ac:dyDescent="0.25">
      <c r="A51">
        <v>3050</v>
      </c>
      <c r="B51" s="13">
        <v>45691</v>
      </c>
      <c r="C51" s="1" t="s">
        <v>15</v>
      </c>
      <c r="D51" s="1" t="s">
        <v>73</v>
      </c>
      <c r="E51">
        <v>5</v>
      </c>
      <c r="F51" s="5">
        <v>7000</v>
      </c>
      <c r="G51" s="1" t="s">
        <v>17</v>
      </c>
      <c r="H51" s="1" t="s">
        <v>18</v>
      </c>
      <c r="I51" s="1" t="s">
        <v>19</v>
      </c>
      <c r="J51">
        <v>0</v>
      </c>
    </row>
    <row r="52" spans="1:10" x14ac:dyDescent="0.25">
      <c r="A52">
        <v>3051</v>
      </c>
      <c r="B52" s="13">
        <v>45692</v>
      </c>
      <c r="C52" s="1" t="s">
        <v>20</v>
      </c>
      <c r="D52" s="1" t="s">
        <v>74</v>
      </c>
      <c r="E52">
        <v>3</v>
      </c>
      <c r="F52" s="5">
        <v>25000</v>
      </c>
      <c r="G52" s="1" t="s">
        <v>22</v>
      </c>
      <c r="H52" s="1" t="s">
        <v>23</v>
      </c>
      <c r="I52" s="1" t="s">
        <v>24</v>
      </c>
      <c r="J52">
        <v>5</v>
      </c>
    </row>
    <row r="53" spans="1:10" x14ac:dyDescent="0.25">
      <c r="A53">
        <v>3052</v>
      </c>
      <c r="B53" s="13">
        <v>45692</v>
      </c>
      <c r="C53" s="1" t="s">
        <v>10</v>
      </c>
      <c r="D53" s="1" t="s">
        <v>75</v>
      </c>
      <c r="E53">
        <v>1</v>
      </c>
      <c r="F53" s="5">
        <v>180000</v>
      </c>
      <c r="G53" s="1" t="s">
        <v>26</v>
      </c>
      <c r="H53" s="1" t="s">
        <v>27</v>
      </c>
      <c r="I53" s="1" t="s">
        <v>14</v>
      </c>
      <c r="J53">
        <v>0</v>
      </c>
    </row>
    <row r="54" spans="1:10" x14ac:dyDescent="0.25">
      <c r="A54">
        <v>3053</v>
      </c>
      <c r="B54" s="13">
        <v>45693</v>
      </c>
      <c r="C54" s="1" t="s">
        <v>15</v>
      </c>
      <c r="D54" s="1" t="s">
        <v>76</v>
      </c>
      <c r="E54">
        <v>8</v>
      </c>
      <c r="F54" s="5">
        <v>5000</v>
      </c>
      <c r="G54" s="1" t="s">
        <v>12</v>
      </c>
      <c r="H54" s="1" t="s">
        <v>13</v>
      </c>
      <c r="I54" s="1" t="s">
        <v>19</v>
      </c>
      <c r="J54">
        <v>10</v>
      </c>
    </row>
    <row r="55" spans="1:10" x14ac:dyDescent="0.25">
      <c r="A55">
        <v>3054</v>
      </c>
      <c r="B55" s="13">
        <v>45693</v>
      </c>
      <c r="C55" s="1" t="s">
        <v>20</v>
      </c>
      <c r="D55" s="1" t="s">
        <v>77</v>
      </c>
      <c r="E55">
        <v>3</v>
      </c>
      <c r="F55" s="5">
        <v>12000</v>
      </c>
      <c r="G55" s="1" t="s">
        <v>17</v>
      </c>
      <c r="H55" s="1" t="s">
        <v>18</v>
      </c>
      <c r="I55" s="1" t="s">
        <v>24</v>
      </c>
      <c r="J55">
        <v>0</v>
      </c>
    </row>
    <row r="56" spans="1:10" x14ac:dyDescent="0.25">
      <c r="A56">
        <v>3055</v>
      </c>
      <c r="B56" s="13">
        <v>45694</v>
      </c>
      <c r="C56" s="1" t="s">
        <v>10</v>
      </c>
      <c r="D56" s="1" t="s">
        <v>78</v>
      </c>
      <c r="E56">
        <v>4</v>
      </c>
      <c r="F56" s="5">
        <v>15000</v>
      </c>
      <c r="G56" s="1" t="s">
        <v>22</v>
      </c>
      <c r="H56" s="1" t="s">
        <v>23</v>
      </c>
      <c r="I56" s="1" t="s">
        <v>14</v>
      </c>
      <c r="J56">
        <v>0</v>
      </c>
    </row>
    <row r="57" spans="1:10" x14ac:dyDescent="0.25">
      <c r="A57">
        <v>3056</v>
      </c>
      <c r="B57" s="13">
        <v>45694</v>
      </c>
      <c r="C57" s="1" t="s">
        <v>15</v>
      </c>
      <c r="D57" s="1" t="s">
        <v>79</v>
      </c>
      <c r="E57">
        <v>12</v>
      </c>
      <c r="F57" s="5">
        <v>2000</v>
      </c>
      <c r="G57" s="1" t="s">
        <v>26</v>
      </c>
      <c r="H57" s="1" t="s">
        <v>27</v>
      </c>
      <c r="I57" s="1" t="s">
        <v>19</v>
      </c>
      <c r="J57">
        <v>5</v>
      </c>
    </row>
    <row r="58" spans="1:10" x14ac:dyDescent="0.25">
      <c r="A58">
        <v>3057</v>
      </c>
      <c r="B58" s="13">
        <v>45695</v>
      </c>
      <c r="C58" s="1" t="s">
        <v>20</v>
      </c>
      <c r="D58" s="1" t="s">
        <v>80</v>
      </c>
      <c r="E58">
        <v>3</v>
      </c>
      <c r="F58" s="5">
        <v>8000</v>
      </c>
      <c r="G58" s="1" t="s">
        <v>12</v>
      </c>
      <c r="H58" s="1" t="s">
        <v>13</v>
      </c>
      <c r="I58" s="1" t="s">
        <v>24</v>
      </c>
      <c r="J58">
        <v>0</v>
      </c>
    </row>
    <row r="59" spans="1:10" x14ac:dyDescent="0.25">
      <c r="A59">
        <v>3058</v>
      </c>
      <c r="B59" s="13">
        <v>45695</v>
      </c>
      <c r="C59" s="1" t="s">
        <v>10</v>
      </c>
      <c r="D59" s="1" t="s">
        <v>81</v>
      </c>
      <c r="E59">
        <v>1</v>
      </c>
      <c r="F59" s="5">
        <v>45000</v>
      </c>
      <c r="G59" s="1" t="s">
        <v>17</v>
      </c>
      <c r="H59" s="1" t="s">
        <v>18</v>
      </c>
      <c r="I59" s="1" t="s">
        <v>14</v>
      </c>
      <c r="J59">
        <v>0</v>
      </c>
    </row>
    <row r="60" spans="1:10" x14ac:dyDescent="0.25">
      <c r="A60">
        <v>3059</v>
      </c>
      <c r="B60" s="13">
        <v>45696</v>
      </c>
      <c r="C60" s="1" t="s">
        <v>15</v>
      </c>
      <c r="D60" s="1" t="s">
        <v>82</v>
      </c>
      <c r="E60">
        <v>6</v>
      </c>
      <c r="F60" s="5">
        <v>8000</v>
      </c>
      <c r="G60" s="1" t="s">
        <v>22</v>
      </c>
      <c r="H60" s="1" t="s">
        <v>23</v>
      </c>
      <c r="I60" s="1" t="s">
        <v>19</v>
      </c>
      <c r="J60">
        <v>5</v>
      </c>
    </row>
    <row r="61" spans="1:10" x14ac:dyDescent="0.25">
      <c r="A61">
        <v>3060</v>
      </c>
      <c r="B61" s="13">
        <v>45696</v>
      </c>
      <c r="C61" s="1" t="s">
        <v>20</v>
      </c>
      <c r="D61" s="1" t="s">
        <v>83</v>
      </c>
      <c r="E61">
        <v>4</v>
      </c>
      <c r="F61" s="5">
        <v>20000</v>
      </c>
      <c r="G61" s="1" t="s">
        <v>26</v>
      </c>
      <c r="H61" s="1" t="s">
        <v>27</v>
      </c>
      <c r="I61" s="1" t="s">
        <v>24</v>
      </c>
      <c r="J61">
        <v>0</v>
      </c>
    </row>
    <row r="62" spans="1:10" x14ac:dyDescent="0.25">
      <c r="A62">
        <v>3061</v>
      </c>
      <c r="B62" s="13">
        <v>45697</v>
      </c>
      <c r="C62" s="1" t="s">
        <v>10</v>
      </c>
      <c r="D62" s="1" t="s">
        <v>84</v>
      </c>
      <c r="E62">
        <v>5</v>
      </c>
      <c r="F62" s="5">
        <v>8000</v>
      </c>
      <c r="G62" s="1" t="s">
        <v>12</v>
      </c>
      <c r="H62" s="1" t="s">
        <v>13</v>
      </c>
      <c r="I62" s="1" t="s">
        <v>14</v>
      </c>
      <c r="J62">
        <v>10</v>
      </c>
    </row>
    <row r="63" spans="1:10" x14ac:dyDescent="0.25">
      <c r="A63">
        <v>3062</v>
      </c>
      <c r="B63" s="13">
        <v>45697</v>
      </c>
      <c r="C63" s="1" t="s">
        <v>15</v>
      </c>
      <c r="D63" s="1" t="s">
        <v>85</v>
      </c>
      <c r="E63">
        <v>8</v>
      </c>
      <c r="F63" s="5">
        <v>4000</v>
      </c>
      <c r="G63" s="1" t="s">
        <v>17</v>
      </c>
      <c r="H63" s="1" t="s">
        <v>18</v>
      </c>
      <c r="I63" s="1" t="s">
        <v>19</v>
      </c>
      <c r="J63">
        <v>0</v>
      </c>
    </row>
    <row r="64" spans="1:10" x14ac:dyDescent="0.25">
      <c r="A64">
        <v>3063</v>
      </c>
      <c r="B64" s="13">
        <v>45698</v>
      </c>
      <c r="C64" s="1" t="s">
        <v>20</v>
      </c>
      <c r="D64" s="1" t="s">
        <v>86</v>
      </c>
      <c r="E64">
        <v>2</v>
      </c>
      <c r="F64" s="5">
        <v>45000</v>
      </c>
      <c r="G64" s="1" t="s">
        <v>22</v>
      </c>
      <c r="H64" s="1" t="s">
        <v>23</v>
      </c>
      <c r="I64" s="1" t="s">
        <v>24</v>
      </c>
      <c r="J64">
        <v>0</v>
      </c>
    </row>
    <row r="65" spans="1:10" x14ac:dyDescent="0.25">
      <c r="A65">
        <v>3064</v>
      </c>
      <c r="B65" s="13">
        <v>45698</v>
      </c>
      <c r="C65" s="1" t="s">
        <v>10</v>
      </c>
      <c r="D65" s="1" t="s">
        <v>87</v>
      </c>
      <c r="E65">
        <v>2</v>
      </c>
      <c r="F65" s="5">
        <v>25000</v>
      </c>
      <c r="G65" s="1" t="s">
        <v>26</v>
      </c>
      <c r="H65" s="1" t="s">
        <v>27</v>
      </c>
      <c r="I65" s="1" t="s">
        <v>14</v>
      </c>
      <c r="J65">
        <v>5</v>
      </c>
    </row>
    <row r="66" spans="1:10" x14ac:dyDescent="0.25">
      <c r="A66">
        <v>3065</v>
      </c>
      <c r="B66" s="13">
        <v>45699</v>
      </c>
      <c r="C66" s="1" t="s">
        <v>15</v>
      </c>
      <c r="D66" s="1" t="s">
        <v>88</v>
      </c>
      <c r="E66">
        <v>1</v>
      </c>
      <c r="F66" s="5">
        <v>35000</v>
      </c>
      <c r="G66" s="1" t="s">
        <v>12</v>
      </c>
      <c r="H66" s="1" t="s">
        <v>13</v>
      </c>
      <c r="I66" s="1" t="s">
        <v>19</v>
      </c>
      <c r="J66">
        <v>0</v>
      </c>
    </row>
    <row r="67" spans="1:10" x14ac:dyDescent="0.25">
      <c r="A67">
        <v>3066</v>
      </c>
      <c r="B67" s="13">
        <v>45699</v>
      </c>
      <c r="C67" s="1" t="s">
        <v>20</v>
      </c>
      <c r="D67" s="1" t="s">
        <v>89</v>
      </c>
      <c r="E67">
        <v>1</v>
      </c>
      <c r="F67" s="5">
        <v>65000</v>
      </c>
      <c r="G67" s="1" t="s">
        <v>17</v>
      </c>
      <c r="H67" s="1" t="s">
        <v>18</v>
      </c>
      <c r="I67" s="1" t="s">
        <v>24</v>
      </c>
      <c r="J67">
        <v>15</v>
      </c>
    </row>
    <row r="68" spans="1:10" x14ac:dyDescent="0.25">
      <c r="A68">
        <v>3067</v>
      </c>
      <c r="B68" s="13">
        <v>45700</v>
      </c>
      <c r="C68" s="1" t="s">
        <v>10</v>
      </c>
      <c r="D68" s="1" t="s">
        <v>90</v>
      </c>
      <c r="E68">
        <v>1</v>
      </c>
      <c r="F68" s="5">
        <v>250000</v>
      </c>
      <c r="G68" s="1" t="s">
        <v>22</v>
      </c>
      <c r="H68" s="1" t="s">
        <v>23</v>
      </c>
      <c r="I68" s="1" t="s">
        <v>14</v>
      </c>
      <c r="J68">
        <v>0</v>
      </c>
    </row>
    <row r="69" spans="1:10" x14ac:dyDescent="0.25">
      <c r="A69">
        <v>3068</v>
      </c>
      <c r="B69" s="13">
        <v>45700</v>
      </c>
      <c r="C69" s="1" t="s">
        <v>15</v>
      </c>
      <c r="D69" s="1" t="s">
        <v>91</v>
      </c>
      <c r="E69">
        <v>4</v>
      </c>
      <c r="F69" s="5">
        <v>10000</v>
      </c>
      <c r="G69" s="1" t="s">
        <v>26</v>
      </c>
      <c r="H69" s="1" t="s">
        <v>27</v>
      </c>
      <c r="I69" s="1" t="s">
        <v>19</v>
      </c>
      <c r="J69">
        <v>5</v>
      </c>
    </row>
    <row r="70" spans="1:10" x14ac:dyDescent="0.25">
      <c r="A70">
        <v>3069</v>
      </c>
      <c r="B70" s="13">
        <v>45701</v>
      </c>
      <c r="C70" s="1" t="s">
        <v>20</v>
      </c>
      <c r="D70" s="1" t="s">
        <v>92</v>
      </c>
      <c r="E70">
        <v>3</v>
      </c>
      <c r="F70" s="5">
        <v>8000</v>
      </c>
      <c r="G70" s="1" t="s">
        <v>12</v>
      </c>
      <c r="H70" s="1" t="s">
        <v>13</v>
      </c>
      <c r="I70" s="1" t="s">
        <v>24</v>
      </c>
      <c r="J70">
        <v>0</v>
      </c>
    </row>
    <row r="71" spans="1:10" x14ac:dyDescent="0.25">
      <c r="A71">
        <v>3070</v>
      </c>
      <c r="B71" s="13">
        <v>45701</v>
      </c>
      <c r="C71" s="1" t="s">
        <v>10</v>
      </c>
      <c r="D71" s="1" t="s">
        <v>93</v>
      </c>
      <c r="E71">
        <v>3</v>
      </c>
      <c r="F71" s="5">
        <v>12000</v>
      </c>
      <c r="G71" s="1" t="s">
        <v>17</v>
      </c>
      <c r="H71" s="1" t="s">
        <v>18</v>
      </c>
      <c r="I71" s="1" t="s">
        <v>14</v>
      </c>
      <c r="J71">
        <v>0</v>
      </c>
    </row>
    <row r="72" spans="1:10" x14ac:dyDescent="0.25">
      <c r="A72">
        <v>3071</v>
      </c>
      <c r="B72" s="13">
        <v>45702</v>
      </c>
      <c r="C72" s="1" t="s">
        <v>15</v>
      </c>
      <c r="D72" s="1" t="s">
        <v>94</v>
      </c>
      <c r="E72">
        <v>7</v>
      </c>
      <c r="F72" s="5">
        <v>5000</v>
      </c>
      <c r="G72" s="1" t="s">
        <v>22</v>
      </c>
      <c r="H72" s="1" t="s">
        <v>23</v>
      </c>
      <c r="I72" s="1" t="s">
        <v>19</v>
      </c>
      <c r="J72">
        <v>10</v>
      </c>
    </row>
    <row r="73" spans="1:10" x14ac:dyDescent="0.25">
      <c r="A73">
        <v>3072</v>
      </c>
      <c r="B73" s="13">
        <v>45702</v>
      </c>
      <c r="C73" s="1" t="s">
        <v>20</v>
      </c>
      <c r="D73" s="1" t="s">
        <v>95</v>
      </c>
      <c r="E73">
        <v>5</v>
      </c>
      <c r="F73" s="5">
        <v>7000</v>
      </c>
      <c r="G73" s="1" t="s">
        <v>26</v>
      </c>
      <c r="H73" s="1" t="s">
        <v>27</v>
      </c>
      <c r="I73" s="1" t="s">
        <v>24</v>
      </c>
      <c r="J73">
        <v>0</v>
      </c>
    </row>
    <row r="74" spans="1:10" x14ac:dyDescent="0.25">
      <c r="A74">
        <v>3073</v>
      </c>
      <c r="B74" s="13">
        <v>45703</v>
      </c>
      <c r="C74" s="1" t="s">
        <v>10</v>
      </c>
      <c r="D74" s="1" t="s">
        <v>96</v>
      </c>
      <c r="E74">
        <v>1</v>
      </c>
      <c r="F74" s="5">
        <v>150000</v>
      </c>
      <c r="G74" s="1" t="s">
        <v>12</v>
      </c>
      <c r="H74" s="1" t="s">
        <v>13</v>
      </c>
      <c r="I74" s="1" t="s">
        <v>14</v>
      </c>
      <c r="J74">
        <v>0</v>
      </c>
    </row>
    <row r="75" spans="1:10" x14ac:dyDescent="0.25">
      <c r="A75">
        <v>3074</v>
      </c>
      <c r="B75" s="13">
        <v>45703</v>
      </c>
      <c r="C75" s="1" t="s">
        <v>15</v>
      </c>
      <c r="D75" s="1" t="s">
        <v>97</v>
      </c>
      <c r="E75">
        <v>8</v>
      </c>
      <c r="F75" s="5">
        <v>4000</v>
      </c>
      <c r="G75" s="1" t="s">
        <v>17</v>
      </c>
      <c r="H75" s="1" t="s">
        <v>18</v>
      </c>
      <c r="I75" s="1" t="s">
        <v>19</v>
      </c>
      <c r="J75">
        <v>5</v>
      </c>
    </row>
    <row r="76" spans="1:10" x14ac:dyDescent="0.25">
      <c r="A76">
        <v>3075</v>
      </c>
      <c r="B76" s="13">
        <v>45704</v>
      </c>
      <c r="C76" s="1" t="s">
        <v>20</v>
      </c>
      <c r="D76" s="1" t="s">
        <v>98</v>
      </c>
      <c r="E76">
        <v>3</v>
      </c>
      <c r="F76" s="5">
        <v>20000</v>
      </c>
      <c r="G76" s="1" t="s">
        <v>22</v>
      </c>
      <c r="H76" s="1" t="s">
        <v>23</v>
      </c>
      <c r="I76" s="1" t="s">
        <v>24</v>
      </c>
      <c r="J76">
        <v>0</v>
      </c>
    </row>
    <row r="77" spans="1:10" x14ac:dyDescent="0.25">
      <c r="A77">
        <v>3076</v>
      </c>
      <c r="B77" s="13">
        <v>45704</v>
      </c>
      <c r="C77" s="1" t="s">
        <v>10</v>
      </c>
      <c r="D77" s="1" t="s">
        <v>99</v>
      </c>
      <c r="E77">
        <v>4</v>
      </c>
      <c r="F77" s="5">
        <v>6000</v>
      </c>
      <c r="G77" s="1" t="s">
        <v>26</v>
      </c>
      <c r="H77" s="1" t="s">
        <v>27</v>
      </c>
      <c r="I77" s="1" t="s">
        <v>14</v>
      </c>
      <c r="J77">
        <v>0</v>
      </c>
    </row>
    <row r="78" spans="1:10" x14ac:dyDescent="0.25">
      <c r="A78">
        <v>3077</v>
      </c>
      <c r="B78" s="13">
        <v>45705</v>
      </c>
      <c r="C78" s="1" t="s">
        <v>15</v>
      </c>
      <c r="D78" s="1" t="s">
        <v>100</v>
      </c>
      <c r="E78">
        <v>3</v>
      </c>
      <c r="F78" s="5">
        <v>12000</v>
      </c>
      <c r="G78" s="1" t="s">
        <v>12</v>
      </c>
      <c r="H78" s="1" t="s">
        <v>13</v>
      </c>
      <c r="I78" s="1" t="s">
        <v>19</v>
      </c>
      <c r="J78">
        <v>5</v>
      </c>
    </row>
    <row r="79" spans="1:10" x14ac:dyDescent="0.25">
      <c r="A79">
        <v>3078</v>
      </c>
      <c r="B79" s="13">
        <v>45705</v>
      </c>
      <c r="C79" s="1" t="s">
        <v>20</v>
      </c>
      <c r="D79" s="1" t="s">
        <v>101</v>
      </c>
      <c r="E79">
        <v>7</v>
      </c>
      <c r="F79" s="5">
        <v>3000</v>
      </c>
      <c r="G79" s="1" t="s">
        <v>17</v>
      </c>
      <c r="H79" s="1" t="s">
        <v>18</v>
      </c>
      <c r="I79" s="1" t="s">
        <v>24</v>
      </c>
      <c r="J79">
        <v>0</v>
      </c>
    </row>
    <row r="80" spans="1:10" x14ac:dyDescent="0.25">
      <c r="A80">
        <v>3079</v>
      </c>
      <c r="B80" s="13">
        <v>45706</v>
      </c>
      <c r="C80" s="1" t="s">
        <v>10</v>
      </c>
      <c r="D80" s="1" t="s">
        <v>102</v>
      </c>
      <c r="E80">
        <v>2</v>
      </c>
      <c r="F80" s="5">
        <v>15000</v>
      </c>
      <c r="G80" s="1" t="s">
        <v>22</v>
      </c>
      <c r="H80" s="1" t="s">
        <v>23</v>
      </c>
      <c r="I80" s="1" t="s">
        <v>14</v>
      </c>
      <c r="J80">
        <v>0</v>
      </c>
    </row>
    <row r="81" spans="1:10" x14ac:dyDescent="0.25">
      <c r="A81">
        <v>3080</v>
      </c>
      <c r="B81" s="13">
        <v>45706</v>
      </c>
      <c r="C81" s="1" t="s">
        <v>15</v>
      </c>
      <c r="D81" s="1" t="s">
        <v>103</v>
      </c>
      <c r="E81">
        <v>1</v>
      </c>
      <c r="F81" s="5">
        <v>25000</v>
      </c>
      <c r="G81" s="1" t="s">
        <v>26</v>
      </c>
      <c r="H81" s="1" t="s">
        <v>27</v>
      </c>
      <c r="I81" s="1" t="s">
        <v>19</v>
      </c>
      <c r="J81">
        <v>10</v>
      </c>
    </row>
    <row r="82" spans="1:10" x14ac:dyDescent="0.25">
      <c r="A82">
        <v>3081</v>
      </c>
      <c r="B82" s="13">
        <v>45707</v>
      </c>
      <c r="C82" s="1" t="s">
        <v>20</v>
      </c>
      <c r="D82" s="1" t="s">
        <v>104</v>
      </c>
      <c r="E82">
        <v>3</v>
      </c>
      <c r="F82" s="5">
        <v>12000</v>
      </c>
      <c r="G82" s="1" t="s">
        <v>12</v>
      </c>
      <c r="H82" s="1" t="s">
        <v>13</v>
      </c>
      <c r="I82" s="1" t="s">
        <v>24</v>
      </c>
      <c r="J82">
        <v>0</v>
      </c>
    </row>
    <row r="83" spans="1:10" x14ac:dyDescent="0.25">
      <c r="A83">
        <v>3082</v>
      </c>
      <c r="B83" s="13">
        <v>45707</v>
      </c>
      <c r="C83" s="1" t="s">
        <v>10</v>
      </c>
      <c r="D83" s="1" t="s">
        <v>105</v>
      </c>
      <c r="E83">
        <v>4</v>
      </c>
      <c r="F83" s="5">
        <v>8000</v>
      </c>
      <c r="G83" s="1" t="s">
        <v>17</v>
      </c>
      <c r="H83" s="1" t="s">
        <v>18</v>
      </c>
      <c r="I83" s="1" t="s">
        <v>14</v>
      </c>
      <c r="J83">
        <v>0</v>
      </c>
    </row>
    <row r="84" spans="1:10" x14ac:dyDescent="0.25">
      <c r="A84">
        <v>3083</v>
      </c>
      <c r="B84" s="13">
        <v>45708</v>
      </c>
      <c r="C84" s="1" t="s">
        <v>15</v>
      </c>
      <c r="D84" s="1" t="s">
        <v>106</v>
      </c>
      <c r="E84">
        <v>1</v>
      </c>
      <c r="F84" s="5">
        <v>18000</v>
      </c>
      <c r="G84" s="1" t="s">
        <v>22</v>
      </c>
      <c r="H84" s="1" t="s">
        <v>23</v>
      </c>
      <c r="I84" s="1" t="s">
        <v>19</v>
      </c>
      <c r="J84">
        <v>5</v>
      </c>
    </row>
    <row r="85" spans="1:10" x14ac:dyDescent="0.25">
      <c r="A85">
        <v>3084</v>
      </c>
      <c r="B85" s="13">
        <v>45708</v>
      </c>
      <c r="C85" s="1" t="s">
        <v>20</v>
      </c>
      <c r="D85" s="1" t="s">
        <v>107</v>
      </c>
      <c r="E85">
        <v>3</v>
      </c>
      <c r="F85" s="5">
        <v>10000</v>
      </c>
      <c r="G85" s="1" t="s">
        <v>26</v>
      </c>
      <c r="H85" s="1" t="s">
        <v>27</v>
      </c>
      <c r="I85" s="1" t="s">
        <v>24</v>
      </c>
      <c r="J85">
        <v>0</v>
      </c>
    </row>
    <row r="86" spans="1:10" x14ac:dyDescent="0.25">
      <c r="A86">
        <v>3085</v>
      </c>
      <c r="B86" s="13">
        <v>45709</v>
      </c>
      <c r="C86" s="1" t="s">
        <v>10</v>
      </c>
      <c r="D86" s="1" t="s">
        <v>108</v>
      </c>
      <c r="E86">
        <v>1</v>
      </c>
      <c r="F86" s="5">
        <v>25000</v>
      </c>
      <c r="G86" s="1" t="s">
        <v>12</v>
      </c>
      <c r="H86" s="1" t="s">
        <v>13</v>
      </c>
      <c r="I86" s="1" t="s">
        <v>14</v>
      </c>
      <c r="J86">
        <v>0</v>
      </c>
    </row>
    <row r="87" spans="1:10" x14ac:dyDescent="0.25">
      <c r="A87">
        <v>3086</v>
      </c>
      <c r="B87" s="13">
        <v>45709</v>
      </c>
      <c r="C87" s="1" t="s">
        <v>15</v>
      </c>
      <c r="D87" s="1" t="s">
        <v>109</v>
      </c>
      <c r="E87">
        <v>4</v>
      </c>
      <c r="F87" s="5">
        <v>9000</v>
      </c>
      <c r="G87" s="1" t="s">
        <v>17</v>
      </c>
      <c r="H87" s="1" t="s">
        <v>18</v>
      </c>
      <c r="I87" s="1" t="s">
        <v>19</v>
      </c>
      <c r="J87">
        <v>10</v>
      </c>
    </row>
    <row r="88" spans="1:10" x14ac:dyDescent="0.25">
      <c r="A88">
        <v>3087</v>
      </c>
      <c r="B88" s="13">
        <v>45710</v>
      </c>
      <c r="C88" s="1" t="s">
        <v>20</v>
      </c>
      <c r="D88" s="1" t="s">
        <v>110</v>
      </c>
      <c r="E88">
        <v>8</v>
      </c>
      <c r="F88" s="5">
        <v>2000</v>
      </c>
      <c r="G88" s="1" t="s">
        <v>22</v>
      </c>
      <c r="H88" s="1" t="s">
        <v>23</v>
      </c>
      <c r="I88" s="1" t="s">
        <v>24</v>
      </c>
      <c r="J88">
        <v>0</v>
      </c>
    </row>
    <row r="89" spans="1:10" x14ac:dyDescent="0.25">
      <c r="A89">
        <v>3088</v>
      </c>
      <c r="B89" s="13">
        <v>45710</v>
      </c>
      <c r="C89" s="1" t="s">
        <v>10</v>
      </c>
      <c r="D89" s="1" t="s">
        <v>111</v>
      </c>
      <c r="E89">
        <v>10</v>
      </c>
      <c r="F89" s="5">
        <v>3000</v>
      </c>
      <c r="G89" s="1" t="s">
        <v>26</v>
      </c>
      <c r="H89" s="1" t="s">
        <v>27</v>
      </c>
      <c r="I89" s="1" t="s">
        <v>14</v>
      </c>
      <c r="J89">
        <v>5</v>
      </c>
    </row>
    <row r="90" spans="1:10" x14ac:dyDescent="0.25">
      <c r="A90">
        <v>3089</v>
      </c>
      <c r="B90" s="13">
        <v>45711</v>
      </c>
      <c r="C90" s="1" t="s">
        <v>15</v>
      </c>
      <c r="D90" s="1" t="s">
        <v>112</v>
      </c>
      <c r="E90">
        <v>6</v>
      </c>
      <c r="F90" s="5">
        <v>5000</v>
      </c>
      <c r="G90" s="1" t="s">
        <v>12</v>
      </c>
      <c r="H90" s="1" t="s">
        <v>13</v>
      </c>
      <c r="I90" s="1" t="s">
        <v>19</v>
      </c>
      <c r="J90">
        <v>0</v>
      </c>
    </row>
    <row r="91" spans="1:10" x14ac:dyDescent="0.25">
      <c r="A91">
        <v>3090</v>
      </c>
      <c r="B91" s="13">
        <v>45711</v>
      </c>
      <c r="C91" s="1" t="s">
        <v>20</v>
      </c>
      <c r="D91" s="1" t="s">
        <v>113</v>
      </c>
      <c r="E91">
        <v>3</v>
      </c>
      <c r="F91" s="5">
        <v>15000</v>
      </c>
      <c r="G91" s="1" t="s">
        <v>17</v>
      </c>
      <c r="H91" s="1" t="s">
        <v>18</v>
      </c>
      <c r="I91" s="1" t="s">
        <v>24</v>
      </c>
      <c r="J91">
        <v>0</v>
      </c>
    </row>
    <row r="92" spans="1:10" x14ac:dyDescent="0.25">
      <c r="A92">
        <v>3091</v>
      </c>
      <c r="B92" s="13">
        <v>45712</v>
      </c>
      <c r="C92" s="1" t="s">
        <v>10</v>
      </c>
      <c r="D92" s="1" t="s">
        <v>114</v>
      </c>
      <c r="E92">
        <v>7</v>
      </c>
      <c r="F92" s="5">
        <v>4000</v>
      </c>
      <c r="G92" s="1" t="s">
        <v>22</v>
      </c>
      <c r="H92" s="1" t="s">
        <v>23</v>
      </c>
      <c r="I92" s="1" t="s">
        <v>14</v>
      </c>
      <c r="J92">
        <v>5</v>
      </c>
    </row>
    <row r="93" spans="1:10" x14ac:dyDescent="0.25">
      <c r="A93">
        <v>3092</v>
      </c>
      <c r="B93" s="13">
        <v>45712</v>
      </c>
      <c r="C93" s="1" t="s">
        <v>15</v>
      </c>
      <c r="D93" s="1" t="s">
        <v>115</v>
      </c>
      <c r="E93">
        <v>3</v>
      </c>
      <c r="F93" s="5">
        <v>6000</v>
      </c>
      <c r="G93" s="1" t="s">
        <v>26</v>
      </c>
      <c r="H93" s="1" t="s">
        <v>27</v>
      </c>
      <c r="I93" s="1" t="s">
        <v>19</v>
      </c>
      <c r="J93">
        <v>0</v>
      </c>
    </row>
    <row r="94" spans="1:10" x14ac:dyDescent="0.25">
      <c r="A94">
        <v>3093</v>
      </c>
      <c r="B94" s="13">
        <v>45713</v>
      </c>
      <c r="C94" s="1" t="s">
        <v>20</v>
      </c>
      <c r="D94" s="1" t="s">
        <v>116</v>
      </c>
      <c r="E94">
        <v>2</v>
      </c>
      <c r="F94" s="5">
        <v>18000</v>
      </c>
      <c r="G94" s="1" t="s">
        <v>12</v>
      </c>
      <c r="H94" s="1" t="s">
        <v>13</v>
      </c>
      <c r="I94" s="1" t="s">
        <v>24</v>
      </c>
      <c r="J94">
        <v>0</v>
      </c>
    </row>
    <row r="95" spans="1:10" x14ac:dyDescent="0.25">
      <c r="A95">
        <v>3094</v>
      </c>
      <c r="B95" s="13">
        <v>45713</v>
      </c>
      <c r="C95" s="1" t="s">
        <v>10</v>
      </c>
      <c r="D95" s="1" t="s">
        <v>117</v>
      </c>
      <c r="E95">
        <v>2</v>
      </c>
      <c r="F95" s="5">
        <v>22000</v>
      </c>
      <c r="G95" s="1" t="s">
        <v>17</v>
      </c>
      <c r="H95" s="1" t="s">
        <v>18</v>
      </c>
      <c r="I95" s="1" t="s">
        <v>14</v>
      </c>
      <c r="J95">
        <v>10</v>
      </c>
    </row>
    <row r="96" spans="1:10" x14ac:dyDescent="0.25">
      <c r="A96">
        <v>3095</v>
      </c>
      <c r="B96" s="13">
        <v>45714</v>
      </c>
      <c r="C96" s="1" t="s">
        <v>15</v>
      </c>
      <c r="D96" s="1" t="s">
        <v>118</v>
      </c>
      <c r="E96">
        <v>3</v>
      </c>
      <c r="F96" s="5">
        <v>25000</v>
      </c>
      <c r="G96" s="1" t="s">
        <v>22</v>
      </c>
      <c r="H96" s="1" t="s">
        <v>23</v>
      </c>
      <c r="I96" s="1" t="s">
        <v>19</v>
      </c>
      <c r="J96">
        <v>0</v>
      </c>
    </row>
    <row r="97" spans="1:10" x14ac:dyDescent="0.25">
      <c r="A97">
        <v>3096</v>
      </c>
      <c r="B97" s="13">
        <v>45714</v>
      </c>
      <c r="C97" s="1" t="s">
        <v>20</v>
      </c>
      <c r="D97" s="1" t="s">
        <v>119</v>
      </c>
      <c r="E97">
        <v>4</v>
      </c>
      <c r="F97" s="5">
        <v>15000</v>
      </c>
      <c r="G97" s="1" t="s">
        <v>26</v>
      </c>
      <c r="H97" s="1" t="s">
        <v>27</v>
      </c>
      <c r="I97" s="1" t="s">
        <v>24</v>
      </c>
      <c r="J97">
        <v>5</v>
      </c>
    </row>
    <row r="98" spans="1:10" x14ac:dyDescent="0.25">
      <c r="A98">
        <v>3097</v>
      </c>
      <c r="B98" s="13">
        <v>45715</v>
      </c>
      <c r="C98" s="1" t="s">
        <v>10</v>
      </c>
      <c r="D98" s="1" t="s">
        <v>120</v>
      </c>
      <c r="E98">
        <v>6</v>
      </c>
      <c r="F98" s="5">
        <v>3000</v>
      </c>
      <c r="G98" s="1" t="s">
        <v>12</v>
      </c>
      <c r="H98" s="1" t="s">
        <v>13</v>
      </c>
      <c r="I98" s="1" t="s">
        <v>14</v>
      </c>
      <c r="J98">
        <v>0</v>
      </c>
    </row>
    <row r="99" spans="1:10" x14ac:dyDescent="0.25">
      <c r="A99">
        <v>3098</v>
      </c>
      <c r="B99" s="13">
        <v>45715</v>
      </c>
      <c r="C99" s="1" t="s">
        <v>15</v>
      </c>
      <c r="D99" s="1" t="s">
        <v>121</v>
      </c>
      <c r="E99">
        <v>4</v>
      </c>
      <c r="F99" s="5">
        <v>8000</v>
      </c>
      <c r="G99" s="1" t="s">
        <v>17</v>
      </c>
      <c r="H99" s="1" t="s">
        <v>18</v>
      </c>
      <c r="I99" s="1" t="s">
        <v>19</v>
      </c>
      <c r="J99">
        <v>0</v>
      </c>
    </row>
    <row r="100" spans="1:10" x14ac:dyDescent="0.25">
      <c r="A100">
        <v>3099</v>
      </c>
      <c r="B100" s="13">
        <v>45716</v>
      </c>
      <c r="C100" s="1" t="s">
        <v>20</v>
      </c>
      <c r="D100" s="1" t="s">
        <v>122</v>
      </c>
      <c r="E100">
        <v>2</v>
      </c>
      <c r="F100" s="5">
        <v>25000</v>
      </c>
      <c r="G100" s="1" t="s">
        <v>22</v>
      </c>
      <c r="H100" s="1" t="s">
        <v>23</v>
      </c>
      <c r="I100" s="1" t="s">
        <v>24</v>
      </c>
      <c r="J100">
        <v>5</v>
      </c>
    </row>
    <row r="101" spans="1:10" x14ac:dyDescent="0.25">
      <c r="A101">
        <v>3100</v>
      </c>
      <c r="B101" s="13">
        <v>45716</v>
      </c>
      <c r="C101" s="1" t="s">
        <v>10</v>
      </c>
      <c r="D101" s="1" t="s">
        <v>123</v>
      </c>
      <c r="E101">
        <v>1</v>
      </c>
      <c r="F101" s="5">
        <v>85000</v>
      </c>
      <c r="G101" s="1" t="s">
        <v>26</v>
      </c>
      <c r="H101" s="1" t="s">
        <v>27</v>
      </c>
      <c r="I101" s="1" t="s">
        <v>14</v>
      </c>
      <c r="J101">
        <v>0</v>
      </c>
    </row>
    <row r="102" spans="1:10" x14ac:dyDescent="0.25">
      <c r="A102">
        <v>3101</v>
      </c>
      <c r="B102" s="13">
        <v>45669</v>
      </c>
      <c r="C102" s="1" t="s">
        <v>10</v>
      </c>
      <c r="D102" s="1" t="s">
        <v>124</v>
      </c>
      <c r="E102">
        <v>3</v>
      </c>
      <c r="F102" s="5">
        <v>35000</v>
      </c>
      <c r="G102" s="1" t="s">
        <v>12</v>
      </c>
      <c r="H102" s="1" t="s">
        <v>13</v>
      </c>
      <c r="I102" s="1" t="s">
        <v>14</v>
      </c>
      <c r="J102">
        <v>10</v>
      </c>
    </row>
    <row r="103" spans="1:10" x14ac:dyDescent="0.25">
      <c r="A103">
        <v>3102</v>
      </c>
      <c r="B103" s="13">
        <v>45670</v>
      </c>
      <c r="C103" s="1" t="s">
        <v>15</v>
      </c>
      <c r="D103" s="1" t="s">
        <v>125</v>
      </c>
      <c r="E103">
        <v>2</v>
      </c>
      <c r="F103" s="5">
        <v>28000</v>
      </c>
      <c r="G103" s="1" t="s">
        <v>17</v>
      </c>
      <c r="H103" s="1" t="s">
        <v>18</v>
      </c>
      <c r="I103" s="1" t="s">
        <v>19</v>
      </c>
      <c r="J103">
        <v>0</v>
      </c>
    </row>
    <row r="104" spans="1:10" x14ac:dyDescent="0.25">
      <c r="A104">
        <v>3103</v>
      </c>
      <c r="B104" s="13">
        <v>45671</v>
      </c>
      <c r="C104" s="1" t="s">
        <v>20</v>
      </c>
      <c r="D104" s="1" t="s">
        <v>126</v>
      </c>
      <c r="E104">
        <v>4</v>
      </c>
      <c r="F104" s="5">
        <v>12000</v>
      </c>
      <c r="G104" s="1" t="s">
        <v>22</v>
      </c>
      <c r="H104" s="1" t="s">
        <v>23</v>
      </c>
      <c r="I104" s="1" t="s">
        <v>24</v>
      </c>
      <c r="J104">
        <v>5</v>
      </c>
    </row>
    <row r="105" spans="1:10" x14ac:dyDescent="0.25">
      <c r="A105">
        <v>3104</v>
      </c>
      <c r="B105" s="13">
        <v>45672</v>
      </c>
      <c r="C105" s="1" t="s">
        <v>10</v>
      </c>
      <c r="D105" s="1" t="s">
        <v>127</v>
      </c>
      <c r="E105">
        <v>6</v>
      </c>
      <c r="F105" s="5">
        <v>4000</v>
      </c>
      <c r="G105" s="1" t="s">
        <v>26</v>
      </c>
      <c r="H105" s="1" t="s">
        <v>27</v>
      </c>
      <c r="I105" s="1" t="s">
        <v>14</v>
      </c>
      <c r="J105">
        <v>0</v>
      </c>
    </row>
    <row r="106" spans="1:10" x14ac:dyDescent="0.25">
      <c r="A106">
        <v>3105</v>
      </c>
      <c r="B106" s="13">
        <v>45673</v>
      </c>
      <c r="C106" s="1" t="s">
        <v>15</v>
      </c>
      <c r="D106" s="1" t="s">
        <v>128</v>
      </c>
      <c r="E106">
        <v>3</v>
      </c>
      <c r="F106" s="5">
        <v>22000</v>
      </c>
      <c r="G106" s="1" t="s">
        <v>12</v>
      </c>
      <c r="H106" s="1" t="s">
        <v>13</v>
      </c>
      <c r="I106" s="1" t="s">
        <v>19</v>
      </c>
      <c r="J106">
        <v>0</v>
      </c>
    </row>
    <row r="107" spans="1:10" x14ac:dyDescent="0.25">
      <c r="A107">
        <v>3106</v>
      </c>
      <c r="B107" s="13">
        <v>45674</v>
      </c>
      <c r="C107" s="1" t="s">
        <v>20</v>
      </c>
      <c r="D107" s="1" t="s">
        <v>129</v>
      </c>
      <c r="E107">
        <v>5</v>
      </c>
      <c r="F107" s="5">
        <v>18000</v>
      </c>
      <c r="G107" s="1" t="s">
        <v>17</v>
      </c>
      <c r="H107" s="1" t="s">
        <v>18</v>
      </c>
      <c r="I107" s="1" t="s">
        <v>24</v>
      </c>
      <c r="J107">
        <v>10</v>
      </c>
    </row>
    <row r="108" spans="1:10" x14ac:dyDescent="0.25">
      <c r="A108">
        <v>3107</v>
      </c>
      <c r="B108" s="13">
        <v>45675</v>
      </c>
      <c r="C108" s="1" t="s">
        <v>10</v>
      </c>
      <c r="D108" s="1" t="s">
        <v>130</v>
      </c>
      <c r="E108">
        <v>5</v>
      </c>
      <c r="F108" s="5">
        <v>8000</v>
      </c>
      <c r="G108" s="1" t="s">
        <v>22</v>
      </c>
      <c r="H108" s="1" t="s">
        <v>23</v>
      </c>
      <c r="I108" s="1" t="s">
        <v>14</v>
      </c>
      <c r="J108">
        <v>0</v>
      </c>
    </row>
    <row r="109" spans="1:10" x14ac:dyDescent="0.25">
      <c r="A109">
        <v>3108</v>
      </c>
      <c r="B109" s="13">
        <v>45676</v>
      </c>
      <c r="C109" s="1" t="s">
        <v>15</v>
      </c>
      <c r="D109" s="1" t="s">
        <v>131</v>
      </c>
      <c r="E109">
        <v>2</v>
      </c>
      <c r="F109" s="5">
        <v>15000</v>
      </c>
      <c r="G109" s="1" t="s">
        <v>26</v>
      </c>
      <c r="H109" s="1" t="s">
        <v>27</v>
      </c>
      <c r="I109" s="1" t="s">
        <v>19</v>
      </c>
      <c r="J109">
        <v>5</v>
      </c>
    </row>
    <row r="110" spans="1:10" x14ac:dyDescent="0.25">
      <c r="A110">
        <v>3109</v>
      </c>
      <c r="B110" s="13">
        <v>45677</v>
      </c>
      <c r="C110" s="1" t="s">
        <v>20</v>
      </c>
      <c r="D110" s="1" t="s">
        <v>132</v>
      </c>
      <c r="E110">
        <v>2</v>
      </c>
      <c r="F110" s="5">
        <v>55000</v>
      </c>
      <c r="G110" s="1" t="s">
        <v>12</v>
      </c>
      <c r="H110" s="1" t="s">
        <v>13</v>
      </c>
      <c r="I110" s="1" t="s">
        <v>24</v>
      </c>
      <c r="J110">
        <v>0</v>
      </c>
    </row>
    <row r="111" spans="1:10" x14ac:dyDescent="0.25">
      <c r="A111">
        <v>3110</v>
      </c>
      <c r="B111" s="13">
        <v>45678</v>
      </c>
      <c r="C111" s="1" t="s">
        <v>10</v>
      </c>
      <c r="D111" s="1" t="s">
        <v>133</v>
      </c>
      <c r="E111">
        <v>12</v>
      </c>
      <c r="F111" s="5">
        <v>1500</v>
      </c>
      <c r="G111" s="1" t="s">
        <v>17</v>
      </c>
      <c r="H111" s="1" t="s">
        <v>18</v>
      </c>
      <c r="I111" s="1" t="s">
        <v>14</v>
      </c>
      <c r="J111">
        <v>0</v>
      </c>
    </row>
    <row r="112" spans="1:10" x14ac:dyDescent="0.25">
      <c r="A112">
        <v>3111</v>
      </c>
      <c r="B112" s="13">
        <v>45679</v>
      </c>
      <c r="C112" s="1" t="s">
        <v>15</v>
      </c>
      <c r="D112" s="1" t="s">
        <v>134</v>
      </c>
      <c r="E112">
        <v>2</v>
      </c>
      <c r="F112" s="5">
        <v>45000</v>
      </c>
      <c r="G112" s="1" t="s">
        <v>22</v>
      </c>
      <c r="H112" s="1" t="s">
        <v>23</v>
      </c>
      <c r="I112" s="1" t="s">
        <v>19</v>
      </c>
      <c r="J112">
        <v>10</v>
      </c>
    </row>
    <row r="113" spans="1:10" x14ac:dyDescent="0.25">
      <c r="A113">
        <v>3112</v>
      </c>
      <c r="B113" s="13">
        <v>45680</v>
      </c>
      <c r="C113" s="1" t="s">
        <v>20</v>
      </c>
      <c r="D113" s="1" t="s">
        <v>135</v>
      </c>
      <c r="E113">
        <v>2</v>
      </c>
      <c r="F113" s="5">
        <v>35000</v>
      </c>
      <c r="G113" s="1" t="s">
        <v>26</v>
      </c>
      <c r="H113" s="1" t="s">
        <v>27</v>
      </c>
      <c r="I113" s="1" t="s">
        <v>24</v>
      </c>
      <c r="J113">
        <v>0</v>
      </c>
    </row>
    <row r="114" spans="1:10" x14ac:dyDescent="0.25">
      <c r="A114">
        <v>3113</v>
      </c>
      <c r="B114" s="13">
        <v>45681</v>
      </c>
      <c r="C114" s="1" t="s">
        <v>10</v>
      </c>
      <c r="D114" s="1" t="s">
        <v>136</v>
      </c>
      <c r="E114">
        <v>3</v>
      </c>
      <c r="F114" s="5">
        <v>25000</v>
      </c>
      <c r="G114" s="1" t="s">
        <v>12</v>
      </c>
      <c r="H114" s="1" t="s">
        <v>13</v>
      </c>
      <c r="I114" s="1" t="s">
        <v>14</v>
      </c>
      <c r="J114">
        <v>5</v>
      </c>
    </row>
    <row r="115" spans="1:10" x14ac:dyDescent="0.25">
      <c r="A115">
        <v>3114</v>
      </c>
      <c r="B115" s="13">
        <v>45682</v>
      </c>
      <c r="C115" s="1" t="s">
        <v>15</v>
      </c>
      <c r="D115" s="1" t="s">
        <v>137</v>
      </c>
      <c r="E115">
        <v>5</v>
      </c>
      <c r="F115" s="5">
        <v>12000</v>
      </c>
      <c r="G115" s="1" t="s">
        <v>17</v>
      </c>
      <c r="H115" s="1" t="s">
        <v>18</v>
      </c>
      <c r="I115" s="1" t="s">
        <v>19</v>
      </c>
      <c r="J115">
        <v>0</v>
      </c>
    </row>
    <row r="116" spans="1:10" x14ac:dyDescent="0.25">
      <c r="A116">
        <v>3115</v>
      </c>
      <c r="B116" s="13">
        <v>45683</v>
      </c>
      <c r="C116" s="1" t="s">
        <v>20</v>
      </c>
      <c r="D116" s="1" t="s">
        <v>138</v>
      </c>
      <c r="E116">
        <v>2</v>
      </c>
      <c r="F116" s="5">
        <v>65000</v>
      </c>
      <c r="G116" s="1" t="s">
        <v>22</v>
      </c>
      <c r="H116" s="1" t="s">
        <v>23</v>
      </c>
      <c r="I116" s="1" t="s">
        <v>24</v>
      </c>
      <c r="J116">
        <v>0</v>
      </c>
    </row>
    <row r="117" spans="1:10" x14ac:dyDescent="0.25">
      <c r="A117">
        <v>3116</v>
      </c>
      <c r="B117" s="13">
        <v>45684</v>
      </c>
      <c r="C117" s="1" t="s">
        <v>10</v>
      </c>
      <c r="D117" s="1" t="s">
        <v>139</v>
      </c>
      <c r="E117">
        <v>2</v>
      </c>
      <c r="F117" s="5">
        <v>75000</v>
      </c>
      <c r="G117" s="1" t="s">
        <v>26</v>
      </c>
      <c r="H117" s="1" t="s">
        <v>27</v>
      </c>
      <c r="I117" s="1" t="s">
        <v>14</v>
      </c>
      <c r="J117">
        <v>10</v>
      </c>
    </row>
    <row r="118" spans="1:10" x14ac:dyDescent="0.25">
      <c r="A118">
        <v>3117</v>
      </c>
      <c r="B118" s="13">
        <v>45685</v>
      </c>
      <c r="C118" s="1" t="s">
        <v>15</v>
      </c>
      <c r="D118" s="1" t="s">
        <v>140</v>
      </c>
      <c r="E118">
        <v>3</v>
      </c>
      <c r="F118" s="5">
        <v>20000</v>
      </c>
      <c r="G118" s="1" t="s">
        <v>12</v>
      </c>
      <c r="H118" s="1" t="s">
        <v>13</v>
      </c>
      <c r="I118" s="1" t="s">
        <v>19</v>
      </c>
      <c r="J118">
        <v>0</v>
      </c>
    </row>
    <row r="119" spans="1:10" x14ac:dyDescent="0.25">
      <c r="A119">
        <v>3118</v>
      </c>
      <c r="B119" s="13">
        <v>45686</v>
      </c>
      <c r="C119" s="1" t="s">
        <v>20</v>
      </c>
      <c r="D119" s="1" t="s">
        <v>141</v>
      </c>
      <c r="E119">
        <v>5</v>
      </c>
      <c r="F119" s="5">
        <v>8000</v>
      </c>
      <c r="G119" s="1" t="s">
        <v>17</v>
      </c>
      <c r="H119" s="1" t="s">
        <v>18</v>
      </c>
      <c r="I119" s="1" t="s">
        <v>24</v>
      </c>
      <c r="J119">
        <v>5</v>
      </c>
    </row>
    <row r="120" spans="1:10" x14ac:dyDescent="0.25">
      <c r="A120">
        <v>3119</v>
      </c>
      <c r="B120" s="13">
        <v>45687</v>
      </c>
      <c r="C120" s="1" t="s">
        <v>10</v>
      </c>
      <c r="D120" s="1" t="s">
        <v>142</v>
      </c>
      <c r="E120">
        <v>6</v>
      </c>
      <c r="F120" s="5">
        <v>4000</v>
      </c>
      <c r="G120" s="1" t="s">
        <v>22</v>
      </c>
      <c r="H120" s="1" t="s">
        <v>23</v>
      </c>
      <c r="I120" s="1" t="s">
        <v>14</v>
      </c>
      <c r="J120">
        <v>0</v>
      </c>
    </row>
    <row r="121" spans="1:10" x14ac:dyDescent="0.25">
      <c r="A121">
        <v>3120</v>
      </c>
      <c r="B121" s="13">
        <v>45688</v>
      </c>
      <c r="C121" s="1" t="s">
        <v>15</v>
      </c>
      <c r="D121" s="1" t="s">
        <v>143</v>
      </c>
      <c r="E121">
        <v>3</v>
      </c>
      <c r="F121" s="5">
        <v>15000</v>
      </c>
      <c r="G121" s="1" t="s">
        <v>26</v>
      </c>
      <c r="H121" s="1" t="s">
        <v>27</v>
      </c>
      <c r="I121" s="1" t="s">
        <v>19</v>
      </c>
      <c r="J121">
        <v>0</v>
      </c>
    </row>
    <row r="122" spans="1:10" x14ac:dyDescent="0.25">
      <c r="A122">
        <v>3121</v>
      </c>
      <c r="B122" s="13">
        <v>45689</v>
      </c>
      <c r="C122" s="1" t="s">
        <v>20</v>
      </c>
      <c r="D122" s="1" t="s">
        <v>144</v>
      </c>
      <c r="E122">
        <v>2</v>
      </c>
      <c r="F122" s="5">
        <v>18000</v>
      </c>
      <c r="G122" s="1" t="s">
        <v>12</v>
      </c>
      <c r="H122" s="1" t="s">
        <v>13</v>
      </c>
      <c r="I122" s="1" t="s">
        <v>24</v>
      </c>
      <c r="J122">
        <v>5</v>
      </c>
    </row>
    <row r="123" spans="1:10" x14ac:dyDescent="0.25">
      <c r="A123">
        <v>3122</v>
      </c>
      <c r="B123" s="13">
        <v>45690</v>
      </c>
      <c r="C123" s="1" t="s">
        <v>10</v>
      </c>
      <c r="D123" s="1" t="s">
        <v>145</v>
      </c>
      <c r="E123">
        <v>2</v>
      </c>
      <c r="F123" s="5">
        <v>12000</v>
      </c>
      <c r="G123" s="1" t="s">
        <v>17</v>
      </c>
      <c r="H123" s="1" t="s">
        <v>18</v>
      </c>
      <c r="I123" s="1" t="s">
        <v>14</v>
      </c>
      <c r="J123">
        <v>0</v>
      </c>
    </row>
    <row r="124" spans="1:10" x14ac:dyDescent="0.25">
      <c r="A124">
        <v>3123</v>
      </c>
      <c r="B124" s="13">
        <v>45691</v>
      </c>
      <c r="C124" s="1" t="s">
        <v>15</v>
      </c>
      <c r="D124" s="1" t="s">
        <v>146</v>
      </c>
      <c r="E124">
        <v>4</v>
      </c>
      <c r="F124" s="5">
        <v>18000</v>
      </c>
      <c r="G124" s="1" t="s">
        <v>22</v>
      </c>
      <c r="H124" s="1" t="s">
        <v>23</v>
      </c>
      <c r="I124" s="1" t="s">
        <v>19</v>
      </c>
      <c r="J124">
        <v>0</v>
      </c>
    </row>
    <row r="125" spans="1:10" x14ac:dyDescent="0.25">
      <c r="A125">
        <v>3124</v>
      </c>
      <c r="B125" s="13">
        <v>45692</v>
      </c>
      <c r="C125" s="1" t="s">
        <v>20</v>
      </c>
      <c r="D125" s="1" t="s">
        <v>147</v>
      </c>
      <c r="E125">
        <v>3</v>
      </c>
      <c r="F125" s="5">
        <v>10000</v>
      </c>
      <c r="G125" s="1" t="s">
        <v>26</v>
      </c>
      <c r="H125" s="1" t="s">
        <v>27</v>
      </c>
      <c r="I125" s="1" t="s">
        <v>24</v>
      </c>
      <c r="J125">
        <v>10</v>
      </c>
    </row>
    <row r="126" spans="1:10" x14ac:dyDescent="0.25">
      <c r="A126">
        <v>3125</v>
      </c>
      <c r="B126" s="13">
        <v>45693</v>
      </c>
      <c r="C126" s="1" t="s">
        <v>10</v>
      </c>
      <c r="D126" s="1" t="s">
        <v>148</v>
      </c>
      <c r="E126">
        <v>7</v>
      </c>
      <c r="F126" s="5">
        <v>3000</v>
      </c>
      <c r="G126" s="1" t="s">
        <v>12</v>
      </c>
      <c r="H126" s="1" t="s">
        <v>13</v>
      </c>
      <c r="I126" s="1" t="s">
        <v>14</v>
      </c>
      <c r="J126">
        <v>0</v>
      </c>
    </row>
    <row r="127" spans="1:10" x14ac:dyDescent="0.25">
      <c r="A127">
        <v>3126</v>
      </c>
      <c r="B127" s="13">
        <v>45694</v>
      </c>
      <c r="C127" s="1" t="s">
        <v>15</v>
      </c>
      <c r="D127" s="1" t="s">
        <v>149</v>
      </c>
      <c r="E127">
        <v>1</v>
      </c>
      <c r="F127" s="5">
        <v>55000</v>
      </c>
      <c r="G127" s="1" t="s">
        <v>17</v>
      </c>
      <c r="H127" s="1" t="s">
        <v>18</v>
      </c>
      <c r="I127" s="1" t="s">
        <v>19</v>
      </c>
      <c r="J127">
        <v>5</v>
      </c>
    </row>
    <row r="128" spans="1:10" x14ac:dyDescent="0.25">
      <c r="A128">
        <v>3127</v>
      </c>
      <c r="B128" s="13">
        <v>45695</v>
      </c>
      <c r="C128" s="1" t="s">
        <v>20</v>
      </c>
      <c r="D128" s="1" t="s">
        <v>150</v>
      </c>
      <c r="E128">
        <v>2</v>
      </c>
      <c r="F128" s="5">
        <v>22000</v>
      </c>
      <c r="G128" s="1" t="s">
        <v>22</v>
      </c>
      <c r="H128" s="1" t="s">
        <v>23</v>
      </c>
      <c r="I128" s="1" t="s">
        <v>24</v>
      </c>
      <c r="J128">
        <v>0</v>
      </c>
    </row>
    <row r="129" spans="1:10" x14ac:dyDescent="0.25">
      <c r="A129">
        <v>3128</v>
      </c>
      <c r="B129" s="13">
        <v>45696</v>
      </c>
      <c r="C129" s="1" t="s">
        <v>10</v>
      </c>
      <c r="D129" s="1" t="s">
        <v>151</v>
      </c>
      <c r="E129">
        <v>5</v>
      </c>
      <c r="F129" s="5">
        <v>10000</v>
      </c>
      <c r="G129" s="1" t="s">
        <v>26</v>
      </c>
      <c r="H129" s="1" t="s">
        <v>27</v>
      </c>
      <c r="I129" s="1" t="s">
        <v>14</v>
      </c>
      <c r="J129">
        <v>0</v>
      </c>
    </row>
    <row r="130" spans="1:10" x14ac:dyDescent="0.25">
      <c r="A130">
        <v>3129</v>
      </c>
      <c r="B130" s="13">
        <v>45697</v>
      </c>
      <c r="C130" s="1" t="s">
        <v>15</v>
      </c>
      <c r="D130" s="1" t="s">
        <v>152</v>
      </c>
      <c r="E130">
        <v>4</v>
      </c>
      <c r="F130" s="5">
        <v>12000</v>
      </c>
      <c r="G130" s="1" t="s">
        <v>12</v>
      </c>
      <c r="H130" s="1" t="s">
        <v>13</v>
      </c>
      <c r="I130" s="1" t="s">
        <v>19</v>
      </c>
      <c r="J130">
        <v>5</v>
      </c>
    </row>
    <row r="131" spans="1:10" x14ac:dyDescent="0.25">
      <c r="A131">
        <v>3130</v>
      </c>
      <c r="B131" s="13">
        <v>45698</v>
      </c>
      <c r="C131" s="1" t="s">
        <v>20</v>
      </c>
      <c r="D131" s="1" t="s">
        <v>153</v>
      </c>
      <c r="E131">
        <v>3</v>
      </c>
      <c r="F131" s="5">
        <v>8000</v>
      </c>
      <c r="G131" s="1" t="s">
        <v>17</v>
      </c>
      <c r="H131" s="1" t="s">
        <v>18</v>
      </c>
      <c r="I131" s="1" t="s">
        <v>24</v>
      </c>
      <c r="J131">
        <v>0</v>
      </c>
    </row>
    <row r="132" spans="1:10" x14ac:dyDescent="0.25">
      <c r="A132">
        <v>3131</v>
      </c>
      <c r="B132" s="13">
        <v>45699</v>
      </c>
      <c r="C132" s="1" t="s">
        <v>10</v>
      </c>
      <c r="D132" s="1" t="s">
        <v>154</v>
      </c>
      <c r="E132">
        <v>3</v>
      </c>
      <c r="F132" s="5">
        <v>15000</v>
      </c>
      <c r="G132" s="1" t="s">
        <v>22</v>
      </c>
      <c r="H132" s="1" t="s">
        <v>23</v>
      </c>
      <c r="I132" s="1" t="s">
        <v>14</v>
      </c>
      <c r="J132">
        <v>0</v>
      </c>
    </row>
    <row r="133" spans="1:10" x14ac:dyDescent="0.25">
      <c r="A133">
        <v>3132</v>
      </c>
      <c r="B133" s="13">
        <v>45700</v>
      </c>
      <c r="C133" s="1" t="s">
        <v>15</v>
      </c>
      <c r="D133" s="1" t="s">
        <v>155</v>
      </c>
      <c r="E133">
        <v>1</v>
      </c>
      <c r="F133" s="5">
        <v>65000</v>
      </c>
      <c r="G133" s="1" t="s">
        <v>26</v>
      </c>
      <c r="H133" s="1" t="s">
        <v>27</v>
      </c>
      <c r="I133" s="1" t="s">
        <v>19</v>
      </c>
      <c r="J133">
        <v>10</v>
      </c>
    </row>
    <row r="134" spans="1:10" x14ac:dyDescent="0.25">
      <c r="A134">
        <v>3133</v>
      </c>
      <c r="B134" s="13">
        <v>45701</v>
      </c>
      <c r="C134" s="1" t="s">
        <v>20</v>
      </c>
      <c r="D134" s="1" t="s">
        <v>156</v>
      </c>
      <c r="E134">
        <v>5</v>
      </c>
      <c r="F134" s="5">
        <v>7000</v>
      </c>
      <c r="G134" s="1" t="s">
        <v>12</v>
      </c>
      <c r="H134" s="1" t="s">
        <v>13</v>
      </c>
      <c r="I134" s="1" t="s">
        <v>24</v>
      </c>
      <c r="J134">
        <v>0</v>
      </c>
    </row>
    <row r="135" spans="1:10" x14ac:dyDescent="0.25">
      <c r="A135">
        <v>3134</v>
      </c>
      <c r="B135" s="13">
        <v>45702</v>
      </c>
      <c r="C135" s="1" t="s">
        <v>10</v>
      </c>
      <c r="D135" s="1" t="s">
        <v>157</v>
      </c>
      <c r="E135">
        <v>3</v>
      </c>
      <c r="F135" s="5">
        <v>18000</v>
      </c>
      <c r="G135" s="1" t="s">
        <v>17</v>
      </c>
      <c r="H135" s="1" t="s">
        <v>18</v>
      </c>
      <c r="I135" s="1" t="s">
        <v>14</v>
      </c>
      <c r="J135">
        <v>5</v>
      </c>
    </row>
    <row r="136" spans="1:10" x14ac:dyDescent="0.25">
      <c r="A136">
        <v>3135</v>
      </c>
      <c r="B136" s="13">
        <v>45703</v>
      </c>
      <c r="C136" s="1" t="s">
        <v>15</v>
      </c>
      <c r="D136" s="1" t="s">
        <v>158</v>
      </c>
      <c r="E136">
        <v>6</v>
      </c>
      <c r="F136" s="5">
        <v>6000</v>
      </c>
      <c r="G136" s="1" t="s">
        <v>22</v>
      </c>
      <c r="H136" s="1" t="s">
        <v>23</v>
      </c>
      <c r="I136" s="1" t="s">
        <v>19</v>
      </c>
      <c r="J136">
        <v>0</v>
      </c>
    </row>
    <row r="137" spans="1:10" x14ac:dyDescent="0.25">
      <c r="A137">
        <v>3136</v>
      </c>
      <c r="B137" s="13">
        <v>45704</v>
      </c>
      <c r="C137" s="1" t="s">
        <v>20</v>
      </c>
      <c r="D137" s="1" t="s">
        <v>159</v>
      </c>
      <c r="E137">
        <v>2</v>
      </c>
      <c r="F137" s="5">
        <v>12000</v>
      </c>
      <c r="G137" s="1" t="s">
        <v>26</v>
      </c>
      <c r="H137" s="1" t="s">
        <v>27</v>
      </c>
      <c r="I137" s="1" t="s">
        <v>24</v>
      </c>
      <c r="J137">
        <v>0</v>
      </c>
    </row>
    <row r="138" spans="1:10" x14ac:dyDescent="0.25">
      <c r="A138">
        <v>3137</v>
      </c>
      <c r="B138" s="13">
        <v>45705</v>
      </c>
      <c r="C138" s="1" t="s">
        <v>10</v>
      </c>
      <c r="D138" s="1" t="s">
        <v>160</v>
      </c>
      <c r="E138">
        <v>2</v>
      </c>
      <c r="F138" s="5">
        <v>45000</v>
      </c>
      <c r="G138" s="1" t="s">
        <v>12</v>
      </c>
      <c r="H138" s="1" t="s">
        <v>13</v>
      </c>
      <c r="I138" s="1" t="s">
        <v>14</v>
      </c>
      <c r="J138">
        <v>10</v>
      </c>
    </row>
    <row r="139" spans="1:10" x14ac:dyDescent="0.25">
      <c r="A139">
        <v>3138</v>
      </c>
      <c r="B139" s="13">
        <v>45706</v>
      </c>
      <c r="C139" s="1" t="s">
        <v>15</v>
      </c>
      <c r="D139" s="1" t="s">
        <v>161</v>
      </c>
      <c r="E139">
        <v>6</v>
      </c>
      <c r="F139" s="5">
        <v>8000</v>
      </c>
      <c r="G139" s="1" t="s">
        <v>17</v>
      </c>
      <c r="H139" s="1" t="s">
        <v>18</v>
      </c>
      <c r="I139" s="1" t="s">
        <v>19</v>
      </c>
      <c r="J139">
        <v>0</v>
      </c>
    </row>
    <row r="140" spans="1:10" x14ac:dyDescent="0.25">
      <c r="A140">
        <v>3139</v>
      </c>
      <c r="B140" s="13">
        <v>45707</v>
      </c>
      <c r="C140" s="1" t="s">
        <v>20</v>
      </c>
      <c r="D140" s="1" t="s">
        <v>162</v>
      </c>
      <c r="E140">
        <v>5</v>
      </c>
      <c r="F140" s="5">
        <v>5000</v>
      </c>
      <c r="G140" s="1" t="s">
        <v>22</v>
      </c>
      <c r="H140" s="1" t="s">
        <v>23</v>
      </c>
      <c r="I140" s="1" t="s">
        <v>24</v>
      </c>
      <c r="J140">
        <v>5</v>
      </c>
    </row>
    <row r="141" spans="1:10" x14ac:dyDescent="0.25">
      <c r="A141">
        <v>3140</v>
      </c>
      <c r="B141" s="13">
        <v>45708</v>
      </c>
      <c r="C141" s="1" t="s">
        <v>10</v>
      </c>
      <c r="D141" s="1" t="s">
        <v>163</v>
      </c>
      <c r="E141">
        <v>1</v>
      </c>
      <c r="F141" s="5">
        <v>20000</v>
      </c>
      <c r="G141" s="1" t="s">
        <v>26</v>
      </c>
      <c r="H141" s="1" t="s">
        <v>27</v>
      </c>
      <c r="I141" s="1" t="s">
        <v>14</v>
      </c>
      <c r="J141">
        <v>0</v>
      </c>
    </row>
    <row r="142" spans="1:10" x14ac:dyDescent="0.25">
      <c r="A142">
        <v>3141</v>
      </c>
      <c r="B142" s="13">
        <v>45709</v>
      </c>
      <c r="C142" s="1" t="s">
        <v>15</v>
      </c>
      <c r="D142" s="1" t="s">
        <v>164</v>
      </c>
      <c r="E142">
        <v>3</v>
      </c>
      <c r="F142" s="5">
        <v>15000</v>
      </c>
      <c r="G142" s="1" t="s">
        <v>12</v>
      </c>
      <c r="H142" s="1" t="s">
        <v>13</v>
      </c>
      <c r="I142" s="1" t="s">
        <v>19</v>
      </c>
      <c r="J142">
        <v>0</v>
      </c>
    </row>
    <row r="143" spans="1:10" x14ac:dyDescent="0.25">
      <c r="A143">
        <v>3142</v>
      </c>
      <c r="B143" s="13">
        <v>45710</v>
      </c>
      <c r="C143" s="1" t="s">
        <v>20</v>
      </c>
      <c r="D143" s="1" t="s">
        <v>165</v>
      </c>
      <c r="E143">
        <v>2</v>
      </c>
      <c r="F143" s="5">
        <v>10000</v>
      </c>
      <c r="G143" s="1" t="s">
        <v>17</v>
      </c>
      <c r="H143" s="1" t="s">
        <v>18</v>
      </c>
      <c r="I143" s="1" t="s">
        <v>24</v>
      </c>
      <c r="J143">
        <v>5</v>
      </c>
    </row>
    <row r="144" spans="1:10" x14ac:dyDescent="0.25">
      <c r="A144">
        <v>3143</v>
      </c>
      <c r="B144" s="13">
        <v>45711</v>
      </c>
      <c r="C144" s="1" t="s">
        <v>10</v>
      </c>
      <c r="D144" s="1" t="s">
        <v>166</v>
      </c>
      <c r="E144">
        <v>6</v>
      </c>
      <c r="F144" s="5">
        <v>6000</v>
      </c>
      <c r="G144" s="1" t="s">
        <v>22</v>
      </c>
      <c r="H144" s="1" t="s">
        <v>23</v>
      </c>
      <c r="I144" s="1" t="s">
        <v>14</v>
      </c>
      <c r="J144">
        <v>0</v>
      </c>
    </row>
    <row r="145" spans="1:10" x14ac:dyDescent="0.25">
      <c r="A145">
        <v>3144</v>
      </c>
      <c r="B145" s="13">
        <v>45712</v>
      </c>
      <c r="C145" s="1" t="s">
        <v>15</v>
      </c>
      <c r="D145" s="1" t="s">
        <v>167</v>
      </c>
      <c r="E145">
        <v>7</v>
      </c>
      <c r="F145" s="5">
        <v>3000</v>
      </c>
      <c r="G145" s="1" t="s">
        <v>26</v>
      </c>
      <c r="H145" s="1" t="s">
        <v>27</v>
      </c>
      <c r="I145" s="1" t="s">
        <v>19</v>
      </c>
      <c r="J145">
        <v>0</v>
      </c>
    </row>
    <row r="146" spans="1:10" x14ac:dyDescent="0.25">
      <c r="A146">
        <v>3145</v>
      </c>
      <c r="B146" s="13">
        <v>45713</v>
      </c>
      <c r="C146" s="1" t="s">
        <v>20</v>
      </c>
      <c r="D146" s="1" t="s">
        <v>168</v>
      </c>
      <c r="E146">
        <v>5</v>
      </c>
      <c r="F146" s="5">
        <v>4000</v>
      </c>
      <c r="G146" s="1" t="s">
        <v>12</v>
      </c>
      <c r="H146" s="1" t="s">
        <v>13</v>
      </c>
      <c r="I146" s="1" t="s">
        <v>24</v>
      </c>
      <c r="J146">
        <v>10</v>
      </c>
    </row>
    <row r="147" spans="1:10" x14ac:dyDescent="0.25">
      <c r="A147">
        <v>3146</v>
      </c>
      <c r="B147" s="13">
        <v>45714</v>
      </c>
      <c r="C147" s="1" t="s">
        <v>10</v>
      </c>
      <c r="D147" s="1" t="s">
        <v>169</v>
      </c>
      <c r="E147">
        <v>10</v>
      </c>
      <c r="F147" s="5">
        <v>2000</v>
      </c>
      <c r="G147" s="1" t="s">
        <v>17</v>
      </c>
      <c r="H147" s="1" t="s">
        <v>18</v>
      </c>
      <c r="I147" s="1" t="s">
        <v>14</v>
      </c>
      <c r="J147">
        <v>0</v>
      </c>
    </row>
    <row r="148" spans="1:10" x14ac:dyDescent="0.25">
      <c r="A148">
        <v>3147</v>
      </c>
      <c r="B148" s="13">
        <v>45715</v>
      </c>
      <c r="C148" s="1" t="s">
        <v>15</v>
      </c>
      <c r="D148" s="1" t="s">
        <v>170</v>
      </c>
      <c r="E148">
        <v>6</v>
      </c>
      <c r="F148" s="5">
        <v>5000</v>
      </c>
      <c r="G148" s="1" t="s">
        <v>22</v>
      </c>
      <c r="H148" s="1" t="s">
        <v>23</v>
      </c>
      <c r="I148" s="1" t="s">
        <v>19</v>
      </c>
      <c r="J148">
        <v>5</v>
      </c>
    </row>
    <row r="149" spans="1:10" x14ac:dyDescent="0.25">
      <c r="A149">
        <v>3148</v>
      </c>
      <c r="B149" s="13">
        <v>45716</v>
      </c>
      <c r="C149" s="1" t="s">
        <v>20</v>
      </c>
      <c r="D149" s="1" t="s">
        <v>171</v>
      </c>
      <c r="E149">
        <v>8</v>
      </c>
      <c r="F149" s="5">
        <v>3000</v>
      </c>
      <c r="G149" s="1" t="s">
        <v>26</v>
      </c>
      <c r="H149" s="1" t="s">
        <v>27</v>
      </c>
      <c r="I149" s="1" t="s">
        <v>24</v>
      </c>
      <c r="J149">
        <v>0</v>
      </c>
    </row>
    <row r="150" spans="1:10" x14ac:dyDescent="0.25">
      <c r="A150">
        <v>3149</v>
      </c>
      <c r="B150" s="13">
        <v>45717</v>
      </c>
      <c r="C150" s="1" t="s">
        <v>10</v>
      </c>
      <c r="D150" s="1" t="s">
        <v>172</v>
      </c>
      <c r="E150">
        <v>5</v>
      </c>
      <c r="F150" s="5">
        <v>7000</v>
      </c>
      <c r="G150" s="1" t="s">
        <v>12</v>
      </c>
      <c r="H150" s="1" t="s">
        <v>13</v>
      </c>
      <c r="I150" s="1" t="s">
        <v>14</v>
      </c>
      <c r="J150">
        <v>0</v>
      </c>
    </row>
    <row r="151" spans="1:10" x14ac:dyDescent="0.25">
      <c r="A151">
        <v>3150</v>
      </c>
      <c r="B151" s="13">
        <v>45717</v>
      </c>
      <c r="C151" s="1" t="s">
        <v>15</v>
      </c>
      <c r="D151" s="1" t="s">
        <v>173</v>
      </c>
      <c r="E151">
        <v>12</v>
      </c>
      <c r="F151" s="5">
        <v>2000</v>
      </c>
      <c r="G151" s="1" t="s">
        <v>17</v>
      </c>
      <c r="H151" s="1" t="s">
        <v>18</v>
      </c>
      <c r="I151" s="1" t="s">
        <v>19</v>
      </c>
      <c r="J151">
        <v>5</v>
      </c>
    </row>
    <row r="152" spans="1:10" x14ac:dyDescent="0.25">
      <c r="A152">
        <v>3151</v>
      </c>
      <c r="B152" s="13">
        <v>45668</v>
      </c>
      <c r="C152" s="1" t="s">
        <v>20</v>
      </c>
      <c r="D152" s="1" t="s">
        <v>174</v>
      </c>
      <c r="E152">
        <v>6</v>
      </c>
      <c r="F152" s="5">
        <v>5000</v>
      </c>
      <c r="G152" s="1" t="s">
        <v>22</v>
      </c>
      <c r="H152" s="1" t="s">
        <v>23</v>
      </c>
      <c r="I152" s="1" t="s">
        <v>24</v>
      </c>
      <c r="J152">
        <v>0</v>
      </c>
    </row>
    <row r="153" spans="1:10" x14ac:dyDescent="0.25">
      <c r="A153">
        <v>3152</v>
      </c>
      <c r="B153" s="13">
        <v>45669</v>
      </c>
      <c r="C153" s="1" t="s">
        <v>10</v>
      </c>
      <c r="D153" s="1" t="s">
        <v>175</v>
      </c>
      <c r="E153">
        <v>4</v>
      </c>
      <c r="F153" s="5">
        <v>8000</v>
      </c>
      <c r="G153" s="1" t="s">
        <v>26</v>
      </c>
      <c r="H153" s="1" t="s">
        <v>27</v>
      </c>
      <c r="I153" s="1" t="s">
        <v>14</v>
      </c>
      <c r="J153">
        <v>0</v>
      </c>
    </row>
    <row r="154" spans="1:10" x14ac:dyDescent="0.25">
      <c r="A154">
        <v>3153</v>
      </c>
      <c r="B154" s="13">
        <v>45670</v>
      </c>
      <c r="C154" s="1" t="s">
        <v>15</v>
      </c>
      <c r="D154" s="1" t="s">
        <v>176</v>
      </c>
      <c r="E154">
        <v>5</v>
      </c>
      <c r="F154" s="5">
        <v>7000</v>
      </c>
      <c r="G154" s="1" t="s">
        <v>12</v>
      </c>
      <c r="H154" s="1" t="s">
        <v>13</v>
      </c>
      <c r="I154" s="1" t="s">
        <v>19</v>
      </c>
      <c r="J154">
        <v>5</v>
      </c>
    </row>
    <row r="155" spans="1:10" x14ac:dyDescent="0.25">
      <c r="A155">
        <v>3154</v>
      </c>
      <c r="B155" s="13">
        <v>45671</v>
      </c>
      <c r="C155" s="1" t="s">
        <v>20</v>
      </c>
      <c r="D155" s="1" t="s">
        <v>177</v>
      </c>
      <c r="E155">
        <v>2</v>
      </c>
      <c r="F155" s="5">
        <v>12000</v>
      </c>
      <c r="G155" s="1" t="s">
        <v>17</v>
      </c>
      <c r="H155" s="1" t="s">
        <v>18</v>
      </c>
      <c r="I155" s="1" t="s">
        <v>24</v>
      </c>
      <c r="J155">
        <v>0</v>
      </c>
    </row>
    <row r="156" spans="1:10" x14ac:dyDescent="0.25">
      <c r="A156">
        <v>3155</v>
      </c>
      <c r="B156" s="13">
        <v>45672</v>
      </c>
      <c r="C156" s="1" t="s">
        <v>10</v>
      </c>
      <c r="D156" s="1" t="s">
        <v>178</v>
      </c>
      <c r="E156">
        <v>1</v>
      </c>
      <c r="F156" s="5">
        <v>85000</v>
      </c>
      <c r="G156" s="1" t="s">
        <v>22</v>
      </c>
      <c r="H156" s="1" t="s">
        <v>23</v>
      </c>
      <c r="I156" s="1" t="s">
        <v>14</v>
      </c>
      <c r="J156">
        <v>0</v>
      </c>
    </row>
    <row r="157" spans="1:10" x14ac:dyDescent="0.25">
      <c r="A157">
        <v>3156</v>
      </c>
      <c r="B157" s="13">
        <v>45673</v>
      </c>
      <c r="C157" s="1" t="s">
        <v>15</v>
      </c>
      <c r="D157" s="1" t="s">
        <v>179</v>
      </c>
      <c r="E157">
        <v>4</v>
      </c>
      <c r="F157" s="5">
        <v>15000</v>
      </c>
      <c r="G157" s="1" t="s">
        <v>26</v>
      </c>
      <c r="H157" s="1" t="s">
        <v>27</v>
      </c>
      <c r="I157" s="1" t="s">
        <v>19</v>
      </c>
      <c r="J157">
        <v>10</v>
      </c>
    </row>
    <row r="158" spans="1:10" x14ac:dyDescent="0.25">
      <c r="A158">
        <v>3157</v>
      </c>
      <c r="B158" s="13">
        <v>45674</v>
      </c>
      <c r="C158" s="1" t="s">
        <v>20</v>
      </c>
      <c r="D158" s="1" t="s">
        <v>180</v>
      </c>
      <c r="E158">
        <v>6</v>
      </c>
      <c r="F158" s="5">
        <v>6000</v>
      </c>
      <c r="G158" s="1" t="s">
        <v>12</v>
      </c>
      <c r="H158" s="1" t="s">
        <v>13</v>
      </c>
      <c r="I158" s="1" t="s">
        <v>24</v>
      </c>
      <c r="J158">
        <v>0</v>
      </c>
    </row>
    <row r="159" spans="1:10" x14ac:dyDescent="0.25">
      <c r="A159">
        <v>3158</v>
      </c>
      <c r="B159" s="13">
        <v>45675</v>
      </c>
      <c r="C159" s="1" t="s">
        <v>10</v>
      </c>
      <c r="D159" s="1" t="s">
        <v>181</v>
      </c>
      <c r="E159">
        <v>1</v>
      </c>
      <c r="F159" s="5">
        <v>35000</v>
      </c>
      <c r="G159" s="1" t="s">
        <v>17</v>
      </c>
      <c r="H159" s="1" t="s">
        <v>18</v>
      </c>
      <c r="I159" s="1" t="s">
        <v>14</v>
      </c>
      <c r="J159">
        <v>5</v>
      </c>
    </row>
    <row r="160" spans="1:10" x14ac:dyDescent="0.25">
      <c r="A160">
        <v>3159</v>
      </c>
      <c r="B160" s="13">
        <v>45676</v>
      </c>
      <c r="C160" s="1" t="s">
        <v>15</v>
      </c>
      <c r="D160" s="1" t="s">
        <v>182</v>
      </c>
      <c r="E160">
        <v>3</v>
      </c>
      <c r="F160" s="5">
        <v>10000</v>
      </c>
      <c r="G160" s="1" t="s">
        <v>22</v>
      </c>
      <c r="H160" s="1" t="s">
        <v>23</v>
      </c>
      <c r="I160" s="1" t="s">
        <v>19</v>
      </c>
      <c r="J160">
        <v>0</v>
      </c>
    </row>
    <row r="161" spans="1:10" x14ac:dyDescent="0.25">
      <c r="A161">
        <v>3160</v>
      </c>
      <c r="B161" s="13">
        <v>45677</v>
      </c>
      <c r="C161" s="1" t="s">
        <v>20</v>
      </c>
      <c r="D161" s="1" t="s">
        <v>183</v>
      </c>
      <c r="E161">
        <v>3</v>
      </c>
      <c r="F161" s="5">
        <v>15000</v>
      </c>
      <c r="G161" s="1" t="s">
        <v>26</v>
      </c>
      <c r="H161" s="1" t="s">
        <v>27</v>
      </c>
      <c r="I161" s="1" t="s">
        <v>24</v>
      </c>
      <c r="J161">
        <v>0</v>
      </c>
    </row>
    <row r="162" spans="1:10" x14ac:dyDescent="0.25">
      <c r="A162">
        <v>3161</v>
      </c>
      <c r="B162" s="13">
        <v>45678</v>
      </c>
      <c r="C162" s="1" t="s">
        <v>10</v>
      </c>
      <c r="D162" s="1" t="s">
        <v>184</v>
      </c>
      <c r="E162">
        <v>5</v>
      </c>
      <c r="F162" s="5">
        <v>8000</v>
      </c>
      <c r="G162" s="1" t="s">
        <v>12</v>
      </c>
      <c r="H162" s="1" t="s">
        <v>13</v>
      </c>
      <c r="I162" s="1" t="s">
        <v>14</v>
      </c>
      <c r="J162">
        <v>5</v>
      </c>
    </row>
    <row r="163" spans="1:10" x14ac:dyDescent="0.25">
      <c r="A163">
        <v>3162</v>
      </c>
      <c r="B163" s="13">
        <v>45679</v>
      </c>
      <c r="C163" s="1" t="s">
        <v>15</v>
      </c>
      <c r="D163" s="1" t="s">
        <v>185</v>
      </c>
      <c r="E163">
        <v>2</v>
      </c>
      <c r="F163" s="5">
        <v>12000</v>
      </c>
      <c r="G163" s="1" t="s">
        <v>17</v>
      </c>
      <c r="H163" s="1" t="s">
        <v>18</v>
      </c>
      <c r="I163" s="1" t="s">
        <v>19</v>
      </c>
      <c r="J163">
        <v>0</v>
      </c>
    </row>
    <row r="164" spans="1:10" x14ac:dyDescent="0.25">
      <c r="A164">
        <v>3163</v>
      </c>
      <c r="B164" s="13">
        <v>45680</v>
      </c>
      <c r="C164" s="1" t="s">
        <v>20</v>
      </c>
      <c r="D164" s="1" t="s">
        <v>186</v>
      </c>
      <c r="E164">
        <v>6</v>
      </c>
      <c r="F164" s="5">
        <v>4000</v>
      </c>
      <c r="G164" s="1" t="s">
        <v>22</v>
      </c>
      <c r="H164" s="1" t="s">
        <v>23</v>
      </c>
      <c r="I164" s="1" t="s">
        <v>24</v>
      </c>
      <c r="J164">
        <v>0</v>
      </c>
    </row>
    <row r="165" spans="1:10" x14ac:dyDescent="0.25">
      <c r="A165">
        <v>3164</v>
      </c>
      <c r="B165" s="13">
        <v>45681</v>
      </c>
      <c r="C165" s="1" t="s">
        <v>10</v>
      </c>
      <c r="D165" s="1" t="s">
        <v>187</v>
      </c>
      <c r="E165">
        <v>3</v>
      </c>
      <c r="F165" s="5">
        <v>9000</v>
      </c>
      <c r="G165" s="1" t="s">
        <v>26</v>
      </c>
      <c r="H165" s="1" t="s">
        <v>27</v>
      </c>
      <c r="I165" s="1" t="s">
        <v>14</v>
      </c>
      <c r="J165">
        <v>10</v>
      </c>
    </row>
    <row r="166" spans="1:10" x14ac:dyDescent="0.25">
      <c r="A166">
        <v>3165</v>
      </c>
      <c r="B166" s="13">
        <v>45682</v>
      </c>
      <c r="C166" s="1" t="s">
        <v>15</v>
      </c>
      <c r="D166" s="1" t="s">
        <v>188</v>
      </c>
      <c r="E166">
        <v>4</v>
      </c>
      <c r="F166" s="5">
        <v>8000</v>
      </c>
      <c r="G166" s="1" t="s">
        <v>12</v>
      </c>
      <c r="H166" s="1" t="s">
        <v>13</v>
      </c>
      <c r="I166" s="1" t="s">
        <v>19</v>
      </c>
      <c r="J166">
        <v>0</v>
      </c>
    </row>
    <row r="167" spans="1:10" x14ac:dyDescent="0.25">
      <c r="A167">
        <v>3166</v>
      </c>
      <c r="B167" s="13">
        <v>45683</v>
      </c>
      <c r="C167" s="1" t="s">
        <v>20</v>
      </c>
      <c r="D167" s="1" t="s">
        <v>189</v>
      </c>
      <c r="E167">
        <v>1</v>
      </c>
      <c r="F167" s="5">
        <v>45000</v>
      </c>
      <c r="G167" s="1" t="s">
        <v>17</v>
      </c>
      <c r="H167" s="1" t="s">
        <v>18</v>
      </c>
      <c r="I167" s="1" t="s">
        <v>24</v>
      </c>
      <c r="J167">
        <v>5</v>
      </c>
    </row>
    <row r="168" spans="1:10" x14ac:dyDescent="0.25">
      <c r="A168">
        <v>3167</v>
      </c>
      <c r="B168" s="13">
        <v>45684</v>
      </c>
      <c r="C168" s="1" t="s">
        <v>10</v>
      </c>
      <c r="D168" s="1" t="s">
        <v>190</v>
      </c>
      <c r="E168">
        <v>2</v>
      </c>
      <c r="F168" s="5">
        <v>15000</v>
      </c>
      <c r="G168" s="1" t="s">
        <v>22</v>
      </c>
      <c r="H168" s="1" t="s">
        <v>23</v>
      </c>
      <c r="I168" s="1" t="s">
        <v>14</v>
      </c>
      <c r="J168">
        <v>0</v>
      </c>
    </row>
    <row r="169" spans="1:10" x14ac:dyDescent="0.25">
      <c r="A169">
        <v>3168</v>
      </c>
      <c r="B169" s="13">
        <v>45685</v>
      </c>
      <c r="C169" s="1" t="s">
        <v>15</v>
      </c>
      <c r="D169" s="1" t="s">
        <v>191</v>
      </c>
      <c r="E169">
        <v>2</v>
      </c>
      <c r="F169" s="5">
        <v>18000</v>
      </c>
      <c r="G169" s="1" t="s">
        <v>26</v>
      </c>
      <c r="H169" s="1" t="s">
        <v>27</v>
      </c>
      <c r="I169" s="1" t="s">
        <v>19</v>
      </c>
      <c r="J169">
        <v>0</v>
      </c>
    </row>
    <row r="170" spans="1:10" x14ac:dyDescent="0.25">
      <c r="A170">
        <v>3169</v>
      </c>
      <c r="B170" s="13">
        <v>45686</v>
      </c>
      <c r="C170" s="1" t="s">
        <v>20</v>
      </c>
      <c r="D170" s="1" t="s">
        <v>192</v>
      </c>
      <c r="E170">
        <v>1</v>
      </c>
      <c r="F170" s="5">
        <v>25000</v>
      </c>
      <c r="G170" s="1" t="s">
        <v>12</v>
      </c>
      <c r="H170" s="1" t="s">
        <v>13</v>
      </c>
      <c r="I170" s="1" t="s">
        <v>24</v>
      </c>
      <c r="J170">
        <v>5</v>
      </c>
    </row>
    <row r="171" spans="1:10" x14ac:dyDescent="0.25">
      <c r="A171">
        <v>3170</v>
      </c>
      <c r="B171" s="13">
        <v>45687</v>
      </c>
      <c r="C171" s="1" t="s">
        <v>10</v>
      </c>
      <c r="D171" s="1" t="s">
        <v>193</v>
      </c>
      <c r="E171">
        <v>4</v>
      </c>
      <c r="F171" s="5">
        <v>8000</v>
      </c>
      <c r="G171" s="1" t="s">
        <v>17</v>
      </c>
      <c r="H171" s="1" t="s">
        <v>18</v>
      </c>
      <c r="I171" s="1" t="s">
        <v>14</v>
      </c>
      <c r="J171">
        <v>0</v>
      </c>
    </row>
    <row r="172" spans="1:10" x14ac:dyDescent="0.25">
      <c r="A172">
        <v>3171</v>
      </c>
      <c r="B172" s="13">
        <v>45688</v>
      </c>
      <c r="C172" s="1" t="s">
        <v>15</v>
      </c>
      <c r="D172" s="1" t="s">
        <v>194</v>
      </c>
      <c r="E172">
        <v>5</v>
      </c>
      <c r="F172" s="5">
        <v>5000</v>
      </c>
      <c r="G172" s="1" t="s">
        <v>22</v>
      </c>
      <c r="H172" s="1" t="s">
        <v>23</v>
      </c>
      <c r="I172" s="1" t="s">
        <v>19</v>
      </c>
      <c r="J172">
        <v>0</v>
      </c>
    </row>
    <row r="173" spans="1:10" x14ac:dyDescent="0.25">
      <c r="A173">
        <v>3172</v>
      </c>
      <c r="B173" s="13">
        <v>45689</v>
      </c>
      <c r="C173" s="1" t="s">
        <v>20</v>
      </c>
      <c r="D173" s="1" t="s">
        <v>195</v>
      </c>
      <c r="E173">
        <v>2</v>
      </c>
      <c r="F173" s="5">
        <v>20000</v>
      </c>
      <c r="G173" s="1" t="s">
        <v>26</v>
      </c>
      <c r="H173" s="1" t="s">
        <v>27</v>
      </c>
      <c r="I173" s="1" t="s">
        <v>24</v>
      </c>
      <c r="J173">
        <v>10</v>
      </c>
    </row>
    <row r="174" spans="1:10" x14ac:dyDescent="0.25">
      <c r="A174">
        <v>3173</v>
      </c>
      <c r="B174" s="13">
        <v>45690</v>
      </c>
      <c r="C174" s="1" t="s">
        <v>10</v>
      </c>
      <c r="D174" s="1" t="s">
        <v>196</v>
      </c>
      <c r="E174">
        <v>2</v>
      </c>
      <c r="F174" s="5">
        <v>25000</v>
      </c>
      <c r="G174" s="1" t="s">
        <v>12</v>
      </c>
      <c r="H174" s="1" t="s">
        <v>13</v>
      </c>
      <c r="I174" s="1" t="s">
        <v>14</v>
      </c>
      <c r="J174">
        <v>0</v>
      </c>
    </row>
    <row r="175" spans="1:10" x14ac:dyDescent="0.25">
      <c r="A175">
        <v>3174</v>
      </c>
      <c r="B175" s="13">
        <v>45691</v>
      </c>
      <c r="C175" s="1" t="s">
        <v>15</v>
      </c>
      <c r="D175" s="1" t="s">
        <v>197</v>
      </c>
      <c r="E175">
        <v>4</v>
      </c>
      <c r="F175" s="5">
        <v>10000</v>
      </c>
      <c r="G175" s="1" t="s">
        <v>17</v>
      </c>
      <c r="H175" s="1" t="s">
        <v>18</v>
      </c>
      <c r="I175" s="1" t="s">
        <v>19</v>
      </c>
      <c r="J175">
        <v>5</v>
      </c>
    </row>
    <row r="176" spans="1:10" x14ac:dyDescent="0.25">
      <c r="A176">
        <v>3175</v>
      </c>
      <c r="B176" s="13">
        <v>45692</v>
      </c>
      <c r="C176" s="1" t="s">
        <v>20</v>
      </c>
      <c r="D176" s="1" t="s">
        <v>198</v>
      </c>
      <c r="E176">
        <v>1</v>
      </c>
      <c r="F176" s="5">
        <v>85000</v>
      </c>
      <c r="G176" s="1" t="s">
        <v>22</v>
      </c>
      <c r="H176" s="1" t="s">
        <v>23</v>
      </c>
      <c r="I176" s="1" t="s">
        <v>24</v>
      </c>
      <c r="J176">
        <v>0</v>
      </c>
    </row>
    <row r="177" spans="1:10" x14ac:dyDescent="0.25">
      <c r="A177">
        <v>3176</v>
      </c>
      <c r="B177" s="13">
        <v>45693</v>
      </c>
      <c r="C177" s="1" t="s">
        <v>10</v>
      </c>
      <c r="D177" s="1" t="s">
        <v>199</v>
      </c>
      <c r="E177">
        <v>5</v>
      </c>
      <c r="F177" s="5">
        <v>5000</v>
      </c>
      <c r="G177" s="1" t="s">
        <v>26</v>
      </c>
      <c r="H177" s="1" t="s">
        <v>27</v>
      </c>
      <c r="I177" s="1" t="s">
        <v>14</v>
      </c>
      <c r="J177">
        <v>0</v>
      </c>
    </row>
    <row r="178" spans="1:10" x14ac:dyDescent="0.25">
      <c r="A178">
        <v>3177</v>
      </c>
      <c r="B178" s="13">
        <v>45694</v>
      </c>
      <c r="C178" s="1" t="s">
        <v>15</v>
      </c>
      <c r="D178" s="1" t="s">
        <v>200</v>
      </c>
      <c r="E178">
        <v>8</v>
      </c>
      <c r="F178" s="5">
        <v>2000</v>
      </c>
      <c r="G178" s="1" t="s">
        <v>12</v>
      </c>
      <c r="H178" s="1" t="s">
        <v>13</v>
      </c>
      <c r="I178" s="1" t="s">
        <v>19</v>
      </c>
      <c r="J178">
        <v>5</v>
      </c>
    </row>
    <row r="179" spans="1:10" x14ac:dyDescent="0.25">
      <c r="A179">
        <v>3178</v>
      </c>
      <c r="B179" s="13">
        <v>45695</v>
      </c>
      <c r="C179" s="1" t="s">
        <v>20</v>
      </c>
      <c r="D179" s="1" t="s">
        <v>201</v>
      </c>
      <c r="E179">
        <v>12</v>
      </c>
      <c r="F179" s="5">
        <v>1500</v>
      </c>
      <c r="G179" s="1" t="s">
        <v>17</v>
      </c>
      <c r="H179" s="1" t="s">
        <v>18</v>
      </c>
      <c r="I179" s="1" t="s">
        <v>24</v>
      </c>
      <c r="J179">
        <v>0</v>
      </c>
    </row>
    <row r="180" spans="1:10" x14ac:dyDescent="0.25">
      <c r="A180">
        <v>3179</v>
      </c>
      <c r="B180" s="13">
        <v>45696</v>
      </c>
      <c r="C180" s="1" t="s">
        <v>10</v>
      </c>
      <c r="D180" s="1" t="s">
        <v>202</v>
      </c>
      <c r="E180">
        <v>6</v>
      </c>
      <c r="F180" s="5">
        <v>3000</v>
      </c>
      <c r="G180" s="1" t="s">
        <v>22</v>
      </c>
      <c r="H180" s="1" t="s">
        <v>23</v>
      </c>
      <c r="I180" s="1" t="s">
        <v>14</v>
      </c>
      <c r="J180">
        <v>0</v>
      </c>
    </row>
    <row r="181" spans="1:10" x14ac:dyDescent="0.25">
      <c r="A181">
        <v>3180</v>
      </c>
      <c r="B181" s="13">
        <v>45697</v>
      </c>
      <c r="C181" s="1" t="s">
        <v>15</v>
      </c>
      <c r="D181" s="1" t="s">
        <v>203</v>
      </c>
      <c r="E181">
        <v>8</v>
      </c>
      <c r="F181" s="5">
        <v>2000</v>
      </c>
      <c r="G181" s="1" t="s">
        <v>26</v>
      </c>
      <c r="H181" s="1" t="s">
        <v>27</v>
      </c>
      <c r="I181" s="1" t="s">
        <v>19</v>
      </c>
      <c r="J181">
        <v>10</v>
      </c>
    </row>
    <row r="182" spans="1:10" x14ac:dyDescent="0.25">
      <c r="A182">
        <v>3181</v>
      </c>
      <c r="B182" s="13">
        <v>45698</v>
      </c>
      <c r="C182" s="1" t="s">
        <v>20</v>
      </c>
      <c r="D182" s="1" t="s">
        <v>204</v>
      </c>
      <c r="E182">
        <v>3</v>
      </c>
      <c r="F182" s="5">
        <v>8000</v>
      </c>
      <c r="G182" s="1" t="s">
        <v>12</v>
      </c>
      <c r="H182" s="1" t="s">
        <v>13</v>
      </c>
      <c r="I182" s="1" t="s">
        <v>24</v>
      </c>
      <c r="J182">
        <v>0</v>
      </c>
    </row>
    <row r="183" spans="1:10" x14ac:dyDescent="0.25">
      <c r="A183">
        <v>3182</v>
      </c>
      <c r="B183" s="13">
        <v>45699</v>
      </c>
      <c r="C183" s="1" t="s">
        <v>10</v>
      </c>
      <c r="D183" s="1" t="s">
        <v>205</v>
      </c>
      <c r="E183">
        <v>5</v>
      </c>
      <c r="F183" s="5">
        <v>7000</v>
      </c>
      <c r="G183" s="1" t="s">
        <v>17</v>
      </c>
      <c r="H183" s="1" t="s">
        <v>18</v>
      </c>
      <c r="I183" s="1" t="s">
        <v>14</v>
      </c>
      <c r="J183">
        <v>5</v>
      </c>
    </row>
    <row r="184" spans="1:10" x14ac:dyDescent="0.25">
      <c r="A184">
        <v>3183</v>
      </c>
      <c r="B184" s="13">
        <v>45700</v>
      </c>
      <c r="C184" s="1" t="s">
        <v>15</v>
      </c>
      <c r="D184" s="1" t="s">
        <v>206</v>
      </c>
      <c r="E184">
        <v>3</v>
      </c>
      <c r="F184" s="5">
        <v>12000</v>
      </c>
      <c r="G184" s="1" t="s">
        <v>22</v>
      </c>
      <c r="H184" s="1" t="s">
        <v>23</v>
      </c>
      <c r="I184" s="1" t="s">
        <v>19</v>
      </c>
      <c r="J184">
        <v>0</v>
      </c>
    </row>
    <row r="185" spans="1:10" x14ac:dyDescent="0.25">
      <c r="A185">
        <v>3184</v>
      </c>
      <c r="B185" s="13">
        <v>45701</v>
      </c>
      <c r="C185" s="1" t="s">
        <v>20</v>
      </c>
      <c r="D185" s="1" t="s">
        <v>207</v>
      </c>
      <c r="E185">
        <v>1</v>
      </c>
      <c r="F185" s="5">
        <v>45000</v>
      </c>
      <c r="G185" s="1" t="s">
        <v>26</v>
      </c>
      <c r="H185" s="1" t="s">
        <v>27</v>
      </c>
      <c r="I185" s="1" t="s">
        <v>24</v>
      </c>
      <c r="J185">
        <v>0</v>
      </c>
    </row>
    <row r="186" spans="1:10" x14ac:dyDescent="0.25">
      <c r="A186">
        <v>3185</v>
      </c>
      <c r="B186" s="13">
        <v>45702</v>
      </c>
      <c r="C186" s="1" t="s">
        <v>10</v>
      </c>
      <c r="D186" s="1" t="s">
        <v>208</v>
      </c>
      <c r="E186">
        <v>2</v>
      </c>
      <c r="F186" s="5">
        <v>15000</v>
      </c>
      <c r="G186" s="1" t="s">
        <v>12</v>
      </c>
      <c r="H186" s="1" t="s">
        <v>13</v>
      </c>
      <c r="I186" s="1" t="s">
        <v>14</v>
      </c>
      <c r="J186">
        <v>5</v>
      </c>
    </row>
    <row r="187" spans="1:10" x14ac:dyDescent="0.25">
      <c r="A187">
        <v>3186</v>
      </c>
      <c r="B187" s="13">
        <v>45703</v>
      </c>
      <c r="C187" s="1" t="s">
        <v>15</v>
      </c>
      <c r="D187" s="1" t="s">
        <v>209</v>
      </c>
      <c r="E187">
        <v>2</v>
      </c>
      <c r="F187" s="5">
        <v>18000</v>
      </c>
      <c r="G187" s="1" t="s">
        <v>17</v>
      </c>
      <c r="H187" s="1" t="s">
        <v>18</v>
      </c>
      <c r="I187" s="1" t="s">
        <v>19</v>
      </c>
      <c r="J187">
        <v>0</v>
      </c>
    </row>
    <row r="188" spans="1:10" x14ac:dyDescent="0.25">
      <c r="A188">
        <v>3187</v>
      </c>
      <c r="B188" s="13">
        <v>45704</v>
      </c>
      <c r="C188" s="1" t="s">
        <v>20</v>
      </c>
      <c r="D188" s="1" t="s">
        <v>210</v>
      </c>
      <c r="E188">
        <v>1</v>
      </c>
      <c r="F188" s="5">
        <v>35000</v>
      </c>
      <c r="G188" s="1" t="s">
        <v>22</v>
      </c>
      <c r="H188" s="1" t="s">
        <v>23</v>
      </c>
      <c r="I188" s="1" t="s">
        <v>24</v>
      </c>
      <c r="J188">
        <v>0</v>
      </c>
    </row>
    <row r="189" spans="1:10" x14ac:dyDescent="0.25">
      <c r="A189">
        <v>3188</v>
      </c>
      <c r="B189" s="13">
        <v>45705</v>
      </c>
      <c r="C189" s="1" t="s">
        <v>10</v>
      </c>
      <c r="D189" s="1" t="s">
        <v>211</v>
      </c>
      <c r="E189">
        <v>4</v>
      </c>
      <c r="F189" s="5">
        <v>6000</v>
      </c>
      <c r="G189" s="1" t="s">
        <v>26</v>
      </c>
      <c r="H189" s="1" t="s">
        <v>27</v>
      </c>
      <c r="I189" s="1" t="s">
        <v>14</v>
      </c>
      <c r="J189">
        <v>10</v>
      </c>
    </row>
    <row r="190" spans="1:10" x14ac:dyDescent="0.25">
      <c r="A190">
        <v>3189</v>
      </c>
      <c r="B190" s="13">
        <v>45706</v>
      </c>
      <c r="C190" s="1" t="s">
        <v>15</v>
      </c>
      <c r="D190" s="1" t="s">
        <v>212</v>
      </c>
      <c r="E190">
        <v>4</v>
      </c>
      <c r="F190" s="5">
        <v>8000</v>
      </c>
      <c r="G190" s="1" t="s">
        <v>12</v>
      </c>
      <c r="H190" s="1" t="s">
        <v>13</v>
      </c>
      <c r="I190" s="1" t="s">
        <v>19</v>
      </c>
      <c r="J190">
        <v>0</v>
      </c>
    </row>
    <row r="191" spans="1:10" x14ac:dyDescent="0.25">
      <c r="A191">
        <v>3190</v>
      </c>
      <c r="B191" s="13">
        <v>45707</v>
      </c>
      <c r="C191" s="1" t="s">
        <v>20</v>
      </c>
      <c r="D191" s="1" t="s">
        <v>213</v>
      </c>
      <c r="E191">
        <v>2</v>
      </c>
      <c r="F191" s="5">
        <v>12000</v>
      </c>
      <c r="G191" s="1" t="s">
        <v>17</v>
      </c>
      <c r="H191" s="1" t="s">
        <v>18</v>
      </c>
      <c r="I191" s="1" t="s">
        <v>24</v>
      </c>
      <c r="J191">
        <v>5</v>
      </c>
    </row>
    <row r="192" spans="1:10" x14ac:dyDescent="0.25">
      <c r="A192">
        <v>3191</v>
      </c>
      <c r="B192" s="13">
        <v>45708</v>
      </c>
      <c r="C192" s="1" t="s">
        <v>10</v>
      </c>
      <c r="D192" s="1" t="s">
        <v>214</v>
      </c>
      <c r="E192">
        <v>1</v>
      </c>
      <c r="F192" s="5">
        <v>250000</v>
      </c>
      <c r="G192" s="1" t="s">
        <v>22</v>
      </c>
      <c r="H192" s="1" t="s">
        <v>23</v>
      </c>
      <c r="I192" s="1" t="s">
        <v>14</v>
      </c>
      <c r="J192">
        <v>0</v>
      </c>
    </row>
    <row r="193" spans="1:10" x14ac:dyDescent="0.25">
      <c r="A193">
        <v>3192</v>
      </c>
      <c r="B193" s="13">
        <v>45709</v>
      </c>
      <c r="C193" s="1" t="s">
        <v>15</v>
      </c>
      <c r="D193" s="1" t="s">
        <v>215</v>
      </c>
      <c r="E193">
        <v>5</v>
      </c>
      <c r="F193" s="5">
        <v>7000</v>
      </c>
      <c r="G193" s="1" t="s">
        <v>26</v>
      </c>
      <c r="H193" s="1" t="s">
        <v>27</v>
      </c>
      <c r="I193" s="1" t="s">
        <v>19</v>
      </c>
      <c r="J193">
        <v>0</v>
      </c>
    </row>
    <row r="194" spans="1:10" x14ac:dyDescent="0.25">
      <c r="A194">
        <v>3193</v>
      </c>
      <c r="B194" s="13">
        <v>45710</v>
      </c>
      <c r="C194" s="1" t="s">
        <v>20</v>
      </c>
      <c r="D194" s="1" t="s">
        <v>216</v>
      </c>
      <c r="E194">
        <v>9</v>
      </c>
      <c r="F194" s="5">
        <v>3000</v>
      </c>
      <c r="G194" s="1" t="s">
        <v>12</v>
      </c>
      <c r="H194" s="1" t="s">
        <v>13</v>
      </c>
      <c r="I194" s="1" t="s">
        <v>24</v>
      </c>
      <c r="J194">
        <v>5</v>
      </c>
    </row>
    <row r="195" spans="1:10" x14ac:dyDescent="0.25">
      <c r="A195">
        <v>3194</v>
      </c>
      <c r="B195" s="13">
        <v>45711</v>
      </c>
      <c r="C195" s="1" t="s">
        <v>10</v>
      </c>
      <c r="D195" s="1" t="s">
        <v>217</v>
      </c>
      <c r="E195">
        <v>2</v>
      </c>
      <c r="F195" s="5">
        <v>18000</v>
      </c>
      <c r="G195" s="1" t="s">
        <v>17</v>
      </c>
      <c r="H195" s="1" t="s">
        <v>18</v>
      </c>
      <c r="I195" s="1" t="s">
        <v>14</v>
      </c>
      <c r="J195">
        <v>0</v>
      </c>
    </row>
    <row r="196" spans="1:10" x14ac:dyDescent="0.25">
      <c r="A196">
        <v>3195</v>
      </c>
      <c r="B196" s="13">
        <v>45712</v>
      </c>
      <c r="C196" s="1" t="s">
        <v>15</v>
      </c>
      <c r="D196" s="1" t="s">
        <v>218</v>
      </c>
      <c r="E196">
        <v>1</v>
      </c>
      <c r="F196" s="5">
        <v>85000</v>
      </c>
      <c r="G196" s="1" t="s">
        <v>22</v>
      </c>
      <c r="H196" s="1" t="s">
        <v>23</v>
      </c>
      <c r="I196" s="1" t="s">
        <v>19</v>
      </c>
      <c r="J196">
        <v>0</v>
      </c>
    </row>
    <row r="197" spans="1:10" x14ac:dyDescent="0.25">
      <c r="A197">
        <v>3196</v>
      </c>
      <c r="B197" s="13">
        <v>45713</v>
      </c>
      <c r="C197" s="1" t="s">
        <v>20</v>
      </c>
      <c r="D197" s="1" t="s">
        <v>219</v>
      </c>
      <c r="E197">
        <v>3</v>
      </c>
      <c r="F197" s="5">
        <v>25000</v>
      </c>
      <c r="G197" s="1" t="s">
        <v>26</v>
      </c>
      <c r="H197" s="1" t="s">
        <v>27</v>
      </c>
      <c r="I197" s="1" t="s">
        <v>24</v>
      </c>
      <c r="J197">
        <v>10</v>
      </c>
    </row>
    <row r="198" spans="1:10" x14ac:dyDescent="0.25">
      <c r="A198">
        <v>3197</v>
      </c>
      <c r="B198" s="13">
        <v>45714</v>
      </c>
      <c r="C198" s="1" t="s">
        <v>10</v>
      </c>
      <c r="D198" s="1" t="s">
        <v>220</v>
      </c>
      <c r="E198">
        <v>2</v>
      </c>
      <c r="F198" s="5">
        <v>15000</v>
      </c>
      <c r="G198" s="1" t="s">
        <v>12</v>
      </c>
      <c r="H198" s="1" t="s">
        <v>13</v>
      </c>
      <c r="I198" s="1" t="s">
        <v>14</v>
      </c>
      <c r="J198">
        <v>0</v>
      </c>
    </row>
    <row r="199" spans="1:10" x14ac:dyDescent="0.25">
      <c r="A199">
        <v>3198</v>
      </c>
      <c r="B199" s="13">
        <v>45715</v>
      </c>
      <c r="C199" s="1" t="s">
        <v>15</v>
      </c>
      <c r="D199" s="1" t="s">
        <v>221</v>
      </c>
      <c r="E199">
        <v>5</v>
      </c>
      <c r="F199" s="5">
        <v>8000</v>
      </c>
      <c r="G199" s="1" t="s">
        <v>17</v>
      </c>
      <c r="H199" s="1" t="s">
        <v>18</v>
      </c>
      <c r="I199" s="1" t="s">
        <v>19</v>
      </c>
      <c r="J199">
        <v>5</v>
      </c>
    </row>
    <row r="200" spans="1:10" x14ac:dyDescent="0.25">
      <c r="A200">
        <v>3199</v>
      </c>
      <c r="B200" s="13">
        <v>45716</v>
      </c>
      <c r="C200" s="1" t="s">
        <v>20</v>
      </c>
      <c r="D200" s="1" t="s">
        <v>222</v>
      </c>
      <c r="E200">
        <v>3</v>
      </c>
      <c r="F200" s="5">
        <v>10000</v>
      </c>
      <c r="G200" s="1" t="s">
        <v>22</v>
      </c>
      <c r="H200" s="1" t="s">
        <v>23</v>
      </c>
      <c r="I200" s="1" t="s">
        <v>24</v>
      </c>
      <c r="J200">
        <v>0</v>
      </c>
    </row>
    <row r="201" spans="1:10" x14ac:dyDescent="0.25">
      <c r="A201">
        <v>3200</v>
      </c>
      <c r="B201" s="13">
        <v>45717</v>
      </c>
      <c r="C201" s="1" t="s">
        <v>10</v>
      </c>
      <c r="D201" s="1" t="s">
        <v>223</v>
      </c>
      <c r="E201">
        <v>1</v>
      </c>
      <c r="F201" s="5">
        <v>120000</v>
      </c>
      <c r="G201" s="1" t="s">
        <v>26</v>
      </c>
      <c r="H201" s="1" t="s">
        <v>27</v>
      </c>
      <c r="I201" s="1" t="s">
        <v>14</v>
      </c>
      <c r="J201">
        <v>0</v>
      </c>
    </row>
    <row r="202" spans="1:10" x14ac:dyDescent="0.25">
      <c r="A202">
        <v>3201</v>
      </c>
      <c r="B202" s="13">
        <v>45672</v>
      </c>
      <c r="C202" s="1" t="s">
        <v>10</v>
      </c>
      <c r="D202" s="1" t="s">
        <v>224</v>
      </c>
      <c r="E202">
        <v>1</v>
      </c>
      <c r="F202" s="5">
        <v>350000</v>
      </c>
      <c r="G202" s="1" t="s">
        <v>12</v>
      </c>
      <c r="H202" s="1" t="s">
        <v>13</v>
      </c>
      <c r="I202" s="1" t="s">
        <v>14</v>
      </c>
      <c r="J202">
        <v>5</v>
      </c>
    </row>
    <row r="203" spans="1:10" x14ac:dyDescent="0.25">
      <c r="A203">
        <v>3202</v>
      </c>
      <c r="B203" s="13">
        <v>45673</v>
      </c>
      <c r="C203" s="1" t="s">
        <v>15</v>
      </c>
      <c r="D203" s="1" t="s">
        <v>225</v>
      </c>
      <c r="E203">
        <v>2</v>
      </c>
      <c r="F203" s="5">
        <v>25000</v>
      </c>
      <c r="G203" s="1" t="s">
        <v>17</v>
      </c>
      <c r="H203" s="1" t="s">
        <v>18</v>
      </c>
      <c r="I203" s="1" t="s">
        <v>19</v>
      </c>
      <c r="J203">
        <v>0</v>
      </c>
    </row>
    <row r="204" spans="1:10" x14ac:dyDescent="0.25">
      <c r="A204">
        <v>3203</v>
      </c>
      <c r="B204" s="13">
        <v>45674</v>
      </c>
      <c r="C204" s="1" t="s">
        <v>20</v>
      </c>
      <c r="D204" s="1" t="s">
        <v>226</v>
      </c>
      <c r="E204">
        <v>2</v>
      </c>
      <c r="F204" s="5">
        <v>95000</v>
      </c>
      <c r="G204" s="1" t="s">
        <v>22</v>
      </c>
      <c r="H204" s="1" t="s">
        <v>23</v>
      </c>
      <c r="I204" s="1" t="s">
        <v>24</v>
      </c>
      <c r="J204">
        <v>10</v>
      </c>
    </row>
    <row r="205" spans="1:10" x14ac:dyDescent="0.25">
      <c r="A205">
        <v>3204</v>
      </c>
      <c r="B205" s="13">
        <v>45675</v>
      </c>
      <c r="C205" s="1" t="s">
        <v>10</v>
      </c>
      <c r="D205" s="1" t="s">
        <v>227</v>
      </c>
      <c r="E205">
        <v>1</v>
      </c>
      <c r="F205" s="5">
        <v>250000</v>
      </c>
      <c r="G205" s="1" t="s">
        <v>26</v>
      </c>
      <c r="H205" s="1" t="s">
        <v>27</v>
      </c>
      <c r="I205" s="1" t="s">
        <v>14</v>
      </c>
      <c r="J205">
        <v>0</v>
      </c>
    </row>
    <row r="206" spans="1:10" x14ac:dyDescent="0.25">
      <c r="A206">
        <v>3205</v>
      </c>
      <c r="B206" s="13">
        <v>45676</v>
      </c>
      <c r="C206" s="1" t="s">
        <v>15</v>
      </c>
      <c r="D206" s="1" t="s">
        <v>228</v>
      </c>
      <c r="E206">
        <v>1</v>
      </c>
      <c r="F206" s="5">
        <v>75000</v>
      </c>
      <c r="G206" s="1" t="s">
        <v>12</v>
      </c>
      <c r="H206" s="1" t="s">
        <v>13</v>
      </c>
      <c r="I206" s="1" t="s">
        <v>19</v>
      </c>
      <c r="J206">
        <v>5</v>
      </c>
    </row>
    <row r="207" spans="1:10" x14ac:dyDescent="0.25">
      <c r="A207">
        <v>3206</v>
      </c>
      <c r="B207" s="13">
        <v>45677</v>
      </c>
      <c r="C207" s="1" t="s">
        <v>20</v>
      </c>
      <c r="D207" s="1" t="s">
        <v>229</v>
      </c>
      <c r="E207">
        <v>1</v>
      </c>
      <c r="F207" s="5">
        <v>55000</v>
      </c>
      <c r="G207" s="1" t="s">
        <v>17</v>
      </c>
      <c r="H207" s="1" t="s">
        <v>18</v>
      </c>
      <c r="I207" s="1" t="s">
        <v>24</v>
      </c>
      <c r="J207">
        <v>0</v>
      </c>
    </row>
    <row r="208" spans="1:10" x14ac:dyDescent="0.25">
      <c r="A208">
        <v>3207</v>
      </c>
      <c r="B208" s="13">
        <v>45678</v>
      </c>
      <c r="C208" s="1" t="s">
        <v>10</v>
      </c>
      <c r="D208" s="1" t="s">
        <v>230</v>
      </c>
      <c r="E208">
        <v>2</v>
      </c>
      <c r="F208" s="5">
        <v>120000</v>
      </c>
      <c r="G208" s="1" t="s">
        <v>22</v>
      </c>
      <c r="H208" s="1" t="s">
        <v>23</v>
      </c>
      <c r="I208" s="1" t="s">
        <v>14</v>
      </c>
      <c r="J208">
        <v>0</v>
      </c>
    </row>
    <row r="209" spans="1:10" x14ac:dyDescent="0.25">
      <c r="A209">
        <v>3208</v>
      </c>
      <c r="B209" s="13">
        <v>45679</v>
      </c>
      <c r="C209" s="1" t="s">
        <v>15</v>
      </c>
      <c r="D209" s="1" t="s">
        <v>231</v>
      </c>
      <c r="E209">
        <v>3</v>
      </c>
      <c r="F209" s="5">
        <v>15000</v>
      </c>
      <c r="G209" s="1" t="s">
        <v>26</v>
      </c>
      <c r="H209" s="1" t="s">
        <v>27</v>
      </c>
      <c r="I209" s="1" t="s">
        <v>19</v>
      </c>
      <c r="J209">
        <v>5</v>
      </c>
    </row>
    <row r="210" spans="1:10" x14ac:dyDescent="0.25">
      <c r="A210">
        <v>3209</v>
      </c>
      <c r="B210" s="13">
        <v>45680</v>
      </c>
      <c r="C210" s="1" t="s">
        <v>20</v>
      </c>
      <c r="D210" s="1" t="s">
        <v>232</v>
      </c>
      <c r="E210">
        <v>2</v>
      </c>
      <c r="F210" s="5">
        <v>45000</v>
      </c>
      <c r="G210" s="1" t="s">
        <v>12</v>
      </c>
      <c r="H210" s="1" t="s">
        <v>13</v>
      </c>
      <c r="I210" s="1" t="s">
        <v>24</v>
      </c>
      <c r="J210">
        <v>0</v>
      </c>
    </row>
    <row r="211" spans="1:10" x14ac:dyDescent="0.25">
      <c r="A211">
        <v>3210</v>
      </c>
      <c r="B211" s="13">
        <v>45681</v>
      </c>
      <c r="C211" s="1" t="s">
        <v>10</v>
      </c>
      <c r="D211" s="1" t="s">
        <v>233</v>
      </c>
      <c r="E211">
        <v>4</v>
      </c>
      <c r="F211" s="5">
        <v>8000</v>
      </c>
      <c r="G211" s="1" t="s">
        <v>17</v>
      </c>
      <c r="H211" s="1" t="s">
        <v>18</v>
      </c>
      <c r="I211" s="1" t="s">
        <v>14</v>
      </c>
      <c r="J211">
        <v>0</v>
      </c>
    </row>
    <row r="212" spans="1:10" x14ac:dyDescent="0.25">
      <c r="A212">
        <v>3211</v>
      </c>
      <c r="B212" s="13">
        <v>45682</v>
      </c>
      <c r="C212" s="1" t="s">
        <v>15</v>
      </c>
      <c r="D212" s="1" t="s">
        <v>234</v>
      </c>
      <c r="E212">
        <v>2</v>
      </c>
      <c r="F212" s="5">
        <v>35000</v>
      </c>
      <c r="G212" s="1" t="s">
        <v>22</v>
      </c>
      <c r="H212" s="1" t="s">
        <v>23</v>
      </c>
      <c r="I212" s="1" t="s">
        <v>19</v>
      </c>
      <c r="J212">
        <v>10</v>
      </c>
    </row>
    <row r="213" spans="1:10" x14ac:dyDescent="0.25">
      <c r="A213">
        <v>3212</v>
      </c>
      <c r="B213" s="13">
        <v>45683</v>
      </c>
      <c r="C213" s="1" t="s">
        <v>20</v>
      </c>
      <c r="D213" s="1" t="s">
        <v>235</v>
      </c>
      <c r="E213">
        <v>1</v>
      </c>
      <c r="F213" s="5">
        <v>85000</v>
      </c>
      <c r="G213" s="1" t="s">
        <v>26</v>
      </c>
      <c r="H213" s="1" t="s">
        <v>27</v>
      </c>
      <c r="I213" s="1" t="s">
        <v>24</v>
      </c>
      <c r="J213">
        <v>0</v>
      </c>
    </row>
    <row r="214" spans="1:10" x14ac:dyDescent="0.25">
      <c r="A214">
        <v>3213</v>
      </c>
      <c r="B214" s="13">
        <v>45684</v>
      </c>
      <c r="C214" s="1" t="s">
        <v>10</v>
      </c>
      <c r="D214" s="1" t="s">
        <v>236</v>
      </c>
      <c r="E214">
        <v>3</v>
      </c>
      <c r="F214" s="5">
        <v>5000</v>
      </c>
      <c r="G214" s="1" t="s">
        <v>12</v>
      </c>
      <c r="H214" s="1" t="s">
        <v>13</v>
      </c>
      <c r="I214" s="1" t="s">
        <v>14</v>
      </c>
      <c r="J214">
        <v>5</v>
      </c>
    </row>
    <row r="215" spans="1:10" x14ac:dyDescent="0.25">
      <c r="A215">
        <v>3214</v>
      </c>
      <c r="B215" s="13">
        <v>45685</v>
      </c>
      <c r="C215" s="1" t="s">
        <v>15</v>
      </c>
      <c r="D215" s="1" t="s">
        <v>237</v>
      </c>
      <c r="E215">
        <v>5</v>
      </c>
      <c r="F215" s="5">
        <v>10000</v>
      </c>
      <c r="G215" s="1" t="s">
        <v>17</v>
      </c>
      <c r="H215" s="1" t="s">
        <v>18</v>
      </c>
      <c r="I215" s="1" t="s">
        <v>19</v>
      </c>
      <c r="J215">
        <v>0</v>
      </c>
    </row>
    <row r="216" spans="1:10" x14ac:dyDescent="0.25">
      <c r="A216">
        <v>3215</v>
      </c>
      <c r="B216" s="13">
        <v>45686</v>
      </c>
      <c r="C216" s="1" t="s">
        <v>20</v>
      </c>
      <c r="D216" s="1" t="s">
        <v>238</v>
      </c>
      <c r="E216">
        <v>1</v>
      </c>
      <c r="F216" s="5">
        <v>120000</v>
      </c>
      <c r="G216" s="1" t="s">
        <v>22</v>
      </c>
      <c r="H216" s="1" t="s">
        <v>23</v>
      </c>
      <c r="I216" s="1" t="s">
        <v>24</v>
      </c>
      <c r="J216">
        <v>0</v>
      </c>
    </row>
    <row r="217" spans="1:10" x14ac:dyDescent="0.25">
      <c r="A217">
        <v>3216</v>
      </c>
      <c r="B217" s="13">
        <v>45687</v>
      </c>
      <c r="C217" s="1" t="s">
        <v>10</v>
      </c>
      <c r="D217" s="1" t="s">
        <v>239</v>
      </c>
      <c r="E217">
        <v>2</v>
      </c>
      <c r="F217" s="5">
        <v>8000</v>
      </c>
      <c r="G217" s="1" t="s">
        <v>26</v>
      </c>
      <c r="H217" s="1" t="s">
        <v>27</v>
      </c>
      <c r="I217" s="1" t="s">
        <v>14</v>
      </c>
      <c r="J217">
        <v>5</v>
      </c>
    </row>
    <row r="218" spans="1:10" x14ac:dyDescent="0.25">
      <c r="A218">
        <v>3217</v>
      </c>
      <c r="B218" s="13">
        <v>45688</v>
      </c>
      <c r="C218" s="1" t="s">
        <v>15</v>
      </c>
      <c r="D218" s="1" t="s">
        <v>240</v>
      </c>
      <c r="E218">
        <v>3</v>
      </c>
      <c r="F218" s="5">
        <v>12000</v>
      </c>
      <c r="G218" s="1" t="s">
        <v>12</v>
      </c>
      <c r="H218" s="1" t="s">
        <v>13</v>
      </c>
      <c r="I218" s="1" t="s">
        <v>19</v>
      </c>
      <c r="J218">
        <v>0</v>
      </c>
    </row>
    <row r="219" spans="1:10" x14ac:dyDescent="0.25">
      <c r="A219">
        <v>3218</v>
      </c>
      <c r="B219" s="13">
        <v>45689</v>
      </c>
      <c r="C219" s="1" t="s">
        <v>20</v>
      </c>
      <c r="D219" s="1" t="s">
        <v>241</v>
      </c>
      <c r="E219">
        <v>2</v>
      </c>
      <c r="F219" s="5">
        <v>15000</v>
      </c>
      <c r="G219" s="1" t="s">
        <v>17</v>
      </c>
      <c r="H219" s="1" t="s">
        <v>18</v>
      </c>
      <c r="I219" s="1" t="s">
        <v>24</v>
      </c>
      <c r="J219">
        <v>0</v>
      </c>
    </row>
    <row r="220" spans="1:10" x14ac:dyDescent="0.25">
      <c r="A220">
        <v>3219</v>
      </c>
      <c r="B220" s="13">
        <v>45690</v>
      </c>
      <c r="C220" s="1" t="s">
        <v>10</v>
      </c>
      <c r="D220" s="1" t="s">
        <v>242</v>
      </c>
      <c r="E220">
        <v>8</v>
      </c>
      <c r="F220" s="5">
        <v>5000</v>
      </c>
      <c r="G220" s="1" t="s">
        <v>22</v>
      </c>
      <c r="H220" s="1" t="s">
        <v>23</v>
      </c>
      <c r="I220" s="1" t="s">
        <v>14</v>
      </c>
      <c r="J220">
        <v>10</v>
      </c>
    </row>
    <row r="221" spans="1:10" x14ac:dyDescent="0.25">
      <c r="A221">
        <v>3220</v>
      </c>
      <c r="B221" s="13">
        <v>45691</v>
      </c>
      <c r="C221" s="1" t="s">
        <v>15</v>
      </c>
      <c r="D221" s="1" t="s">
        <v>243</v>
      </c>
      <c r="E221">
        <v>4</v>
      </c>
      <c r="F221" s="5">
        <v>12000</v>
      </c>
      <c r="G221" s="1" t="s">
        <v>26</v>
      </c>
      <c r="H221" s="1" t="s">
        <v>27</v>
      </c>
      <c r="I221" s="1" t="s">
        <v>19</v>
      </c>
      <c r="J221">
        <v>0</v>
      </c>
    </row>
    <row r="222" spans="1:10" x14ac:dyDescent="0.25">
      <c r="A222">
        <v>3221</v>
      </c>
      <c r="B222" s="13">
        <v>45692</v>
      </c>
      <c r="C222" s="1" t="s">
        <v>20</v>
      </c>
      <c r="D222" s="1" t="s">
        <v>244</v>
      </c>
      <c r="E222">
        <v>2</v>
      </c>
      <c r="F222" s="5">
        <v>35000</v>
      </c>
      <c r="G222" s="1" t="s">
        <v>12</v>
      </c>
      <c r="H222" s="1" t="s">
        <v>13</v>
      </c>
      <c r="I222" s="1" t="s">
        <v>24</v>
      </c>
      <c r="J222">
        <v>5</v>
      </c>
    </row>
    <row r="223" spans="1:10" x14ac:dyDescent="0.25">
      <c r="A223">
        <v>3222</v>
      </c>
      <c r="B223" s="13">
        <v>45693</v>
      </c>
      <c r="C223" s="1" t="s">
        <v>10</v>
      </c>
      <c r="D223" s="1" t="s">
        <v>245</v>
      </c>
      <c r="E223">
        <v>1</v>
      </c>
      <c r="F223" s="5">
        <v>45000</v>
      </c>
      <c r="G223" s="1" t="s">
        <v>17</v>
      </c>
      <c r="H223" s="1" t="s">
        <v>18</v>
      </c>
      <c r="I223" s="1" t="s">
        <v>14</v>
      </c>
      <c r="J223">
        <v>0</v>
      </c>
    </row>
    <row r="224" spans="1:10" x14ac:dyDescent="0.25">
      <c r="A224">
        <v>3223</v>
      </c>
      <c r="B224" s="13">
        <v>45694</v>
      </c>
      <c r="C224" s="1" t="s">
        <v>15</v>
      </c>
      <c r="D224" s="1" t="s">
        <v>246</v>
      </c>
      <c r="E224">
        <v>1</v>
      </c>
      <c r="F224" s="5">
        <v>55000</v>
      </c>
      <c r="G224" s="1" t="s">
        <v>22</v>
      </c>
      <c r="H224" s="1" t="s">
        <v>23</v>
      </c>
      <c r="I224" s="1" t="s">
        <v>19</v>
      </c>
      <c r="J224">
        <v>0</v>
      </c>
    </row>
    <row r="225" spans="1:10" x14ac:dyDescent="0.25">
      <c r="A225">
        <v>3224</v>
      </c>
      <c r="B225" s="13">
        <v>45695</v>
      </c>
      <c r="C225" s="1" t="s">
        <v>20</v>
      </c>
      <c r="D225" s="1" t="s">
        <v>247</v>
      </c>
      <c r="E225">
        <v>1</v>
      </c>
      <c r="F225" s="5">
        <v>65000</v>
      </c>
      <c r="G225" s="1" t="s">
        <v>26</v>
      </c>
      <c r="H225" s="1" t="s">
        <v>27</v>
      </c>
      <c r="I225" s="1" t="s">
        <v>24</v>
      </c>
      <c r="J225">
        <v>10</v>
      </c>
    </row>
    <row r="226" spans="1:10" x14ac:dyDescent="0.25">
      <c r="A226">
        <v>3225</v>
      </c>
      <c r="B226" s="13">
        <v>45696</v>
      </c>
      <c r="C226" s="1" t="s">
        <v>10</v>
      </c>
      <c r="D226" s="1" t="s">
        <v>248</v>
      </c>
      <c r="E226">
        <v>1</v>
      </c>
      <c r="F226" s="5">
        <v>120000</v>
      </c>
      <c r="G226" s="1" t="s">
        <v>12</v>
      </c>
      <c r="H226" s="1" t="s">
        <v>13</v>
      </c>
      <c r="I226" s="1" t="s">
        <v>14</v>
      </c>
      <c r="J226">
        <v>0</v>
      </c>
    </row>
    <row r="227" spans="1:10" x14ac:dyDescent="0.25">
      <c r="A227">
        <v>3226</v>
      </c>
      <c r="B227" s="13">
        <v>45697</v>
      </c>
      <c r="C227" s="1" t="s">
        <v>15</v>
      </c>
      <c r="D227" s="1" t="s">
        <v>249</v>
      </c>
      <c r="E227">
        <v>3</v>
      </c>
      <c r="F227" s="5">
        <v>15000</v>
      </c>
      <c r="G227" s="1" t="s">
        <v>17</v>
      </c>
      <c r="H227" s="1" t="s">
        <v>18</v>
      </c>
      <c r="I227" s="1" t="s">
        <v>19</v>
      </c>
      <c r="J227">
        <v>5</v>
      </c>
    </row>
    <row r="228" spans="1:10" x14ac:dyDescent="0.25">
      <c r="A228">
        <v>3227</v>
      </c>
      <c r="B228" s="13">
        <v>45698</v>
      </c>
      <c r="C228" s="1" t="s">
        <v>20</v>
      </c>
      <c r="D228" s="1" t="s">
        <v>250</v>
      </c>
      <c r="E228">
        <v>1</v>
      </c>
      <c r="F228" s="5">
        <v>35000</v>
      </c>
      <c r="G228" s="1" t="s">
        <v>22</v>
      </c>
      <c r="H228" s="1" t="s">
        <v>23</v>
      </c>
      <c r="I228" s="1" t="s">
        <v>24</v>
      </c>
      <c r="J228">
        <v>0</v>
      </c>
    </row>
    <row r="229" spans="1:10" x14ac:dyDescent="0.25">
      <c r="A229">
        <v>3228</v>
      </c>
      <c r="B229" s="13">
        <v>45699</v>
      </c>
      <c r="C229" s="1" t="s">
        <v>10</v>
      </c>
      <c r="D229" s="1" t="s">
        <v>251</v>
      </c>
      <c r="E229">
        <v>2</v>
      </c>
      <c r="F229" s="5">
        <v>25000</v>
      </c>
      <c r="G229" s="1" t="s">
        <v>26</v>
      </c>
      <c r="H229" s="1" t="s">
        <v>27</v>
      </c>
      <c r="I229" s="1" t="s">
        <v>14</v>
      </c>
      <c r="J229">
        <v>0</v>
      </c>
    </row>
    <row r="230" spans="1:10" x14ac:dyDescent="0.25">
      <c r="A230">
        <v>3229</v>
      </c>
      <c r="B230" s="13">
        <v>45700</v>
      </c>
      <c r="C230" s="1" t="s">
        <v>15</v>
      </c>
      <c r="D230" s="1" t="s">
        <v>94</v>
      </c>
      <c r="E230">
        <v>6</v>
      </c>
      <c r="F230" s="5">
        <v>5000</v>
      </c>
      <c r="G230" s="1" t="s">
        <v>12</v>
      </c>
      <c r="H230" s="1" t="s">
        <v>13</v>
      </c>
      <c r="I230" s="1" t="s">
        <v>19</v>
      </c>
      <c r="J230">
        <v>5</v>
      </c>
    </row>
    <row r="231" spans="1:10" x14ac:dyDescent="0.25">
      <c r="A231">
        <v>3230</v>
      </c>
      <c r="B231" s="13">
        <v>45701</v>
      </c>
      <c r="C231" s="1" t="s">
        <v>20</v>
      </c>
      <c r="D231" s="1" t="s">
        <v>252</v>
      </c>
      <c r="E231">
        <v>5</v>
      </c>
      <c r="F231" s="5">
        <v>4000</v>
      </c>
      <c r="G231" s="1" t="s">
        <v>17</v>
      </c>
      <c r="H231" s="1" t="s">
        <v>18</v>
      </c>
      <c r="I231" s="1" t="s">
        <v>24</v>
      </c>
      <c r="J231">
        <v>0</v>
      </c>
    </row>
    <row r="232" spans="1:10" x14ac:dyDescent="0.25">
      <c r="A232">
        <v>3231</v>
      </c>
      <c r="B232" s="13">
        <v>45702</v>
      </c>
      <c r="C232" s="1" t="s">
        <v>10</v>
      </c>
      <c r="D232" s="1" t="s">
        <v>253</v>
      </c>
      <c r="E232">
        <v>3</v>
      </c>
      <c r="F232" s="5">
        <v>8000</v>
      </c>
      <c r="G232" s="1" t="s">
        <v>22</v>
      </c>
      <c r="H232" s="1" t="s">
        <v>23</v>
      </c>
      <c r="I232" s="1" t="s">
        <v>14</v>
      </c>
      <c r="J232">
        <v>0</v>
      </c>
    </row>
    <row r="233" spans="1:10" x14ac:dyDescent="0.25">
      <c r="A233">
        <v>3232</v>
      </c>
      <c r="B233" s="13">
        <v>45703</v>
      </c>
      <c r="C233" s="1" t="s">
        <v>15</v>
      </c>
      <c r="D233" s="1" t="s">
        <v>254</v>
      </c>
      <c r="E233">
        <v>2</v>
      </c>
      <c r="F233" s="5">
        <v>12000</v>
      </c>
      <c r="G233" s="1" t="s">
        <v>26</v>
      </c>
      <c r="H233" s="1" t="s">
        <v>27</v>
      </c>
      <c r="I233" s="1" t="s">
        <v>19</v>
      </c>
      <c r="J233">
        <v>10</v>
      </c>
    </row>
    <row r="234" spans="1:10" x14ac:dyDescent="0.25">
      <c r="A234">
        <v>3233</v>
      </c>
      <c r="B234" s="13">
        <v>45704</v>
      </c>
      <c r="C234" s="1" t="s">
        <v>20</v>
      </c>
      <c r="D234" s="1" t="s">
        <v>77</v>
      </c>
      <c r="E234">
        <v>4</v>
      </c>
      <c r="F234" s="5">
        <v>7000</v>
      </c>
      <c r="G234" s="1" t="s">
        <v>12</v>
      </c>
      <c r="H234" s="1" t="s">
        <v>13</v>
      </c>
      <c r="I234" s="1" t="s">
        <v>24</v>
      </c>
      <c r="J234">
        <v>0</v>
      </c>
    </row>
    <row r="235" spans="1:10" x14ac:dyDescent="0.25">
      <c r="A235">
        <v>3234</v>
      </c>
      <c r="B235" s="13">
        <v>45705</v>
      </c>
      <c r="C235" s="1" t="s">
        <v>10</v>
      </c>
      <c r="D235" s="1" t="s">
        <v>255</v>
      </c>
      <c r="E235">
        <v>3</v>
      </c>
      <c r="F235" s="5">
        <v>6000</v>
      </c>
      <c r="G235" s="1" t="s">
        <v>17</v>
      </c>
      <c r="H235" s="1" t="s">
        <v>18</v>
      </c>
      <c r="I235" s="1" t="s">
        <v>14</v>
      </c>
      <c r="J235">
        <v>5</v>
      </c>
    </row>
    <row r="236" spans="1:10" x14ac:dyDescent="0.25">
      <c r="A236">
        <v>3235</v>
      </c>
      <c r="B236" s="13">
        <v>45706</v>
      </c>
      <c r="C236" s="1" t="s">
        <v>15</v>
      </c>
      <c r="D236" s="1" t="s">
        <v>58</v>
      </c>
      <c r="E236">
        <v>7</v>
      </c>
      <c r="F236" s="5">
        <v>8000</v>
      </c>
      <c r="G236" s="1" t="s">
        <v>22</v>
      </c>
      <c r="H236" s="1" t="s">
        <v>23</v>
      </c>
      <c r="I236" s="1" t="s">
        <v>19</v>
      </c>
      <c r="J236">
        <v>0</v>
      </c>
    </row>
    <row r="237" spans="1:10" x14ac:dyDescent="0.25">
      <c r="A237">
        <v>3236</v>
      </c>
      <c r="B237" s="13">
        <v>45707</v>
      </c>
      <c r="C237" s="1" t="s">
        <v>20</v>
      </c>
      <c r="D237" s="1" t="s">
        <v>68</v>
      </c>
      <c r="E237">
        <v>3</v>
      </c>
      <c r="F237" s="5">
        <v>12000</v>
      </c>
      <c r="G237" s="1" t="s">
        <v>26</v>
      </c>
      <c r="H237" s="1" t="s">
        <v>27</v>
      </c>
      <c r="I237" s="1" t="s">
        <v>24</v>
      </c>
      <c r="J237">
        <v>0</v>
      </c>
    </row>
    <row r="238" spans="1:10" x14ac:dyDescent="0.25">
      <c r="A238">
        <v>3237</v>
      </c>
      <c r="B238" s="13">
        <v>45708</v>
      </c>
      <c r="C238" s="1" t="s">
        <v>10</v>
      </c>
      <c r="D238" s="1" t="s">
        <v>256</v>
      </c>
      <c r="E238">
        <v>2</v>
      </c>
      <c r="F238" s="5">
        <v>25000</v>
      </c>
      <c r="G238" s="1" t="s">
        <v>12</v>
      </c>
      <c r="H238" s="1" t="s">
        <v>13</v>
      </c>
      <c r="I238" s="1" t="s">
        <v>14</v>
      </c>
      <c r="J238">
        <v>5</v>
      </c>
    </row>
    <row r="239" spans="1:10" x14ac:dyDescent="0.25">
      <c r="A239">
        <v>3238</v>
      </c>
      <c r="B239" s="13">
        <v>45709</v>
      </c>
      <c r="C239" s="1" t="s">
        <v>15</v>
      </c>
      <c r="D239" s="1" t="s">
        <v>131</v>
      </c>
      <c r="E239">
        <v>3</v>
      </c>
      <c r="F239" s="5">
        <v>18000</v>
      </c>
      <c r="G239" s="1" t="s">
        <v>17</v>
      </c>
      <c r="H239" s="1" t="s">
        <v>18</v>
      </c>
      <c r="I239" s="1" t="s">
        <v>19</v>
      </c>
      <c r="J239">
        <v>0</v>
      </c>
    </row>
    <row r="240" spans="1:10" x14ac:dyDescent="0.25">
      <c r="A240">
        <v>3239</v>
      </c>
      <c r="B240" s="13">
        <v>45710</v>
      </c>
      <c r="C240" s="1" t="s">
        <v>20</v>
      </c>
      <c r="D240" s="1" t="s">
        <v>257</v>
      </c>
      <c r="E240">
        <v>6</v>
      </c>
      <c r="F240" s="5">
        <v>15000</v>
      </c>
      <c r="G240" s="1" t="s">
        <v>22</v>
      </c>
      <c r="H240" s="1" t="s">
        <v>23</v>
      </c>
      <c r="I240" s="1" t="s">
        <v>24</v>
      </c>
      <c r="J240">
        <v>0</v>
      </c>
    </row>
    <row r="241" spans="1:10" x14ac:dyDescent="0.25">
      <c r="A241">
        <v>3240</v>
      </c>
      <c r="B241" s="13">
        <v>45711</v>
      </c>
      <c r="C241" s="1" t="s">
        <v>10</v>
      </c>
      <c r="D241" s="1" t="s">
        <v>258</v>
      </c>
      <c r="E241">
        <v>2</v>
      </c>
      <c r="F241" s="5">
        <v>12000</v>
      </c>
      <c r="G241" s="1" t="s">
        <v>26</v>
      </c>
      <c r="H241" s="1" t="s">
        <v>27</v>
      </c>
      <c r="I241" s="1" t="s">
        <v>14</v>
      </c>
      <c r="J241">
        <v>10</v>
      </c>
    </row>
    <row r="242" spans="1:10" x14ac:dyDescent="0.25">
      <c r="A242">
        <v>3241</v>
      </c>
      <c r="B242" s="13">
        <v>45712</v>
      </c>
      <c r="C242" s="1" t="s">
        <v>15</v>
      </c>
      <c r="D242" s="1" t="s">
        <v>115</v>
      </c>
      <c r="E242">
        <v>5</v>
      </c>
      <c r="F242" s="5">
        <v>6000</v>
      </c>
      <c r="G242" s="1" t="s">
        <v>12</v>
      </c>
      <c r="H242" s="1" t="s">
        <v>13</v>
      </c>
      <c r="I242" s="1" t="s">
        <v>19</v>
      </c>
      <c r="J242">
        <v>0</v>
      </c>
    </row>
    <row r="243" spans="1:10" x14ac:dyDescent="0.25">
      <c r="A243">
        <v>3242</v>
      </c>
      <c r="B243" s="13">
        <v>45713</v>
      </c>
      <c r="C243" s="1" t="s">
        <v>20</v>
      </c>
      <c r="D243" s="1" t="s">
        <v>83</v>
      </c>
      <c r="E243">
        <v>4</v>
      </c>
      <c r="F243" s="5">
        <v>25000</v>
      </c>
      <c r="G243" s="1" t="s">
        <v>17</v>
      </c>
      <c r="H243" s="1" t="s">
        <v>18</v>
      </c>
      <c r="I243" s="1" t="s">
        <v>24</v>
      </c>
      <c r="J243">
        <v>5</v>
      </c>
    </row>
    <row r="244" spans="1:10" x14ac:dyDescent="0.25">
      <c r="A244">
        <v>3243</v>
      </c>
      <c r="B244" s="13">
        <v>45714</v>
      </c>
      <c r="C244" s="1" t="s">
        <v>10</v>
      </c>
      <c r="D244" s="1" t="s">
        <v>259</v>
      </c>
      <c r="E244">
        <v>6</v>
      </c>
      <c r="F244" s="5">
        <v>3000</v>
      </c>
      <c r="G244" s="1" t="s">
        <v>22</v>
      </c>
      <c r="H244" s="1" t="s">
        <v>23</v>
      </c>
      <c r="I244" s="1" t="s">
        <v>14</v>
      </c>
      <c r="J244">
        <v>0</v>
      </c>
    </row>
    <row r="245" spans="1:10" x14ac:dyDescent="0.25">
      <c r="A245">
        <v>3244</v>
      </c>
      <c r="B245" s="13">
        <v>45715</v>
      </c>
      <c r="C245" s="1" t="s">
        <v>15</v>
      </c>
      <c r="D245" s="1" t="s">
        <v>260</v>
      </c>
      <c r="E245">
        <v>4</v>
      </c>
      <c r="F245" s="5">
        <v>5000</v>
      </c>
      <c r="G245" s="1" t="s">
        <v>26</v>
      </c>
      <c r="H245" s="1" t="s">
        <v>27</v>
      </c>
      <c r="I245" s="1" t="s">
        <v>19</v>
      </c>
      <c r="J245">
        <v>0</v>
      </c>
    </row>
    <row r="246" spans="1:10" x14ac:dyDescent="0.25">
      <c r="A246">
        <v>3245</v>
      </c>
      <c r="B246" s="13">
        <v>45716</v>
      </c>
      <c r="C246" s="1" t="s">
        <v>20</v>
      </c>
      <c r="D246" s="1" t="s">
        <v>261</v>
      </c>
      <c r="E246">
        <v>1</v>
      </c>
      <c r="F246" s="5">
        <v>55000</v>
      </c>
      <c r="G246" s="1" t="s">
        <v>12</v>
      </c>
      <c r="H246" s="1" t="s">
        <v>13</v>
      </c>
      <c r="I246" s="1" t="s">
        <v>24</v>
      </c>
      <c r="J246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6334-D835-473C-9532-6EEF90F6AEA7}">
  <dimension ref="A1:J554"/>
  <sheetViews>
    <sheetView topLeftCell="A396" workbookViewId="0">
      <selection activeCell="A370" sqref="A370:J370"/>
    </sheetView>
  </sheetViews>
  <sheetFormatPr defaultColWidth="9" defaultRowHeight="15" x14ac:dyDescent="0.25"/>
  <cols>
    <col min="1" max="1" width="10.7109375" bestFit="1" customWidth="1"/>
    <col min="2" max="2" width="15.85546875" bestFit="1" customWidth="1"/>
    <col min="3" max="3" width="17.28515625" bestFit="1" customWidth="1"/>
    <col min="4" max="4" width="16.42578125" bestFit="1" customWidth="1"/>
    <col min="5" max="5" width="9.5703125" bestFit="1" customWidth="1"/>
    <col min="6" max="6" width="9.28515625" bestFit="1" customWidth="1"/>
    <col min="7" max="7" width="13.85546875" bestFit="1" customWidth="1"/>
    <col min="8" max="9" width="16.140625" bestFit="1" customWidth="1"/>
    <col min="10" max="10" width="8.7109375" bestFit="1" customWidth="1"/>
  </cols>
  <sheetData>
    <row r="1" spans="1:9" x14ac:dyDescent="0.25">
      <c r="A1" s="9" t="s">
        <v>263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10" t="s">
        <v>1</v>
      </c>
      <c r="B2" s="3" t="s">
        <v>2</v>
      </c>
      <c r="C2" s="3" t="s">
        <v>3</v>
      </c>
      <c r="D2" s="3" t="s">
        <v>4</v>
      </c>
      <c r="E2" s="6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spans="1:9" x14ac:dyDescent="0.25">
      <c r="A3" s="11" cm="1">
        <f t="array" ref="A3:I21">_xlfn._xlws.FILTER(deepseek_csv_20260422_7f7afa[[OrderDate]:[Discount]], (deepseek_csv_20260422_7f7afa[Region]="South") * (deepseek_csv_20260422_7f7afa[ProductCategory]="Electronics"), "No Matching Orders")</f>
        <v>45671</v>
      </c>
      <c r="B3" t="str">
        <v>Electronics</v>
      </c>
      <c r="C3" t="str">
        <v>Tablet</v>
      </c>
      <c r="D3">
        <v>2</v>
      </c>
      <c r="E3">
        <v>80000</v>
      </c>
      <c r="F3" t="str">
        <v>South</v>
      </c>
      <c r="G3" t="str">
        <v>Chidi Nwosu</v>
      </c>
      <c r="H3" t="str">
        <v>Card</v>
      </c>
      <c r="I3">
        <v>5</v>
      </c>
    </row>
    <row r="4" spans="1:9" x14ac:dyDescent="0.25">
      <c r="A4" s="11">
        <v>45677</v>
      </c>
      <c r="B4" t="str">
        <v>Electronics</v>
      </c>
      <c r="C4" t="str">
        <v>Mouse</v>
      </c>
      <c r="D4">
        <v>8</v>
      </c>
      <c r="E4">
        <v>5000</v>
      </c>
      <c r="F4" t="str">
        <v>South</v>
      </c>
      <c r="G4" t="str">
        <v>Chidi Nwosu</v>
      </c>
      <c r="H4" t="str">
        <v>Card</v>
      </c>
      <c r="I4">
        <v>10</v>
      </c>
    </row>
    <row r="5" spans="1:9" x14ac:dyDescent="0.25">
      <c r="A5" s="11">
        <v>45683</v>
      </c>
      <c r="B5" t="str">
        <v>Electronics</v>
      </c>
      <c r="C5" t="str">
        <v>Router</v>
      </c>
      <c r="D5">
        <v>2</v>
      </c>
      <c r="E5">
        <v>22000</v>
      </c>
      <c r="F5" t="str">
        <v>South</v>
      </c>
      <c r="G5" t="str">
        <v>Chidi Nwosu</v>
      </c>
      <c r="H5" t="str">
        <v>Card</v>
      </c>
      <c r="I5">
        <v>0</v>
      </c>
    </row>
    <row r="6" spans="1:9" x14ac:dyDescent="0.25">
      <c r="A6" s="11">
        <v>45689</v>
      </c>
      <c r="B6" t="str">
        <v>Electronics</v>
      </c>
      <c r="C6" t="str">
        <v>HardDrive</v>
      </c>
      <c r="D6">
        <v>1</v>
      </c>
      <c r="E6">
        <v>55000</v>
      </c>
      <c r="F6" t="str">
        <v>South</v>
      </c>
      <c r="G6" t="str">
        <v>Chidi Nwosu</v>
      </c>
      <c r="H6" t="str">
        <v>Card</v>
      </c>
      <c r="I6">
        <v>0</v>
      </c>
    </row>
    <row r="7" spans="1:9" x14ac:dyDescent="0.25">
      <c r="A7" s="11">
        <v>45695</v>
      </c>
      <c r="B7" t="str">
        <v>Electronics</v>
      </c>
      <c r="C7" t="str">
        <v>GraphicsTablet</v>
      </c>
      <c r="D7">
        <v>1</v>
      </c>
      <c r="E7">
        <v>45000</v>
      </c>
      <c r="F7" t="str">
        <v>South</v>
      </c>
      <c r="G7" t="str">
        <v>Chidi Nwosu</v>
      </c>
      <c r="H7" t="str">
        <v>Card</v>
      </c>
      <c r="I7">
        <v>0</v>
      </c>
    </row>
    <row r="8" spans="1:9" x14ac:dyDescent="0.25">
      <c r="A8" s="11">
        <v>45701</v>
      </c>
      <c r="B8" t="str">
        <v>Electronics</v>
      </c>
      <c r="C8" t="str">
        <v>ExternalBattery</v>
      </c>
      <c r="D8">
        <v>3</v>
      </c>
      <c r="E8">
        <v>12000</v>
      </c>
      <c r="F8" t="str">
        <v>South</v>
      </c>
      <c r="G8" t="str">
        <v>Chidi Nwosu</v>
      </c>
      <c r="H8" t="str">
        <v>Card</v>
      </c>
      <c r="I8">
        <v>0</v>
      </c>
    </row>
    <row r="9" spans="1:9" x14ac:dyDescent="0.25">
      <c r="A9" s="11">
        <v>45707</v>
      </c>
      <c r="B9" t="str">
        <v>Electronics</v>
      </c>
      <c r="C9" t="str">
        <v>SmartPlug</v>
      </c>
      <c r="D9">
        <v>4</v>
      </c>
      <c r="E9">
        <v>8000</v>
      </c>
      <c r="F9" t="str">
        <v>South</v>
      </c>
      <c r="G9" t="str">
        <v>Chidi Nwosu</v>
      </c>
      <c r="H9" t="str">
        <v>Card</v>
      </c>
      <c r="I9">
        <v>0</v>
      </c>
    </row>
    <row r="10" spans="1:9" x14ac:dyDescent="0.25">
      <c r="A10" s="11">
        <v>45713</v>
      </c>
      <c r="B10" t="str">
        <v>Electronics</v>
      </c>
      <c r="C10" t="str">
        <v>SmartScale</v>
      </c>
      <c r="D10">
        <v>2</v>
      </c>
      <c r="E10">
        <v>22000</v>
      </c>
      <c r="F10" t="str">
        <v>South</v>
      </c>
      <c r="G10" t="str">
        <v>Chidi Nwosu</v>
      </c>
      <c r="H10" t="str">
        <v>Card</v>
      </c>
      <c r="I10">
        <v>10</v>
      </c>
    </row>
    <row r="11" spans="1:9" x14ac:dyDescent="0.25">
      <c r="A11" s="11">
        <v>45678</v>
      </c>
      <c r="B11" t="str">
        <v>Electronics</v>
      </c>
      <c r="C11" t="str">
        <v>WebcamCover</v>
      </c>
      <c r="D11">
        <v>12</v>
      </c>
      <c r="E11">
        <v>1500</v>
      </c>
      <c r="F11" t="str">
        <v>South</v>
      </c>
      <c r="G11" t="str">
        <v>Chidi Nwosu</v>
      </c>
      <c r="H11" t="str">
        <v>Card</v>
      </c>
      <c r="I11">
        <v>0</v>
      </c>
    </row>
    <row r="12" spans="1:9" x14ac:dyDescent="0.25">
      <c r="A12" s="11">
        <v>45690</v>
      </c>
      <c r="B12" t="str">
        <v>Electronics</v>
      </c>
      <c r="C12" t="str">
        <v>DeskFan</v>
      </c>
      <c r="D12">
        <v>2</v>
      </c>
      <c r="E12">
        <v>12000</v>
      </c>
      <c r="F12" t="str">
        <v>South</v>
      </c>
      <c r="G12" t="str">
        <v>Chidi Nwosu</v>
      </c>
      <c r="H12" t="str">
        <v>Card</v>
      </c>
      <c r="I12">
        <v>0</v>
      </c>
    </row>
    <row r="13" spans="1:9" x14ac:dyDescent="0.25">
      <c r="A13" s="11">
        <v>45702</v>
      </c>
      <c r="B13" t="str">
        <v>Electronics</v>
      </c>
      <c r="C13" t="str">
        <v>LaptopStand</v>
      </c>
      <c r="D13">
        <v>3</v>
      </c>
      <c r="E13">
        <v>18000</v>
      </c>
      <c r="F13" t="str">
        <v>South</v>
      </c>
      <c r="G13" t="str">
        <v>Chidi Nwosu</v>
      </c>
      <c r="H13" t="str">
        <v>Card</v>
      </c>
      <c r="I13">
        <v>5</v>
      </c>
    </row>
    <row r="14" spans="1:9" x14ac:dyDescent="0.25">
      <c r="A14" s="11">
        <v>45714</v>
      </c>
      <c r="B14" t="str">
        <v>Electronics</v>
      </c>
      <c r="C14" t="str">
        <v>PhoneGrip</v>
      </c>
      <c r="D14">
        <v>10</v>
      </c>
      <c r="E14">
        <v>2000</v>
      </c>
      <c r="F14" t="str">
        <v>South</v>
      </c>
      <c r="G14" t="str">
        <v>Chidi Nwosu</v>
      </c>
      <c r="H14" t="str">
        <v>Card</v>
      </c>
      <c r="I14">
        <v>0</v>
      </c>
    </row>
    <row r="15" spans="1:9" x14ac:dyDescent="0.25">
      <c r="A15" s="11">
        <v>45675</v>
      </c>
      <c r="B15" t="str">
        <v>Electronics</v>
      </c>
      <c r="C15" t="str">
        <v>SmartThermostat</v>
      </c>
      <c r="D15">
        <v>1</v>
      </c>
      <c r="E15">
        <v>35000</v>
      </c>
      <c r="F15" t="str">
        <v>South</v>
      </c>
      <c r="G15" t="str">
        <v>Chidi Nwosu</v>
      </c>
      <c r="H15" t="str">
        <v>Card</v>
      </c>
      <c r="I15">
        <v>5</v>
      </c>
    </row>
    <row r="16" spans="1:9" x14ac:dyDescent="0.25">
      <c r="A16" s="11">
        <v>45687</v>
      </c>
      <c r="B16" t="str">
        <v>Electronics</v>
      </c>
      <c r="C16" t="str">
        <v>DigitalClock</v>
      </c>
      <c r="D16">
        <v>4</v>
      </c>
      <c r="E16">
        <v>8000</v>
      </c>
      <c r="F16" t="str">
        <v>South</v>
      </c>
      <c r="G16" t="str">
        <v>Chidi Nwosu</v>
      </c>
      <c r="H16" t="str">
        <v>Card</v>
      </c>
      <c r="I16">
        <v>0</v>
      </c>
    </row>
    <row r="17" spans="1:9" x14ac:dyDescent="0.25">
      <c r="A17" s="11">
        <v>45699</v>
      </c>
      <c r="B17" t="str">
        <v>Electronics</v>
      </c>
      <c r="C17" t="str">
        <v>ExtensionCord</v>
      </c>
      <c r="D17">
        <v>5</v>
      </c>
      <c r="E17">
        <v>7000</v>
      </c>
      <c r="F17" t="str">
        <v>South</v>
      </c>
      <c r="G17" t="str">
        <v>Chidi Nwosu</v>
      </c>
      <c r="H17" t="str">
        <v>Card</v>
      </c>
      <c r="I17">
        <v>5</v>
      </c>
    </row>
    <row r="18" spans="1:9" x14ac:dyDescent="0.25">
      <c r="A18" s="11">
        <v>45711</v>
      </c>
      <c r="B18" t="str">
        <v>Electronics</v>
      </c>
      <c r="C18" t="str">
        <v>RechargeableFan</v>
      </c>
      <c r="D18">
        <v>2</v>
      </c>
      <c r="E18">
        <v>18000</v>
      </c>
      <c r="F18" t="str">
        <v>South</v>
      </c>
      <c r="G18" t="str">
        <v>Chidi Nwosu</v>
      </c>
      <c r="H18" t="str">
        <v>Card</v>
      </c>
      <c r="I18">
        <v>0</v>
      </c>
    </row>
    <row r="19" spans="1:9" x14ac:dyDescent="0.25">
      <c r="A19" s="11">
        <v>45681</v>
      </c>
      <c r="B19" t="str">
        <v>Electronics</v>
      </c>
      <c r="C19" t="str">
        <v>TabletCase</v>
      </c>
      <c r="D19">
        <v>4</v>
      </c>
      <c r="E19">
        <v>8000</v>
      </c>
      <c r="F19" t="str">
        <v>South</v>
      </c>
      <c r="G19" t="str">
        <v>Chidi Nwosu</v>
      </c>
      <c r="H19" t="str">
        <v>Card</v>
      </c>
      <c r="I19">
        <v>0</v>
      </c>
    </row>
    <row r="20" spans="1:9" x14ac:dyDescent="0.25">
      <c r="A20" s="11">
        <v>45693</v>
      </c>
      <c r="B20" t="str">
        <v>Electronics</v>
      </c>
      <c r="C20" t="str">
        <v>VideoDoorbell</v>
      </c>
      <c r="D20">
        <v>1</v>
      </c>
      <c r="E20">
        <v>45000</v>
      </c>
      <c r="F20" t="str">
        <v>South</v>
      </c>
      <c r="G20" t="str">
        <v>Chidi Nwosu</v>
      </c>
      <c r="H20" t="str">
        <v>Card</v>
      </c>
      <c r="I20">
        <v>0</v>
      </c>
    </row>
    <row r="21" spans="1:9" x14ac:dyDescent="0.25">
      <c r="A21" s="11">
        <v>45705</v>
      </c>
      <c r="B21" t="str">
        <v>Electronics</v>
      </c>
      <c r="C21" t="str">
        <v>USBWallOutlet</v>
      </c>
      <c r="D21">
        <v>3</v>
      </c>
      <c r="E21">
        <v>6000</v>
      </c>
      <c r="F21" t="str">
        <v>South</v>
      </c>
      <c r="G21" t="str">
        <v>Chidi Nwosu</v>
      </c>
      <c r="H21" t="str">
        <v>Card</v>
      </c>
      <c r="I21">
        <v>5</v>
      </c>
    </row>
    <row r="23" spans="1:9" x14ac:dyDescent="0.25">
      <c r="A23" s="9" t="s">
        <v>262</v>
      </c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10" t="s">
        <v>1</v>
      </c>
      <c r="B24" s="3" t="s">
        <v>2</v>
      </c>
      <c r="C24" s="3" t="s">
        <v>3</v>
      </c>
      <c r="D24" s="3" t="s">
        <v>4</v>
      </c>
      <c r="E24" s="6" t="s">
        <v>5</v>
      </c>
      <c r="F24" s="3" t="s">
        <v>6</v>
      </c>
      <c r="G24" s="3" t="s">
        <v>7</v>
      </c>
      <c r="H24" s="3" t="s">
        <v>8</v>
      </c>
      <c r="I24" s="4" t="s">
        <v>9</v>
      </c>
    </row>
    <row r="25" spans="1:9" x14ac:dyDescent="0.25">
      <c r="A25" s="11" cm="1">
        <f t="array" ref="A25:I147">_xlfn._xlws.FILTER(deepseek_csv_20260422_7f7afa[[OrderDate]:[Discount]], (deepseek_csv_20260422_7f7afa[Region]="North") + (deepseek_csv_20260422_7f7afa[ProductCategory]="Furniture"), "No Matching Orders")</f>
        <v>45667</v>
      </c>
      <c r="B25" t="str">
        <v>Electronics</v>
      </c>
      <c r="C25" t="str">
        <v>Laptop</v>
      </c>
      <c r="D25">
        <v>3</v>
      </c>
      <c r="E25">
        <v>450000</v>
      </c>
      <c r="F25" t="str">
        <v>North</v>
      </c>
      <c r="G25" t="str">
        <v>Abiola Ogun</v>
      </c>
      <c r="H25" t="str">
        <v>Card</v>
      </c>
      <c r="I25">
        <v>5</v>
      </c>
    </row>
    <row r="26" spans="1:9" x14ac:dyDescent="0.25">
      <c r="A26" s="11">
        <v>45668</v>
      </c>
      <c r="B26" t="str">
        <v>Furniture</v>
      </c>
      <c r="C26" t="str">
        <v>Office Chair</v>
      </c>
      <c r="D26">
        <v>2</v>
      </c>
      <c r="E26">
        <v>75000</v>
      </c>
      <c r="F26" t="str">
        <v>East</v>
      </c>
      <c r="G26" t="str">
        <v>Femi Adebayo</v>
      </c>
      <c r="H26" t="str">
        <v>Transfer</v>
      </c>
      <c r="I26">
        <v>10</v>
      </c>
    </row>
    <row r="27" spans="1:9" x14ac:dyDescent="0.25">
      <c r="A27" s="11">
        <v>45669</v>
      </c>
      <c r="B27" t="str">
        <v>Clothing</v>
      </c>
      <c r="C27" t="str">
        <v>TShirt</v>
      </c>
      <c r="D27">
        <v>8</v>
      </c>
      <c r="E27">
        <v>5000</v>
      </c>
      <c r="F27" t="str">
        <v>North</v>
      </c>
      <c r="G27" t="str">
        <v>Abiola Ogun</v>
      </c>
      <c r="H27" t="str">
        <v>Cash</v>
      </c>
      <c r="I27">
        <v>5</v>
      </c>
    </row>
    <row r="28" spans="1:9" x14ac:dyDescent="0.25">
      <c r="A28" s="11">
        <v>45669</v>
      </c>
      <c r="B28" t="str">
        <v>Furniture</v>
      </c>
      <c r="C28" t="str">
        <v>Dining Table</v>
      </c>
      <c r="D28">
        <v>1</v>
      </c>
      <c r="E28">
        <v>150000</v>
      </c>
      <c r="F28" t="str">
        <v>South</v>
      </c>
      <c r="G28" t="str">
        <v>Chidi Nwosu</v>
      </c>
      <c r="H28" t="str">
        <v>Transfer</v>
      </c>
      <c r="I28">
        <v>0</v>
      </c>
    </row>
    <row r="29" spans="1:9" x14ac:dyDescent="0.25">
      <c r="A29" s="11">
        <v>45671</v>
      </c>
      <c r="B29" t="str">
        <v>Furniture</v>
      </c>
      <c r="C29" t="str">
        <v>Bed Frame</v>
      </c>
      <c r="D29">
        <v>1</v>
      </c>
      <c r="E29">
        <v>120000</v>
      </c>
      <c r="F29" t="str">
        <v>North</v>
      </c>
      <c r="G29" t="str">
        <v>Abiola Ogun</v>
      </c>
      <c r="H29" t="str">
        <v>Transfer</v>
      </c>
      <c r="I29">
        <v>15</v>
      </c>
    </row>
    <row r="30" spans="1:9" x14ac:dyDescent="0.25">
      <c r="A30" s="11">
        <v>45672</v>
      </c>
      <c r="B30" t="str">
        <v>Furniture</v>
      </c>
      <c r="C30" t="str">
        <v>Bookshelf</v>
      </c>
      <c r="D30">
        <v>2</v>
      </c>
      <c r="E30">
        <v>45000</v>
      </c>
      <c r="F30" t="str">
        <v>West</v>
      </c>
      <c r="G30" t="str">
        <v>Tunde Bakare</v>
      </c>
      <c r="H30" t="str">
        <v>Transfer</v>
      </c>
      <c r="I30">
        <v>0</v>
      </c>
    </row>
    <row r="31" spans="1:9" x14ac:dyDescent="0.25">
      <c r="A31" s="11">
        <v>45673</v>
      </c>
      <c r="B31" t="str">
        <v>Electronics</v>
      </c>
      <c r="C31" t="str">
        <v>Smartwatch</v>
      </c>
      <c r="D31">
        <v>2</v>
      </c>
      <c r="E31">
        <v>35000</v>
      </c>
      <c r="F31" t="str">
        <v>North</v>
      </c>
      <c r="G31" t="str">
        <v>Abiola Ogun</v>
      </c>
      <c r="H31" t="str">
        <v>Card</v>
      </c>
      <c r="I31">
        <v>0</v>
      </c>
    </row>
    <row r="32" spans="1:9" x14ac:dyDescent="0.25">
      <c r="A32" s="11">
        <v>45674</v>
      </c>
      <c r="B32" t="str">
        <v>Furniture</v>
      </c>
      <c r="C32" t="str">
        <v>Office Desk</v>
      </c>
      <c r="D32">
        <v>1</v>
      </c>
      <c r="E32">
        <v>85000</v>
      </c>
      <c r="F32" t="str">
        <v>East</v>
      </c>
      <c r="G32" t="str">
        <v>Femi Adebayo</v>
      </c>
      <c r="H32" t="str">
        <v>Transfer</v>
      </c>
      <c r="I32">
        <v>0</v>
      </c>
    </row>
    <row r="33" spans="1:9" x14ac:dyDescent="0.25">
      <c r="A33" s="11">
        <v>45675</v>
      </c>
      <c r="B33" t="str">
        <v>Clothing</v>
      </c>
      <c r="C33" t="str">
        <v>Dress</v>
      </c>
      <c r="D33">
        <v>3</v>
      </c>
      <c r="E33">
        <v>22000</v>
      </c>
      <c r="F33" t="str">
        <v>North</v>
      </c>
      <c r="G33" t="str">
        <v>Abiola Ogun</v>
      </c>
      <c r="H33" t="str">
        <v>Cash</v>
      </c>
      <c r="I33">
        <v>0</v>
      </c>
    </row>
    <row r="34" spans="1:9" x14ac:dyDescent="0.25">
      <c r="A34" s="11">
        <v>45675</v>
      </c>
      <c r="B34" t="str">
        <v>Furniture</v>
      </c>
      <c r="C34" t="str">
        <v>Wardrobe</v>
      </c>
      <c r="D34">
        <v>1</v>
      </c>
      <c r="E34">
        <v>180000</v>
      </c>
      <c r="F34" t="str">
        <v>South</v>
      </c>
      <c r="G34" t="str">
        <v>Chidi Nwosu</v>
      </c>
      <c r="H34" t="str">
        <v>Transfer</v>
      </c>
      <c r="I34">
        <v>0</v>
      </c>
    </row>
    <row r="35" spans="1:9" x14ac:dyDescent="0.25">
      <c r="A35" s="11">
        <v>45677</v>
      </c>
      <c r="B35" t="str">
        <v>Furniture</v>
      </c>
      <c r="C35" t="str">
        <v>Sofa Set</v>
      </c>
      <c r="D35">
        <v>1</v>
      </c>
      <c r="E35">
        <v>250000</v>
      </c>
      <c r="F35" t="str">
        <v>North</v>
      </c>
      <c r="G35" t="str">
        <v>Abiola Ogun</v>
      </c>
      <c r="H35" t="str">
        <v>Transfer</v>
      </c>
      <c r="I35">
        <v>0</v>
      </c>
    </row>
    <row r="36" spans="1:9" x14ac:dyDescent="0.25">
      <c r="A36" s="11">
        <v>45678</v>
      </c>
      <c r="B36" t="str">
        <v>Furniture</v>
      </c>
      <c r="C36" t="str">
        <v>Nightstand</v>
      </c>
      <c r="D36">
        <v>3</v>
      </c>
      <c r="E36">
        <v>25000</v>
      </c>
      <c r="F36" t="str">
        <v>West</v>
      </c>
      <c r="G36" t="str">
        <v>Tunde Bakare</v>
      </c>
      <c r="H36" t="str">
        <v>Transfer</v>
      </c>
      <c r="I36">
        <v>5</v>
      </c>
    </row>
    <row r="37" spans="1:9" x14ac:dyDescent="0.25">
      <c r="A37" s="11">
        <v>45679</v>
      </c>
      <c r="B37" t="str">
        <v>Electronics</v>
      </c>
      <c r="C37" t="str">
        <v>Printer</v>
      </c>
      <c r="D37">
        <v>1</v>
      </c>
      <c r="E37">
        <v>65000</v>
      </c>
      <c r="F37" t="str">
        <v>North</v>
      </c>
      <c r="G37" t="str">
        <v>Abiola Ogun</v>
      </c>
      <c r="H37" t="str">
        <v>Card</v>
      </c>
      <c r="I37">
        <v>0</v>
      </c>
    </row>
    <row r="38" spans="1:9" x14ac:dyDescent="0.25">
      <c r="A38" s="11">
        <v>45680</v>
      </c>
      <c r="B38" t="str">
        <v>Furniture</v>
      </c>
      <c r="C38" t="str">
        <v>Coffee Table</v>
      </c>
      <c r="D38">
        <v>2</v>
      </c>
      <c r="E38">
        <v>55000</v>
      </c>
      <c r="F38" t="str">
        <v>East</v>
      </c>
      <c r="G38" t="str">
        <v>Femi Adebayo</v>
      </c>
      <c r="H38" t="str">
        <v>Transfer</v>
      </c>
      <c r="I38">
        <v>0</v>
      </c>
    </row>
    <row r="39" spans="1:9" x14ac:dyDescent="0.25">
      <c r="A39" s="11">
        <v>45681</v>
      </c>
      <c r="B39" t="str">
        <v>Clothing</v>
      </c>
      <c r="C39" t="str">
        <v>Skirt</v>
      </c>
      <c r="D39">
        <v>4</v>
      </c>
      <c r="E39">
        <v>12000</v>
      </c>
      <c r="F39" t="str">
        <v>North</v>
      </c>
      <c r="G39" t="str">
        <v>Abiola Ogun</v>
      </c>
      <c r="H39" t="str">
        <v>Cash</v>
      </c>
      <c r="I39">
        <v>5</v>
      </c>
    </row>
    <row r="40" spans="1:9" x14ac:dyDescent="0.25">
      <c r="A40" s="11">
        <v>45681</v>
      </c>
      <c r="B40" t="str">
        <v>Furniture</v>
      </c>
      <c r="C40" t="str">
        <v>Drawer Unit</v>
      </c>
      <c r="D40">
        <v>2</v>
      </c>
      <c r="E40">
        <v>40000</v>
      </c>
      <c r="F40" t="str">
        <v>South</v>
      </c>
      <c r="G40" t="str">
        <v>Chidi Nwosu</v>
      </c>
      <c r="H40" t="str">
        <v>Transfer</v>
      </c>
      <c r="I40">
        <v>0</v>
      </c>
    </row>
    <row r="41" spans="1:9" x14ac:dyDescent="0.25">
      <c r="A41" s="11">
        <v>45683</v>
      </c>
      <c r="B41" t="str">
        <v>Furniture</v>
      </c>
      <c r="C41" t="str">
        <v>Shoe Rack</v>
      </c>
      <c r="D41">
        <v>2</v>
      </c>
      <c r="E41">
        <v>15000</v>
      </c>
      <c r="F41" t="str">
        <v>North</v>
      </c>
      <c r="G41" t="str">
        <v>Abiola Ogun</v>
      </c>
      <c r="H41" t="str">
        <v>Transfer</v>
      </c>
      <c r="I41">
        <v>0</v>
      </c>
    </row>
    <row r="42" spans="1:9" x14ac:dyDescent="0.25">
      <c r="A42" s="11">
        <v>45684</v>
      </c>
      <c r="B42" t="str">
        <v>Furniture</v>
      </c>
      <c r="C42" t="str">
        <v>Desk Lamp</v>
      </c>
      <c r="D42">
        <v>3</v>
      </c>
      <c r="E42">
        <v>12000</v>
      </c>
      <c r="F42" t="str">
        <v>West</v>
      </c>
      <c r="G42" t="str">
        <v>Tunde Bakare</v>
      </c>
      <c r="H42" t="str">
        <v>Transfer</v>
      </c>
      <c r="I42">
        <v>0</v>
      </c>
    </row>
    <row r="43" spans="1:9" x14ac:dyDescent="0.25">
      <c r="A43" s="11">
        <v>45685</v>
      </c>
      <c r="B43" t="str">
        <v>Electronics</v>
      </c>
      <c r="C43" t="str">
        <v>USBCable</v>
      </c>
      <c r="D43">
        <v>15</v>
      </c>
      <c r="E43">
        <v>2000</v>
      </c>
      <c r="F43" t="str">
        <v>North</v>
      </c>
      <c r="G43" t="str">
        <v>Abiola Ogun</v>
      </c>
      <c r="H43" t="str">
        <v>Card</v>
      </c>
      <c r="I43">
        <v>10</v>
      </c>
    </row>
    <row r="44" spans="1:9" x14ac:dyDescent="0.25">
      <c r="A44" s="11">
        <v>45686</v>
      </c>
      <c r="B44" t="str">
        <v>Furniture</v>
      </c>
      <c r="C44" t="str">
        <v>Mirror</v>
      </c>
      <c r="D44">
        <v>2</v>
      </c>
      <c r="E44">
        <v>25000</v>
      </c>
      <c r="F44" t="str">
        <v>East</v>
      </c>
      <c r="G44" t="str">
        <v>Femi Adebayo</v>
      </c>
      <c r="H44" t="str">
        <v>Transfer</v>
      </c>
      <c r="I44">
        <v>0</v>
      </c>
    </row>
    <row r="45" spans="1:9" x14ac:dyDescent="0.25">
      <c r="A45" s="11">
        <v>45687</v>
      </c>
      <c r="B45" t="str">
        <v>Clothing</v>
      </c>
      <c r="C45" t="str">
        <v>Scarf</v>
      </c>
      <c r="D45">
        <v>7</v>
      </c>
      <c r="E45">
        <v>3000</v>
      </c>
      <c r="F45" t="str">
        <v>North</v>
      </c>
      <c r="G45" t="str">
        <v>Abiola Ogun</v>
      </c>
      <c r="H45" t="str">
        <v>Cash</v>
      </c>
      <c r="I45">
        <v>0</v>
      </c>
    </row>
    <row r="46" spans="1:9" x14ac:dyDescent="0.25">
      <c r="A46" s="11">
        <v>45687</v>
      </c>
      <c r="B46" t="str">
        <v>Furniture</v>
      </c>
      <c r="C46" t="str">
        <v>CoatRack</v>
      </c>
      <c r="D46">
        <v>2</v>
      </c>
      <c r="E46">
        <v>18000</v>
      </c>
      <c r="F46" t="str">
        <v>South</v>
      </c>
      <c r="G46" t="str">
        <v>Chidi Nwosu</v>
      </c>
      <c r="H46" t="str">
        <v>Transfer</v>
      </c>
      <c r="I46">
        <v>0</v>
      </c>
    </row>
    <row r="47" spans="1:9" x14ac:dyDescent="0.25">
      <c r="A47" s="11">
        <v>45689</v>
      </c>
      <c r="B47" t="str">
        <v>Furniture</v>
      </c>
      <c r="C47" t="str">
        <v>MagazineRack</v>
      </c>
      <c r="D47">
        <v>2</v>
      </c>
      <c r="E47">
        <v>10000</v>
      </c>
      <c r="F47" t="str">
        <v>North</v>
      </c>
      <c r="G47" t="str">
        <v>Abiola Ogun</v>
      </c>
      <c r="H47" t="str">
        <v>Transfer</v>
      </c>
      <c r="I47">
        <v>5</v>
      </c>
    </row>
    <row r="48" spans="1:9" x14ac:dyDescent="0.25">
      <c r="A48" s="11">
        <v>45690</v>
      </c>
      <c r="B48" t="str">
        <v>Furniture</v>
      </c>
      <c r="C48" t="str">
        <v>FilingCabinet</v>
      </c>
      <c r="D48">
        <v>1</v>
      </c>
      <c r="E48">
        <v>35000</v>
      </c>
      <c r="F48" t="str">
        <v>West</v>
      </c>
      <c r="G48" t="str">
        <v>Tunde Bakare</v>
      </c>
      <c r="H48" t="str">
        <v>Transfer</v>
      </c>
      <c r="I48">
        <v>10</v>
      </c>
    </row>
    <row r="49" spans="1:9" x14ac:dyDescent="0.25">
      <c r="A49" s="11">
        <v>45691</v>
      </c>
      <c r="B49" t="str">
        <v>Electronics</v>
      </c>
      <c r="C49" t="str">
        <v>Microphone</v>
      </c>
      <c r="D49">
        <v>2</v>
      </c>
      <c r="E49">
        <v>20000</v>
      </c>
      <c r="F49" t="str">
        <v>North</v>
      </c>
      <c r="G49" t="str">
        <v>Abiola Ogun</v>
      </c>
      <c r="H49" t="str">
        <v>Card</v>
      </c>
      <c r="I49">
        <v>0</v>
      </c>
    </row>
    <row r="50" spans="1:9" x14ac:dyDescent="0.25">
      <c r="A50" s="11">
        <v>45692</v>
      </c>
      <c r="B50" t="str">
        <v>Furniture</v>
      </c>
      <c r="C50" t="str">
        <v>BeanBag</v>
      </c>
      <c r="D50">
        <v>3</v>
      </c>
      <c r="E50">
        <v>25000</v>
      </c>
      <c r="F50" t="str">
        <v>East</v>
      </c>
      <c r="G50" t="str">
        <v>Femi Adebayo</v>
      </c>
      <c r="H50" t="str">
        <v>Transfer</v>
      </c>
      <c r="I50">
        <v>5</v>
      </c>
    </row>
    <row r="51" spans="1:9" x14ac:dyDescent="0.25">
      <c r="A51" s="11">
        <v>45693</v>
      </c>
      <c r="B51" t="str">
        <v>Clothing</v>
      </c>
      <c r="C51" t="str">
        <v>Bracelet</v>
      </c>
      <c r="D51">
        <v>8</v>
      </c>
      <c r="E51">
        <v>5000</v>
      </c>
      <c r="F51" t="str">
        <v>North</v>
      </c>
      <c r="G51" t="str">
        <v>Abiola Ogun</v>
      </c>
      <c r="H51" t="str">
        <v>Cash</v>
      </c>
      <c r="I51">
        <v>10</v>
      </c>
    </row>
    <row r="52" spans="1:9" x14ac:dyDescent="0.25">
      <c r="A52" s="11">
        <v>45693</v>
      </c>
      <c r="B52" t="str">
        <v>Furniture</v>
      </c>
      <c r="C52" t="str">
        <v>WallClock</v>
      </c>
      <c r="D52">
        <v>3</v>
      </c>
      <c r="E52">
        <v>12000</v>
      </c>
      <c r="F52" t="str">
        <v>South</v>
      </c>
      <c r="G52" t="str">
        <v>Chidi Nwosu</v>
      </c>
      <c r="H52" t="str">
        <v>Transfer</v>
      </c>
      <c r="I52">
        <v>0</v>
      </c>
    </row>
    <row r="53" spans="1:9" x14ac:dyDescent="0.25">
      <c r="A53" s="11">
        <v>45695</v>
      </c>
      <c r="B53" t="str">
        <v>Furniture</v>
      </c>
      <c r="C53" t="str">
        <v>PlantStand</v>
      </c>
      <c r="D53">
        <v>3</v>
      </c>
      <c r="E53">
        <v>8000</v>
      </c>
      <c r="F53" t="str">
        <v>North</v>
      </c>
      <c r="G53" t="str">
        <v>Abiola Ogun</v>
      </c>
      <c r="H53" t="str">
        <v>Transfer</v>
      </c>
      <c r="I53">
        <v>0</v>
      </c>
    </row>
    <row r="54" spans="1:9" x14ac:dyDescent="0.25">
      <c r="A54" s="11">
        <v>45696</v>
      </c>
      <c r="B54" t="str">
        <v>Furniture</v>
      </c>
      <c r="C54" t="str">
        <v>BarStool</v>
      </c>
      <c r="D54">
        <v>4</v>
      </c>
      <c r="E54">
        <v>20000</v>
      </c>
      <c r="F54" t="str">
        <v>West</v>
      </c>
      <c r="G54" t="str">
        <v>Tunde Bakare</v>
      </c>
      <c r="H54" t="str">
        <v>Transfer</v>
      </c>
      <c r="I54">
        <v>0</v>
      </c>
    </row>
    <row r="55" spans="1:9" x14ac:dyDescent="0.25">
      <c r="A55" s="11">
        <v>45697</v>
      </c>
      <c r="B55" t="str">
        <v>Electronics</v>
      </c>
      <c r="C55" t="str">
        <v>SmartLight</v>
      </c>
      <c r="D55">
        <v>5</v>
      </c>
      <c r="E55">
        <v>8000</v>
      </c>
      <c r="F55" t="str">
        <v>North</v>
      </c>
      <c r="G55" t="str">
        <v>Abiola Ogun</v>
      </c>
      <c r="H55" t="str">
        <v>Card</v>
      </c>
      <c r="I55">
        <v>10</v>
      </c>
    </row>
    <row r="56" spans="1:9" x14ac:dyDescent="0.25">
      <c r="A56" s="11">
        <v>45698</v>
      </c>
      <c r="B56" t="str">
        <v>Furniture</v>
      </c>
      <c r="C56" t="str">
        <v>Rug</v>
      </c>
      <c r="D56">
        <v>2</v>
      </c>
      <c r="E56">
        <v>45000</v>
      </c>
      <c r="F56" t="str">
        <v>East</v>
      </c>
      <c r="G56" t="str">
        <v>Femi Adebayo</v>
      </c>
      <c r="H56" t="str">
        <v>Transfer</v>
      </c>
      <c r="I56">
        <v>0</v>
      </c>
    </row>
    <row r="57" spans="1:9" x14ac:dyDescent="0.25">
      <c r="A57" s="11">
        <v>45699</v>
      </c>
      <c r="B57" t="str">
        <v>Clothing</v>
      </c>
      <c r="C57" t="str">
        <v>Handbag</v>
      </c>
      <c r="D57">
        <v>1</v>
      </c>
      <c r="E57">
        <v>35000</v>
      </c>
      <c r="F57" t="str">
        <v>North</v>
      </c>
      <c r="G57" t="str">
        <v>Abiola Ogun</v>
      </c>
      <c r="H57" t="str">
        <v>Cash</v>
      </c>
      <c r="I57">
        <v>0</v>
      </c>
    </row>
    <row r="58" spans="1:9" x14ac:dyDescent="0.25">
      <c r="A58" s="11">
        <v>45699</v>
      </c>
      <c r="B58" t="str">
        <v>Furniture</v>
      </c>
      <c r="C58" t="str">
        <v>TVStand</v>
      </c>
      <c r="D58">
        <v>1</v>
      </c>
      <c r="E58">
        <v>65000</v>
      </c>
      <c r="F58" t="str">
        <v>South</v>
      </c>
      <c r="G58" t="str">
        <v>Chidi Nwosu</v>
      </c>
      <c r="H58" t="str">
        <v>Transfer</v>
      </c>
      <c r="I58">
        <v>15</v>
      </c>
    </row>
    <row r="59" spans="1:9" x14ac:dyDescent="0.25">
      <c r="A59" s="11">
        <v>45701</v>
      </c>
      <c r="B59" t="str">
        <v>Furniture</v>
      </c>
      <c r="C59" t="str">
        <v>LaundryBasket</v>
      </c>
      <c r="D59">
        <v>3</v>
      </c>
      <c r="E59">
        <v>8000</v>
      </c>
      <c r="F59" t="str">
        <v>North</v>
      </c>
      <c r="G59" t="str">
        <v>Abiola Ogun</v>
      </c>
      <c r="H59" t="str">
        <v>Transfer</v>
      </c>
      <c r="I59">
        <v>0</v>
      </c>
    </row>
    <row r="60" spans="1:9" x14ac:dyDescent="0.25">
      <c r="A60" s="11">
        <v>45702</v>
      </c>
      <c r="B60" t="str">
        <v>Furniture</v>
      </c>
      <c r="C60" t="str">
        <v>Stool</v>
      </c>
      <c r="D60">
        <v>5</v>
      </c>
      <c r="E60">
        <v>7000</v>
      </c>
      <c r="F60" t="str">
        <v>West</v>
      </c>
      <c r="G60" t="str">
        <v>Tunde Bakare</v>
      </c>
      <c r="H60" t="str">
        <v>Transfer</v>
      </c>
      <c r="I60">
        <v>0</v>
      </c>
    </row>
    <row r="61" spans="1:9" x14ac:dyDescent="0.25">
      <c r="A61" s="11">
        <v>45703</v>
      </c>
      <c r="B61" t="str">
        <v>Electronics</v>
      </c>
      <c r="C61" t="str">
        <v>VRHeadset</v>
      </c>
      <c r="D61">
        <v>1</v>
      </c>
      <c r="E61">
        <v>150000</v>
      </c>
      <c r="F61" t="str">
        <v>North</v>
      </c>
      <c r="G61" t="str">
        <v>Abiola Ogun</v>
      </c>
      <c r="H61" t="str">
        <v>Card</v>
      </c>
      <c r="I61">
        <v>0</v>
      </c>
    </row>
    <row r="62" spans="1:9" x14ac:dyDescent="0.25">
      <c r="A62" s="11">
        <v>45704</v>
      </c>
      <c r="B62" t="str">
        <v>Furniture</v>
      </c>
      <c r="C62" t="str">
        <v>Curtains</v>
      </c>
      <c r="D62">
        <v>3</v>
      </c>
      <c r="E62">
        <v>20000</v>
      </c>
      <c r="F62" t="str">
        <v>East</v>
      </c>
      <c r="G62" t="str">
        <v>Femi Adebayo</v>
      </c>
      <c r="H62" t="str">
        <v>Transfer</v>
      </c>
      <c r="I62">
        <v>0</v>
      </c>
    </row>
    <row r="63" spans="1:9" x14ac:dyDescent="0.25">
      <c r="A63" s="11">
        <v>45705</v>
      </c>
      <c r="B63" t="str">
        <v>Clothing</v>
      </c>
      <c r="C63" t="str">
        <v>Sandals</v>
      </c>
      <c r="D63">
        <v>3</v>
      </c>
      <c r="E63">
        <v>12000</v>
      </c>
      <c r="F63" t="str">
        <v>North</v>
      </c>
      <c r="G63" t="str">
        <v>Abiola Ogun</v>
      </c>
      <c r="H63" t="str">
        <v>Cash</v>
      </c>
      <c r="I63">
        <v>5</v>
      </c>
    </row>
    <row r="64" spans="1:9" x14ac:dyDescent="0.25">
      <c r="A64" s="11">
        <v>45705</v>
      </c>
      <c r="B64" t="str">
        <v>Furniture</v>
      </c>
      <c r="C64" t="str">
        <v>KeyHolder</v>
      </c>
      <c r="D64">
        <v>7</v>
      </c>
      <c r="E64">
        <v>3000</v>
      </c>
      <c r="F64" t="str">
        <v>South</v>
      </c>
      <c r="G64" t="str">
        <v>Chidi Nwosu</v>
      </c>
      <c r="H64" t="str">
        <v>Transfer</v>
      </c>
      <c r="I64">
        <v>0</v>
      </c>
    </row>
    <row r="65" spans="1:9" x14ac:dyDescent="0.25">
      <c r="A65" s="11">
        <v>45707</v>
      </c>
      <c r="B65" t="str">
        <v>Furniture</v>
      </c>
      <c r="C65" t="str">
        <v>WallShelf</v>
      </c>
      <c r="D65">
        <v>3</v>
      </c>
      <c r="E65">
        <v>12000</v>
      </c>
      <c r="F65" t="str">
        <v>North</v>
      </c>
      <c r="G65" t="str">
        <v>Abiola Ogun</v>
      </c>
      <c r="H65" t="str">
        <v>Transfer</v>
      </c>
      <c r="I65">
        <v>0</v>
      </c>
    </row>
    <row r="66" spans="1:9" x14ac:dyDescent="0.25">
      <c r="A66" s="11">
        <v>45708</v>
      </c>
      <c r="B66" t="str">
        <v>Furniture</v>
      </c>
      <c r="C66" t="str">
        <v>PetBed</v>
      </c>
      <c r="D66">
        <v>3</v>
      </c>
      <c r="E66">
        <v>10000</v>
      </c>
      <c r="F66" t="str">
        <v>West</v>
      </c>
      <c r="G66" t="str">
        <v>Tunde Bakare</v>
      </c>
      <c r="H66" t="str">
        <v>Transfer</v>
      </c>
      <c r="I66">
        <v>0</v>
      </c>
    </row>
    <row r="67" spans="1:9" x14ac:dyDescent="0.25">
      <c r="A67" s="11">
        <v>45709</v>
      </c>
      <c r="B67" t="str">
        <v>Electronics</v>
      </c>
      <c r="C67" t="str">
        <v>DockingStation</v>
      </c>
      <c r="D67">
        <v>1</v>
      </c>
      <c r="E67">
        <v>25000</v>
      </c>
      <c r="F67" t="str">
        <v>North</v>
      </c>
      <c r="G67" t="str">
        <v>Abiola Ogun</v>
      </c>
      <c r="H67" t="str">
        <v>Card</v>
      </c>
      <c r="I67">
        <v>0</v>
      </c>
    </row>
    <row r="68" spans="1:9" x14ac:dyDescent="0.25">
      <c r="A68" s="11">
        <v>45710</v>
      </c>
      <c r="B68" t="str">
        <v>Furniture</v>
      </c>
      <c r="C68" t="str">
        <v>TVRemoteHolder</v>
      </c>
      <c r="D68">
        <v>8</v>
      </c>
      <c r="E68">
        <v>2000</v>
      </c>
      <c r="F68" t="str">
        <v>East</v>
      </c>
      <c r="G68" t="str">
        <v>Femi Adebayo</v>
      </c>
      <c r="H68" t="str">
        <v>Transfer</v>
      </c>
      <c r="I68">
        <v>0</v>
      </c>
    </row>
    <row r="69" spans="1:9" x14ac:dyDescent="0.25">
      <c r="A69" s="11">
        <v>45711</v>
      </c>
      <c r="B69" t="str">
        <v>Clothing</v>
      </c>
      <c r="C69" t="str">
        <v>Necktie</v>
      </c>
      <c r="D69">
        <v>6</v>
      </c>
      <c r="E69">
        <v>5000</v>
      </c>
      <c r="F69" t="str">
        <v>North</v>
      </c>
      <c r="G69" t="str">
        <v>Abiola Ogun</v>
      </c>
      <c r="H69" t="str">
        <v>Cash</v>
      </c>
      <c r="I69">
        <v>0</v>
      </c>
    </row>
    <row r="70" spans="1:9" x14ac:dyDescent="0.25">
      <c r="A70" s="11">
        <v>45711</v>
      </c>
      <c r="B70" t="str">
        <v>Furniture</v>
      </c>
      <c r="C70" t="str">
        <v>FoldableTable</v>
      </c>
      <c r="D70">
        <v>3</v>
      </c>
      <c r="E70">
        <v>15000</v>
      </c>
      <c r="F70" t="str">
        <v>South</v>
      </c>
      <c r="G70" t="str">
        <v>Chidi Nwosu</v>
      </c>
      <c r="H70" t="str">
        <v>Transfer</v>
      </c>
      <c r="I70">
        <v>0</v>
      </c>
    </row>
    <row r="71" spans="1:9" x14ac:dyDescent="0.25">
      <c r="A71" s="11">
        <v>45713</v>
      </c>
      <c r="B71" t="str">
        <v>Furniture</v>
      </c>
      <c r="C71" t="str">
        <v>VanityStool</v>
      </c>
      <c r="D71">
        <v>2</v>
      </c>
      <c r="E71">
        <v>18000</v>
      </c>
      <c r="F71" t="str">
        <v>North</v>
      </c>
      <c r="G71" t="str">
        <v>Abiola Ogun</v>
      </c>
      <c r="H71" t="str">
        <v>Transfer</v>
      </c>
      <c r="I71">
        <v>0</v>
      </c>
    </row>
    <row r="72" spans="1:9" x14ac:dyDescent="0.25">
      <c r="A72" s="11">
        <v>45714</v>
      </c>
      <c r="B72" t="str">
        <v>Furniture</v>
      </c>
      <c r="C72" t="str">
        <v>WallArt</v>
      </c>
      <c r="D72">
        <v>4</v>
      </c>
      <c r="E72">
        <v>15000</v>
      </c>
      <c r="F72" t="str">
        <v>West</v>
      </c>
      <c r="G72" t="str">
        <v>Tunde Bakare</v>
      </c>
      <c r="H72" t="str">
        <v>Transfer</v>
      </c>
      <c r="I72">
        <v>5</v>
      </c>
    </row>
    <row r="73" spans="1:9" x14ac:dyDescent="0.25">
      <c r="A73" s="11">
        <v>45715</v>
      </c>
      <c r="B73" t="str">
        <v>Electronics</v>
      </c>
      <c r="C73" t="str">
        <v>CableOrganizer</v>
      </c>
      <c r="D73">
        <v>6</v>
      </c>
      <c r="E73">
        <v>3000</v>
      </c>
      <c r="F73" t="str">
        <v>North</v>
      </c>
      <c r="G73" t="str">
        <v>Abiola Ogun</v>
      </c>
      <c r="H73" t="str">
        <v>Card</v>
      </c>
      <c r="I73">
        <v>0</v>
      </c>
    </row>
    <row r="74" spans="1:9" x14ac:dyDescent="0.25">
      <c r="A74" s="11">
        <v>45716</v>
      </c>
      <c r="B74" t="str">
        <v>Furniture</v>
      </c>
      <c r="C74" t="str">
        <v>FloorLamp</v>
      </c>
      <c r="D74">
        <v>2</v>
      </c>
      <c r="E74">
        <v>25000</v>
      </c>
      <c r="F74" t="str">
        <v>East</v>
      </c>
      <c r="G74" t="str">
        <v>Femi Adebayo</v>
      </c>
      <c r="H74" t="str">
        <v>Transfer</v>
      </c>
      <c r="I74">
        <v>5</v>
      </c>
    </row>
    <row r="75" spans="1:9" x14ac:dyDescent="0.25">
      <c r="A75" s="11">
        <v>45669</v>
      </c>
      <c r="B75" t="str">
        <v>Electronics</v>
      </c>
      <c r="C75" t="str">
        <v>BluetoothSpeaker</v>
      </c>
      <c r="D75">
        <v>3</v>
      </c>
      <c r="E75">
        <v>35000</v>
      </c>
      <c r="F75" t="str">
        <v>North</v>
      </c>
      <c r="G75" t="str">
        <v>Abiola Ogun</v>
      </c>
      <c r="H75" t="str">
        <v>Card</v>
      </c>
      <c r="I75">
        <v>10</v>
      </c>
    </row>
    <row r="76" spans="1:9" x14ac:dyDescent="0.25">
      <c r="A76" s="11">
        <v>45671</v>
      </c>
      <c r="B76" t="str">
        <v>Furniture</v>
      </c>
      <c r="C76" t="str">
        <v>OfficeStool</v>
      </c>
      <c r="D76">
        <v>4</v>
      </c>
      <c r="E76">
        <v>12000</v>
      </c>
      <c r="F76" t="str">
        <v>East</v>
      </c>
      <c r="G76" t="str">
        <v>Femi Adebayo</v>
      </c>
      <c r="H76" t="str">
        <v>Transfer</v>
      </c>
      <c r="I76">
        <v>5</v>
      </c>
    </row>
    <row r="77" spans="1:9" x14ac:dyDescent="0.25">
      <c r="A77" s="11">
        <v>45673</v>
      </c>
      <c r="B77" t="str">
        <v>Clothing</v>
      </c>
      <c r="C77" t="str">
        <v>Hoodie</v>
      </c>
      <c r="D77">
        <v>3</v>
      </c>
      <c r="E77">
        <v>22000</v>
      </c>
      <c r="F77" t="str">
        <v>North</v>
      </c>
      <c r="G77" t="str">
        <v>Abiola Ogun</v>
      </c>
      <c r="H77" t="str">
        <v>Cash</v>
      </c>
      <c r="I77">
        <v>0</v>
      </c>
    </row>
    <row r="78" spans="1:9" x14ac:dyDescent="0.25">
      <c r="A78" s="11">
        <v>45674</v>
      </c>
      <c r="B78" t="str">
        <v>Furniture</v>
      </c>
      <c r="C78" t="str">
        <v>PatioChair</v>
      </c>
      <c r="D78">
        <v>5</v>
      </c>
      <c r="E78">
        <v>18000</v>
      </c>
      <c r="F78" t="str">
        <v>South</v>
      </c>
      <c r="G78" t="str">
        <v>Chidi Nwosu</v>
      </c>
      <c r="H78" t="str">
        <v>Transfer</v>
      </c>
      <c r="I78">
        <v>10</v>
      </c>
    </row>
    <row r="79" spans="1:9" x14ac:dyDescent="0.25">
      <c r="A79" s="11">
        <v>45677</v>
      </c>
      <c r="B79" t="str">
        <v>Furniture</v>
      </c>
      <c r="C79" t="str">
        <v>Bookcase</v>
      </c>
      <c r="D79">
        <v>2</v>
      </c>
      <c r="E79">
        <v>55000</v>
      </c>
      <c r="F79" t="str">
        <v>North</v>
      </c>
      <c r="G79" t="str">
        <v>Abiola Ogun</v>
      </c>
      <c r="H79" t="str">
        <v>Transfer</v>
      </c>
      <c r="I79">
        <v>0</v>
      </c>
    </row>
    <row r="80" spans="1:9" x14ac:dyDescent="0.25">
      <c r="A80" s="11">
        <v>45680</v>
      </c>
      <c r="B80" t="str">
        <v>Furniture</v>
      </c>
      <c r="C80" t="str">
        <v>StorageOttoman</v>
      </c>
      <c r="D80">
        <v>2</v>
      </c>
      <c r="E80">
        <v>35000</v>
      </c>
      <c r="F80" t="str">
        <v>West</v>
      </c>
      <c r="G80" t="str">
        <v>Tunde Bakare</v>
      </c>
      <c r="H80" t="str">
        <v>Transfer</v>
      </c>
      <c r="I80">
        <v>0</v>
      </c>
    </row>
    <row r="81" spans="1:9" x14ac:dyDescent="0.25">
      <c r="A81" s="11">
        <v>45681</v>
      </c>
      <c r="B81" t="str">
        <v>Electronics</v>
      </c>
      <c r="C81" t="str">
        <v>GamingMouse</v>
      </c>
      <c r="D81">
        <v>3</v>
      </c>
      <c r="E81">
        <v>25000</v>
      </c>
      <c r="F81" t="str">
        <v>North</v>
      </c>
      <c r="G81" t="str">
        <v>Abiola Ogun</v>
      </c>
      <c r="H81" t="str">
        <v>Card</v>
      </c>
      <c r="I81">
        <v>5</v>
      </c>
    </row>
    <row r="82" spans="1:9" x14ac:dyDescent="0.25">
      <c r="A82" s="11">
        <v>45683</v>
      </c>
      <c r="B82" t="str">
        <v>Furniture</v>
      </c>
      <c r="C82" t="str">
        <v>Futon</v>
      </c>
      <c r="D82">
        <v>2</v>
      </c>
      <c r="E82">
        <v>65000</v>
      </c>
      <c r="F82" t="str">
        <v>East</v>
      </c>
      <c r="G82" t="str">
        <v>Femi Adebayo</v>
      </c>
      <c r="H82" t="str">
        <v>Transfer</v>
      </c>
      <c r="I82">
        <v>0</v>
      </c>
    </row>
    <row r="83" spans="1:9" x14ac:dyDescent="0.25">
      <c r="A83" s="11">
        <v>45685</v>
      </c>
      <c r="B83" t="str">
        <v>Clothing</v>
      </c>
      <c r="C83" t="str">
        <v>Tracksuit</v>
      </c>
      <c r="D83">
        <v>3</v>
      </c>
      <c r="E83">
        <v>20000</v>
      </c>
      <c r="F83" t="str">
        <v>North</v>
      </c>
      <c r="G83" t="str">
        <v>Abiola Ogun</v>
      </c>
      <c r="H83" t="str">
        <v>Cash</v>
      </c>
      <c r="I83">
        <v>0</v>
      </c>
    </row>
    <row r="84" spans="1:9" x14ac:dyDescent="0.25">
      <c r="A84" s="11">
        <v>45686</v>
      </c>
      <c r="B84" t="str">
        <v>Furniture</v>
      </c>
      <c r="C84" t="str">
        <v>BeanBagCover</v>
      </c>
      <c r="D84">
        <v>5</v>
      </c>
      <c r="E84">
        <v>8000</v>
      </c>
      <c r="F84" t="str">
        <v>South</v>
      </c>
      <c r="G84" t="str">
        <v>Chidi Nwosu</v>
      </c>
      <c r="H84" t="str">
        <v>Transfer</v>
      </c>
      <c r="I84">
        <v>5</v>
      </c>
    </row>
    <row r="85" spans="1:9" x14ac:dyDescent="0.25">
      <c r="A85" s="11">
        <v>45689</v>
      </c>
      <c r="B85" t="str">
        <v>Furniture</v>
      </c>
      <c r="C85" t="str">
        <v>WallMirror</v>
      </c>
      <c r="D85">
        <v>2</v>
      </c>
      <c r="E85">
        <v>18000</v>
      </c>
      <c r="F85" t="str">
        <v>North</v>
      </c>
      <c r="G85" t="str">
        <v>Abiola Ogun</v>
      </c>
      <c r="H85" t="str">
        <v>Transfer</v>
      </c>
      <c r="I85">
        <v>5</v>
      </c>
    </row>
    <row r="86" spans="1:9" x14ac:dyDescent="0.25">
      <c r="A86" s="11">
        <v>45692</v>
      </c>
      <c r="B86" t="str">
        <v>Furniture</v>
      </c>
      <c r="C86" t="str">
        <v>LaundryHamper</v>
      </c>
      <c r="D86">
        <v>3</v>
      </c>
      <c r="E86">
        <v>10000</v>
      </c>
      <c r="F86" t="str">
        <v>West</v>
      </c>
      <c r="G86" t="str">
        <v>Tunde Bakare</v>
      </c>
      <c r="H86" t="str">
        <v>Transfer</v>
      </c>
      <c r="I86">
        <v>10</v>
      </c>
    </row>
    <row r="87" spans="1:9" x14ac:dyDescent="0.25">
      <c r="A87" s="11">
        <v>45693</v>
      </c>
      <c r="B87" t="str">
        <v>Electronics</v>
      </c>
      <c r="C87" t="str">
        <v>USBFan</v>
      </c>
      <c r="D87">
        <v>7</v>
      </c>
      <c r="E87">
        <v>3000</v>
      </c>
      <c r="F87" t="str">
        <v>North</v>
      </c>
      <c r="G87" t="str">
        <v>Abiola Ogun</v>
      </c>
      <c r="H87" t="str">
        <v>Card</v>
      </c>
      <c r="I87">
        <v>0</v>
      </c>
    </row>
    <row r="88" spans="1:9" x14ac:dyDescent="0.25">
      <c r="A88" s="11">
        <v>45695</v>
      </c>
      <c r="B88" t="str">
        <v>Furniture</v>
      </c>
      <c r="C88" t="str">
        <v>CornerShelf</v>
      </c>
      <c r="D88">
        <v>2</v>
      </c>
      <c r="E88">
        <v>22000</v>
      </c>
      <c r="F88" t="str">
        <v>East</v>
      </c>
      <c r="G88" t="str">
        <v>Femi Adebayo</v>
      </c>
      <c r="H88" t="str">
        <v>Transfer</v>
      </c>
      <c r="I88">
        <v>0</v>
      </c>
    </row>
    <row r="89" spans="1:9" x14ac:dyDescent="0.25">
      <c r="A89" s="11">
        <v>45697</v>
      </c>
      <c r="B89" t="str">
        <v>Clothing</v>
      </c>
      <c r="C89" t="str">
        <v>Sweatpants</v>
      </c>
      <c r="D89">
        <v>4</v>
      </c>
      <c r="E89">
        <v>12000</v>
      </c>
      <c r="F89" t="str">
        <v>North</v>
      </c>
      <c r="G89" t="str">
        <v>Abiola Ogun</v>
      </c>
      <c r="H89" t="str">
        <v>Cash</v>
      </c>
      <c r="I89">
        <v>5</v>
      </c>
    </row>
    <row r="90" spans="1:9" x14ac:dyDescent="0.25">
      <c r="A90" s="11">
        <v>45698</v>
      </c>
      <c r="B90" t="str">
        <v>Furniture</v>
      </c>
      <c r="C90" t="str">
        <v>Footstool</v>
      </c>
      <c r="D90">
        <v>3</v>
      </c>
      <c r="E90">
        <v>8000</v>
      </c>
      <c r="F90" t="str">
        <v>South</v>
      </c>
      <c r="G90" t="str">
        <v>Chidi Nwosu</v>
      </c>
      <c r="H90" t="str">
        <v>Transfer</v>
      </c>
      <c r="I90">
        <v>0</v>
      </c>
    </row>
    <row r="91" spans="1:9" x14ac:dyDescent="0.25">
      <c r="A91" s="11">
        <v>45701</v>
      </c>
      <c r="B91" t="str">
        <v>Furniture</v>
      </c>
      <c r="C91" t="str">
        <v>MagazineHolder</v>
      </c>
      <c r="D91">
        <v>5</v>
      </c>
      <c r="E91">
        <v>7000</v>
      </c>
      <c r="F91" t="str">
        <v>North</v>
      </c>
      <c r="G91" t="str">
        <v>Abiola Ogun</v>
      </c>
      <c r="H91" t="str">
        <v>Transfer</v>
      </c>
      <c r="I91">
        <v>0</v>
      </c>
    </row>
    <row r="92" spans="1:9" x14ac:dyDescent="0.25">
      <c r="A92" s="11">
        <v>45704</v>
      </c>
      <c r="B92" t="str">
        <v>Furniture</v>
      </c>
      <c r="C92" t="str">
        <v>WineRack</v>
      </c>
      <c r="D92">
        <v>2</v>
      </c>
      <c r="E92">
        <v>12000</v>
      </c>
      <c r="F92" t="str">
        <v>West</v>
      </c>
      <c r="G92" t="str">
        <v>Tunde Bakare</v>
      </c>
      <c r="H92" t="str">
        <v>Transfer</v>
      </c>
      <c r="I92">
        <v>0</v>
      </c>
    </row>
    <row r="93" spans="1:9" x14ac:dyDescent="0.25">
      <c r="A93" s="11">
        <v>45705</v>
      </c>
      <c r="B93" t="str">
        <v>Electronics</v>
      </c>
      <c r="C93" t="str">
        <v>SmartSpeaker</v>
      </c>
      <c r="D93">
        <v>2</v>
      </c>
      <c r="E93">
        <v>45000</v>
      </c>
      <c r="F93" t="str">
        <v>North</v>
      </c>
      <c r="G93" t="str">
        <v>Abiola Ogun</v>
      </c>
      <c r="H93" t="str">
        <v>Card</v>
      </c>
      <c r="I93">
        <v>10</v>
      </c>
    </row>
    <row r="94" spans="1:9" x14ac:dyDescent="0.25">
      <c r="A94" s="11">
        <v>45707</v>
      </c>
      <c r="B94" t="str">
        <v>Furniture</v>
      </c>
      <c r="C94" t="str">
        <v>ShowerCaddy</v>
      </c>
      <c r="D94">
        <v>5</v>
      </c>
      <c r="E94">
        <v>5000</v>
      </c>
      <c r="F94" t="str">
        <v>East</v>
      </c>
      <c r="G94" t="str">
        <v>Femi Adebayo</v>
      </c>
      <c r="H94" t="str">
        <v>Transfer</v>
      </c>
      <c r="I94">
        <v>5</v>
      </c>
    </row>
    <row r="95" spans="1:9" x14ac:dyDescent="0.25">
      <c r="A95" s="11">
        <v>45709</v>
      </c>
      <c r="B95" t="str">
        <v>Clothing</v>
      </c>
      <c r="C95" t="str">
        <v>DenimSkirt</v>
      </c>
      <c r="D95">
        <v>3</v>
      </c>
      <c r="E95">
        <v>15000</v>
      </c>
      <c r="F95" t="str">
        <v>North</v>
      </c>
      <c r="G95" t="str">
        <v>Abiola Ogun</v>
      </c>
      <c r="H95" t="str">
        <v>Cash</v>
      </c>
      <c r="I95">
        <v>0</v>
      </c>
    </row>
    <row r="96" spans="1:9" x14ac:dyDescent="0.25">
      <c r="A96" s="11">
        <v>45710</v>
      </c>
      <c r="B96" t="str">
        <v>Furniture</v>
      </c>
      <c r="C96" t="str">
        <v>UmbrellaStand</v>
      </c>
      <c r="D96">
        <v>2</v>
      </c>
      <c r="E96">
        <v>10000</v>
      </c>
      <c r="F96" t="str">
        <v>South</v>
      </c>
      <c r="G96" t="str">
        <v>Chidi Nwosu</v>
      </c>
      <c r="H96" t="str">
        <v>Transfer</v>
      </c>
      <c r="I96">
        <v>5</v>
      </c>
    </row>
    <row r="97" spans="1:9" x14ac:dyDescent="0.25">
      <c r="A97" s="11">
        <v>45713</v>
      </c>
      <c r="B97" t="str">
        <v>Furniture</v>
      </c>
      <c r="C97" t="str">
        <v>LetterTray</v>
      </c>
      <c r="D97">
        <v>5</v>
      </c>
      <c r="E97">
        <v>4000</v>
      </c>
      <c r="F97" t="str">
        <v>North</v>
      </c>
      <c r="G97" t="str">
        <v>Abiola Ogun</v>
      </c>
      <c r="H97" t="str">
        <v>Transfer</v>
      </c>
      <c r="I97">
        <v>10</v>
      </c>
    </row>
    <row r="98" spans="1:9" x14ac:dyDescent="0.25">
      <c r="A98" s="11">
        <v>45716</v>
      </c>
      <c r="B98" t="str">
        <v>Furniture</v>
      </c>
      <c r="C98" t="str">
        <v>PlantPot</v>
      </c>
      <c r="D98">
        <v>8</v>
      </c>
      <c r="E98">
        <v>3000</v>
      </c>
      <c r="F98" t="str">
        <v>West</v>
      </c>
      <c r="G98" t="str">
        <v>Tunde Bakare</v>
      </c>
      <c r="H98" t="str">
        <v>Transfer</v>
      </c>
      <c r="I98">
        <v>0</v>
      </c>
    </row>
    <row r="99" spans="1:9" x14ac:dyDescent="0.25">
      <c r="A99" s="11">
        <v>45717</v>
      </c>
      <c r="B99" t="str">
        <v>Electronics</v>
      </c>
      <c r="C99" t="str">
        <v>TabletStand</v>
      </c>
      <c r="D99">
        <v>5</v>
      </c>
      <c r="E99">
        <v>7000</v>
      </c>
      <c r="F99" t="str">
        <v>North</v>
      </c>
      <c r="G99" t="str">
        <v>Abiola Ogun</v>
      </c>
      <c r="H99" t="str">
        <v>Card</v>
      </c>
      <c r="I99">
        <v>0</v>
      </c>
    </row>
    <row r="100" spans="1:9" x14ac:dyDescent="0.25">
      <c r="A100" s="11">
        <v>45668</v>
      </c>
      <c r="B100" t="str">
        <v>Furniture</v>
      </c>
      <c r="C100" t="str">
        <v>PictureFrame</v>
      </c>
      <c r="D100">
        <v>6</v>
      </c>
      <c r="E100">
        <v>5000</v>
      </c>
      <c r="F100" t="str">
        <v>East</v>
      </c>
      <c r="G100" t="str">
        <v>Femi Adebayo</v>
      </c>
      <c r="H100" t="str">
        <v>Transfer</v>
      </c>
      <c r="I100">
        <v>0</v>
      </c>
    </row>
    <row r="101" spans="1:9" x14ac:dyDescent="0.25">
      <c r="A101" s="11">
        <v>45670</v>
      </c>
      <c r="B101" t="str">
        <v>Clothing</v>
      </c>
      <c r="C101" t="str">
        <v>SportsBra</v>
      </c>
      <c r="D101">
        <v>5</v>
      </c>
      <c r="E101">
        <v>7000</v>
      </c>
      <c r="F101" t="str">
        <v>North</v>
      </c>
      <c r="G101" t="str">
        <v>Abiola Ogun</v>
      </c>
      <c r="H101" t="str">
        <v>Cash</v>
      </c>
      <c r="I101">
        <v>5</v>
      </c>
    </row>
    <row r="102" spans="1:9" x14ac:dyDescent="0.25">
      <c r="A102" s="11">
        <v>45671</v>
      </c>
      <c r="B102" t="str">
        <v>Furniture</v>
      </c>
      <c r="C102" t="str">
        <v>JewelryBox</v>
      </c>
      <c r="D102">
        <v>2</v>
      </c>
      <c r="E102">
        <v>12000</v>
      </c>
      <c r="F102" t="str">
        <v>South</v>
      </c>
      <c r="G102" t="str">
        <v>Chidi Nwosu</v>
      </c>
      <c r="H102" t="str">
        <v>Transfer</v>
      </c>
      <c r="I102">
        <v>0</v>
      </c>
    </row>
    <row r="103" spans="1:9" x14ac:dyDescent="0.25">
      <c r="A103" s="11">
        <v>45674</v>
      </c>
      <c r="B103" t="str">
        <v>Furniture</v>
      </c>
      <c r="C103" t="str">
        <v>Cushion</v>
      </c>
      <c r="D103">
        <v>6</v>
      </c>
      <c r="E103">
        <v>6000</v>
      </c>
      <c r="F103" t="str">
        <v>North</v>
      </c>
      <c r="G103" t="str">
        <v>Abiola Ogun</v>
      </c>
      <c r="H103" t="str">
        <v>Transfer</v>
      </c>
      <c r="I103">
        <v>0</v>
      </c>
    </row>
    <row r="104" spans="1:9" x14ac:dyDescent="0.25">
      <c r="A104" s="11">
        <v>45677</v>
      </c>
      <c r="B104" t="str">
        <v>Furniture</v>
      </c>
      <c r="C104" t="str">
        <v>ThrowBlanket</v>
      </c>
      <c r="D104">
        <v>3</v>
      </c>
      <c r="E104">
        <v>15000</v>
      </c>
      <c r="F104" t="str">
        <v>West</v>
      </c>
      <c r="G104" t="str">
        <v>Tunde Bakare</v>
      </c>
      <c r="H104" t="str">
        <v>Transfer</v>
      </c>
      <c r="I104">
        <v>0</v>
      </c>
    </row>
    <row r="105" spans="1:9" x14ac:dyDescent="0.25">
      <c r="A105" s="11">
        <v>45678</v>
      </c>
      <c r="B105" t="str">
        <v>Electronics</v>
      </c>
      <c r="C105" t="str">
        <v>CarCharger</v>
      </c>
      <c r="D105">
        <v>5</v>
      </c>
      <c r="E105">
        <v>8000</v>
      </c>
      <c r="F105" t="str">
        <v>North</v>
      </c>
      <c r="G105" t="str">
        <v>Abiola Ogun</v>
      </c>
      <c r="H105" t="str">
        <v>Card</v>
      </c>
      <c r="I105">
        <v>5</v>
      </c>
    </row>
    <row r="106" spans="1:9" x14ac:dyDescent="0.25">
      <c r="A106" s="11">
        <v>45680</v>
      </c>
      <c r="B106" t="str">
        <v>Furniture</v>
      </c>
      <c r="C106" t="str">
        <v>BathMat</v>
      </c>
      <c r="D106">
        <v>6</v>
      </c>
      <c r="E106">
        <v>4000</v>
      </c>
      <c r="F106" t="str">
        <v>East</v>
      </c>
      <c r="G106" t="str">
        <v>Femi Adebayo</v>
      </c>
      <c r="H106" t="str">
        <v>Transfer</v>
      </c>
      <c r="I106">
        <v>0</v>
      </c>
    </row>
    <row r="107" spans="1:9" x14ac:dyDescent="0.25">
      <c r="A107" s="11">
        <v>45682</v>
      </c>
      <c r="B107" t="str">
        <v>Clothing</v>
      </c>
      <c r="C107" t="str">
        <v>Shawl</v>
      </c>
      <c r="D107">
        <v>4</v>
      </c>
      <c r="E107">
        <v>8000</v>
      </c>
      <c r="F107" t="str">
        <v>North</v>
      </c>
      <c r="G107" t="str">
        <v>Abiola Ogun</v>
      </c>
      <c r="H107" t="str">
        <v>Cash</v>
      </c>
      <c r="I107">
        <v>0</v>
      </c>
    </row>
    <row r="108" spans="1:9" x14ac:dyDescent="0.25">
      <c r="A108" s="11">
        <v>45683</v>
      </c>
      <c r="B108" t="str">
        <v>Furniture</v>
      </c>
      <c r="C108" t="str">
        <v>KitchenTrolley</v>
      </c>
      <c r="D108">
        <v>1</v>
      </c>
      <c r="E108">
        <v>45000</v>
      </c>
      <c r="F108" t="str">
        <v>South</v>
      </c>
      <c r="G108" t="str">
        <v>Chidi Nwosu</v>
      </c>
      <c r="H108" t="str">
        <v>Transfer</v>
      </c>
      <c r="I108">
        <v>5</v>
      </c>
    </row>
    <row r="109" spans="1:9" x14ac:dyDescent="0.25">
      <c r="A109" s="11">
        <v>45686</v>
      </c>
      <c r="B109" t="str">
        <v>Furniture</v>
      </c>
      <c r="C109" t="str">
        <v>OverbedTable</v>
      </c>
      <c r="D109">
        <v>1</v>
      </c>
      <c r="E109">
        <v>25000</v>
      </c>
      <c r="F109" t="str">
        <v>North</v>
      </c>
      <c r="G109" t="str">
        <v>Abiola Ogun</v>
      </c>
      <c r="H109" t="str">
        <v>Transfer</v>
      </c>
      <c r="I109">
        <v>5</v>
      </c>
    </row>
    <row r="110" spans="1:9" x14ac:dyDescent="0.25">
      <c r="A110" s="11">
        <v>45689</v>
      </c>
      <c r="B110" t="str">
        <v>Furniture</v>
      </c>
      <c r="C110" t="str">
        <v>ClothesRack</v>
      </c>
      <c r="D110">
        <v>2</v>
      </c>
      <c r="E110">
        <v>20000</v>
      </c>
      <c r="F110" t="str">
        <v>West</v>
      </c>
      <c r="G110" t="str">
        <v>Tunde Bakare</v>
      </c>
      <c r="H110" t="str">
        <v>Transfer</v>
      </c>
      <c r="I110">
        <v>10</v>
      </c>
    </row>
    <row r="111" spans="1:9" x14ac:dyDescent="0.25">
      <c r="A111" s="11">
        <v>45690</v>
      </c>
      <c r="B111" t="str">
        <v>Electronics</v>
      </c>
      <c r="C111" t="str">
        <v>VoltageRegulator</v>
      </c>
      <c r="D111">
        <v>2</v>
      </c>
      <c r="E111">
        <v>25000</v>
      </c>
      <c r="F111" t="str">
        <v>North</v>
      </c>
      <c r="G111" t="str">
        <v>Abiola Ogun</v>
      </c>
      <c r="H111" t="str">
        <v>Card</v>
      </c>
      <c r="I111">
        <v>0</v>
      </c>
    </row>
    <row r="112" spans="1:9" x14ac:dyDescent="0.25">
      <c r="A112" s="11">
        <v>45692</v>
      </c>
      <c r="B112" t="str">
        <v>Furniture</v>
      </c>
      <c r="C112" t="str">
        <v>VanityTable</v>
      </c>
      <c r="D112">
        <v>1</v>
      </c>
      <c r="E112">
        <v>85000</v>
      </c>
      <c r="F112" t="str">
        <v>East</v>
      </c>
      <c r="G112" t="str">
        <v>Femi Adebayo</v>
      </c>
      <c r="H112" t="str">
        <v>Transfer</v>
      </c>
      <c r="I112">
        <v>0</v>
      </c>
    </row>
    <row r="113" spans="1:9" x14ac:dyDescent="0.25">
      <c r="A113" s="11">
        <v>45694</v>
      </c>
      <c r="B113" t="str">
        <v>Clothing</v>
      </c>
      <c r="C113" t="str">
        <v>AnkleSocks</v>
      </c>
      <c r="D113">
        <v>8</v>
      </c>
      <c r="E113">
        <v>2000</v>
      </c>
      <c r="F113" t="str">
        <v>North</v>
      </c>
      <c r="G113" t="str">
        <v>Abiola Ogun</v>
      </c>
      <c r="H113" t="str">
        <v>Cash</v>
      </c>
      <c r="I113">
        <v>5</v>
      </c>
    </row>
    <row r="114" spans="1:9" x14ac:dyDescent="0.25">
      <c r="A114" s="11">
        <v>45695</v>
      </c>
      <c r="B114" t="str">
        <v>Furniture</v>
      </c>
      <c r="C114" t="str">
        <v>WallHook</v>
      </c>
      <c r="D114">
        <v>12</v>
      </c>
      <c r="E114">
        <v>1500</v>
      </c>
      <c r="F114" t="str">
        <v>South</v>
      </c>
      <c r="G114" t="str">
        <v>Chidi Nwosu</v>
      </c>
      <c r="H114" t="str">
        <v>Transfer</v>
      </c>
      <c r="I114">
        <v>0</v>
      </c>
    </row>
    <row r="115" spans="1:9" x14ac:dyDescent="0.25">
      <c r="A115" s="11">
        <v>45698</v>
      </c>
      <c r="B115" t="str">
        <v>Furniture</v>
      </c>
      <c r="C115" t="str">
        <v>TrashCan</v>
      </c>
      <c r="D115">
        <v>3</v>
      </c>
      <c r="E115">
        <v>8000</v>
      </c>
      <c r="F115" t="str">
        <v>North</v>
      </c>
      <c r="G115" t="str">
        <v>Abiola Ogun</v>
      </c>
      <c r="H115" t="str">
        <v>Transfer</v>
      </c>
      <c r="I115">
        <v>0</v>
      </c>
    </row>
    <row r="116" spans="1:9" x14ac:dyDescent="0.25">
      <c r="A116" s="11">
        <v>45701</v>
      </c>
      <c r="B116" t="str">
        <v>Furniture</v>
      </c>
      <c r="C116" t="str">
        <v>FireplaceScreen</v>
      </c>
      <c r="D116">
        <v>1</v>
      </c>
      <c r="E116">
        <v>45000</v>
      </c>
      <c r="F116" t="str">
        <v>West</v>
      </c>
      <c r="G116" t="str">
        <v>Tunde Bakare</v>
      </c>
      <c r="H116" t="str">
        <v>Transfer</v>
      </c>
      <c r="I116">
        <v>0</v>
      </c>
    </row>
    <row r="117" spans="1:9" x14ac:dyDescent="0.25">
      <c r="A117" s="11">
        <v>45702</v>
      </c>
      <c r="B117" t="str">
        <v>Electronics</v>
      </c>
      <c r="C117" t="str">
        <v>AntivirusUSB</v>
      </c>
      <c r="D117">
        <v>2</v>
      </c>
      <c r="E117">
        <v>15000</v>
      </c>
      <c r="F117" t="str">
        <v>North</v>
      </c>
      <c r="G117" t="str">
        <v>Abiola Ogun</v>
      </c>
      <c r="H117" t="str">
        <v>Card</v>
      </c>
      <c r="I117">
        <v>5</v>
      </c>
    </row>
    <row r="118" spans="1:9" x14ac:dyDescent="0.25">
      <c r="A118" s="11">
        <v>45704</v>
      </c>
      <c r="B118" t="str">
        <v>Furniture</v>
      </c>
      <c r="C118" t="str">
        <v>PetCrate</v>
      </c>
      <c r="D118">
        <v>1</v>
      </c>
      <c r="E118">
        <v>35000</v>
      </c>
      <c r="F118" t="str">
        <v>East</v>
      </c>
      <c r="G118" t="str">
        <v>Femi Adebayo</v>
      </c>
      <c r="H118" t="str">
        <v>Transfer</v>
      </c>
      <c r="I118">
        <v>0</v>
      </c>
    </row>
    <row r="119" spans="1:9" x14ac:dyDescent="0.25">
      <c r="A119" s="11">
        <v>45706</v>
      </c>
      <c r="B119" t="str">
        <v>Clothing</v>
      </c>
      <c r="C119" t="str">
        <v>FannyPack</v>
      </c>
      <c r="D119">
        <v>4</v>
      </c>
      <c r="E119">
        <v>8000</v>
      </c>
      <c r="F119" t="str">
        <v>North</v>
      </c>
      <c r="G119" t="str">
        <v>Abiola Ogun</v>
      </c>
      <c r="H119" t="str">
        <v>Cash</v>
      </c>
      <c r="I119">
        <v>0</v>
      </c>
    </row>
    <row r="120" spans="1:9" x14ac:dyDescent="0.25">
      <c r="A120" s="11">
        <v>45707</v>
      </c>
      <c r="B120" t="str">
        <v>Furniture</v>
      </c>
      <c r="C120" t="str">
        <v>MakeupMirror</v>
      </c>
      <c r="D120">
        <v>2</v>
      </c>
      <c r="E120">
        <v>12000</v>
      </c>
      <c r="F120" t="str">
        <v>South</v>
      </c>
      <c r="G120" t="str">
        <v>Chidi Nwosu</v>
      </c>
      <c r="H120" t="str">
        <v>Transfer</v>
      </c>
      <c r="I120">
        <v>5</v>
      </c>
    </row>
    <row r="121" spans="1:9" x14ac:dyDescent="0.25">
      <c r="A121" s="11">
        <v>45710</v>
      </c>
      <c r="B121" t="str">
        <v>Furniture</v>
      </c>
      <c r="C121" t="str">
        <v>CoatHook</v>
      </c>
      <c r="D121">
        <v>9</v>
      </c>
      <c r="E121">
        <v>3000</v>
      </c>
      <c r="F121" t="str">
        <v>North</v>
      </c>
      <c r="G121" t="str">
        <v>Abiola Ogun</v>
      </c>
      <c r="H121" t="str">
        <v>Transfer</v>
      </c>
      <c r="I121">
        <v>5</v>
      </c>
    </row>
    <row r="122" spans="1:9" x14ac:dyDescent="0.25">
      <c r="A122" s="11">
        <v>45713</v>
      </c>
      <c r="B122" t="str">
        <v>Furniture</v>
      </c>
      <c r="C122" t="str">
        <v>TraditionalStool</v>
      </c>
      <c r="D122">
        <v>3</v>
      </c>
      <c r="E122">
        <v>25000</v>
      </c>
      <c r="F122" t="str">
        <v>West</v>
      </c>
      <c r="G122" t="str">
        <v>Tunde Bakare</v>
      </c>
      <c r="H122" t="str">
        <v>Transfer</v>
      </c>
      <c r="I122">
        <v>10</v>
      </c>
    </row>
    <row r="123" spans="1:9" x14ac:dyDescent="0.25">
      <c r="A123" s="11">
        <v>45714</v>
      </c>
      <c r="B123" t="str">
        <v>Electronics</v>
      </c>
      <c r="C123" t="str">
        <v>Kettle</v>
      </c>
      <c r="D123">
        <v>2</v>
      </c>
      <c r="E123">
        <v>15000</v>
      </c>
      <c r="F123" t="str">
        <v>North</v>
      </c>
      <c r="G123" t="str">
        <v>Abiola Ogun</v>
      </c>
      <c r="H123" t="str">
        <v>Card</v>
      </c>
      <c r="I123">
        <v>0</v>
      </c>
    </row>
    <row r="124" spans="1:9" x14ac:dyDescent="0.25">
      <c r="A124" s="11">
        <v>45716</v>
      </c>
      <c r="B124" t="str">
        <v>Furniture</v>
      </c>
      <c r="C124" t="str">
        <v>PrayerMat</v>
      </c>
      <c r="D124">
        <v>3</v>
      </c>
      <c r="E124">
        <v>10000</v>
      </c>
      <c r="F124" t="str">
        <v>East</v>
      </c>
      <c r="G124" t="str">
        <v>Femi Adebayo</v>
      </c>
      <c r="H124" t="str">
        <v>Transfer</v>
      </c>
      <c r="I124">
        <v>0</v>
      </c>
    </row>
    <row r="125" spans="1:9" x14ac:dyDescent="0.25">
      <c r="A125" s="11">
        <v>45672</v>
      </c>
      <c r="B125" t="str">
        <v>Electronics</v>
      </c>
      <c r="C125" t="str">
        <v>GamingConsole</v>
      </c>
      <c r="D125">
        <v>1</v>
      </c>
      <c r="E125">
        <v>350000</v>
      </c>
      <c r="F125" t="str">
        <v>North</v>
      </c>
      <c r="G125" t="str">
        <v>Abiola Ogun</v>
      </c>
      <c r="H125" t="str">
        <v>Card</v>
      </c>
      <c r="I125">
        <v>5</v>
      </c>
    </row>
    <row r="126" spans="1:9" x14ac:dyDescent="0.25">
      <c r="A126" s="11">
        <v>45674</v>
      </c>
      <c r="B126" t="str">
        <v>Furniture</v>
      </c>
      <c r="C126" t="str">
        <v>AccentChair</v>
      </c>
      <c r="D126">
        <v>2</v>
      </c>
      <c r="E126">
        <v>95000</v>
      </c>
      <c r="F126" t="str">
        <v>East</v>
      </c>
      <c r="G126" t="str">
        <v>Femi Adebayo</v>
      </c>
      <c r="H126" t="str">
        <v>Transfer</v>
      </c>
      <c r="I126">
        <v>10</v>
      </c>
    </row>
    <row r="127" spans="1:9" x14ac:dyDescent="0.25">
      <c r="A127" s="11">
        <v>45676</v>
      </c>
      <c r="B127" t="str">
        <v>Clothing</v>
      </c>
      <c r="C127" t="str">
        <v>LeatherJacket</v>
      </c>
      <c r="D127">
        <v>1</v>
      </c>
      <c r="E127">
        <v>75000</v>
      </c>
      <c r="F127" t="str">
        <v>North</v>
      </c>
      <c r="G127" t="str">
        <v>Abiola Ogun</v>
      </c>
      <c r="H127" t="str">
        <v>Cash</v>
      </c>
      <c r="I127">
        <v>5</v>
      </c>
    </row>
    <row r="128" spans="1:9" x14ac:dyDescent="0.25">
      <c r="A128" s="11">
        <v>45677</v>
      </c>
      <c r="B128" t="str">
        <v>Furniture</v>
      </c>
      <c r="C128" t="str">
        <v>ConsoleTable</v>
      </c>
      <c r="D128">
        <v>1</v>
      </c>
      <c r="E128">
        <v>55000</v>
      </c>
      <c r="F128" t="str">
        <v>South</v>
      </c>
      <c r="G128" t="str">
        <v>Chidi Nwosu</v>
      </c>
      <c r="H128" t="str">
        <v>Transfer</v>
      </c>
      <c r="I128">
        <v>0</v>
      </c>
    </row>
    <row r="129" spans="1:9" x14ac:dyDescent="0.25">
      <c r="A129" s="11">
        <v>45680</v>
      </c>
      <c r="B129" t="str">
        <v>Furniture</v>
      </c>
      <c r="C129" t="str">
        <v>AdirondackChair</v>
      </c>
      <c r="D129">
        <v>2</v>
      </c>
      <c r="E129">
        <v>45000</v>
      </c>
      <c r="F129" t="str">
        <v>North</v>
      </c>
      <c r="G129" t="str">
        <v>Abiola Ogun</v>
      </c>
      <c r="H129" t="str">
        <v>Transfer</v>
      </c>
      <c r="I129">
        <v>0</v>
      </c>
    </row>
    <row r="130" spans="1:9" x14ac:dyDescent="0.25">
      <c r="A130" s="11">
        <v>45683</v>
      </c>
      <c r="B130" t="str">
        <v>Furniture</v>
      </c>
      <c r="C130" t="str">
        <v>HangingChair</v>
      </c>
      <c r="D130">
        <v>1</v>
      </c>
      <c r="E130">
        <v>85000</v>
      </c>
      <c r="F130" t="str">
        <v>West</v>
      </c>
      <c r="G130" t="str">
        <v>Tunde Bakare</v>
      </c>
      <c r="H130" t="str">
        <v>Transfer</v>
      </c>
      <c r="I130">
        <v>0</v>
      </c>
    </row>
    <row r="131" spans="1:9" x14ac:dyDescent="0.25">
      <c r="A131" s="11">
        <v>45684</v>
      </c>
      <c r="B131" t="str">
        <v>Electronics</v>
      </c>
      <c r="C131" t="str">
        <v>LEDStrip</v>
      </c>
      <c r="D131">
        <v>3</v>
      </c>
      <c r="E131">
        <v>5000</v>
      </c>
      <c r="F131" t="str">
        <v>North</v>
      </c>
      <c r="G131" t="str">
        <v>Abiola Ogun</v>
      </c>
      <c r="H131" t="str">
        <v>Card</v>
      </c>
      <c r="I131">
        <v>5</v>
      </c>
    </row>
    <row r="132" spans="1:9" x14ac:dyDescent="0.25">
      <c r="A132" s="11">
        <v>45686</v>
      </c>
      <c r="B132" t="str">
        <v>Furniture</v>
      </c>
      <c r="C132" t="str">
        <v>BarCabinet</v>
      </c>
      <c r="D132">
        <v>1</v>
      </c>
      <c r="E132">
        <v>120000</v>
      </c>
      <c r="F132" t="str">
        <v>East</v>
      </c>
      <c r="G132" t="str">
        <v>Femi Adebayo</v>
      </c>
      <c r="H132" t="str">
        <v>Transfer</v>
      </c>
      <c r="I132">
        <v>0</v>
      </c>
    </row>
    <row r="133" spans="1:9" x14ac:dyDescent="0.25">
      <c r="A133" s="11">
        <v>45688</v>
      </c>
      <c r="B133" t="str">
        <v>Clothing</v>
      </c>
      <c r="C133" t="str">
        <v>Turtleneck</v>
      </c>
      <c r="D133">
        <v>3</v>
      </c>
      <c r="E133">
        <v>12000</v>
      </c>
      <c r="F133" t="str">
        <v>North</v>
      </c>
      <c r="G133" t="str">
        <v>Abiola Ogun</v>
      </c>
      <c r="H133" t="str">
        <v>Cash</v>
      </c>
      <c r="I133">
        <v>0</v>
      </c>
    </row>
    <row r="134" spans="1:9" x14ac:dyDescent="0.25">
      <c r="A134" s="11">
        <v>45689</v>
      </c>
      <c r="B134" t="str">
        <v>Furniture</v>
      </c>
      <c r="C134" t="str">
        <v>WallPuzzle</v>
      </c>
      <c r="D134">
        <v>2</v>
      </c>
      <c r="E134">
        <v>15000</v>
      </c>
      <c r="F134" t="str">
        <v>South</v>
      </c>
      <c r="G134" t="str">
        <v>Chidi Nwosu</v>
      </c>
      <c r="H134" t="str">
        <v>Transfer</v>
      </c>
      <c r="I134">
        <v>0</v>
      </c>
    </row>
    <row r="135" spans="1:9" x14ac:dyDescent="0.25">
      <c r="A135" s="11">
        <v>45692</v>
      </c>
      <c r="B135" t="str">
        <v>Furniture</v>
      </c>
      <c r="C135" t="str">
        <v>BistroTable</v>
      </c>
      <c r="D135">
        <v>2</v>
      </c>
      <c r="E135">
        <v>35000</v>
      </c>
      <c r="F135" t="str">
        <v>North</v>
      </c>
      <c r="G135" t="str">
        <v>Abiola Ogun</v>
      </c>
      <c r="H135" t="str">
        <v>Transfer</v>
      </c>
      <c r="I135">
        <v>5</v>
      </c>
    </row>
    <row r="136" spans="1:9" x14ac:dyDescent="0.25">
      <c r="A136" s="11">
        <v>45695</v>
      </c>
      <c r="B136" t="str">
        <v>Furniture</v>
      </c>
      <c r="C136" t="str">
        <v>FirePit</v>
      </c>
      <c r="D136">
        <v>1</v>
      </c>
      <c r="E136">
        <v>65000</v>
      </c>
      <c r="F136" t="str">
        <v>West</v>
      </c>
      <c r="G136" t="str">
        <v>Tunde Bakare</v>
      </c>
      <c r="H136" t="str">
        <v>Transfer</v>
      </c>
      <c r="I136">
        <v>10</v>
      </c>
    </row>
    <row r="137" spans="1:9" x14ac:dyDescent="0.25">
      <c r="A137" s="11">
        <v>45696</v>
      </c>
      <c r="B137" t="str">
        <v>Electronics</v>
      </c>
      <c r="C137" t="str">
        <v>RobotVacuum</v>
      </c>
      <c r="D137">
        <v>1</v>
      </c>
      <c r="E137">
        <v>120000</v>
      </c>
      <c r="F137" t="str">
        <v>North</v>
      </c>
      <c r="G137" t="str">
        <v>Abiola Ogun</v>
      </c>
      <c r="H137" t="str">
        <v>Card</v>
      </c>
      <c r="I137">
        <v>0</v>
      </c>
    </row>
    <row r="138" spans="1:9" x14ac:dyDescent="0.25">
      <c r="A138" s="11">
        <v>45698</v>
      </c>
      <c r="B138" t="str">
        <v>Furniture</v>
      </c>
      <c r="C138" t="str">
        <v>ShagRug</v>
      </c>
      <c r="D138">
        <v>1</v>
      </c>
      <c r="E138">
        <v>35000</v>
      </c>
      <c r="F138" t="str">
        <v>East</v>
      </c>
      <c r="G138" t="str">
        <v>Femi Adebayo</v>
      </c>
      <c r="H138" t="str">
        <v>Transfer</v>
      </c>
      <c r="I138">
        <v>0</v>
      </c>
    </row>
    <row r="139" spans="1:9" x14ac:dyDescent="0.25">
      <c r="A139" s="11">
        <v>45700</v>
      </c>
      <c r="B139" t="str">
        <v>Clothing</v>
      </c>
      <c r="C139" t="str">
        <v>FlipFlops</v>
      </c>
      <c r="D139">
        <v>6</v>
      </c>
      <c r="E139">
        <v>5000</v>
      </c>
      <c r="F139" t="str">
        <v>North</v>
      </c>
      <c r="G139" t="str">
        <v>Abiola Ogun</v>
      </c>
      <c r="H139" t="str">
        <v>Cash</v>
      </c>
      <c r="I139">
        <v>5</v>
      </c>
    </row>
    <row r="140" spans="1:9" x14ac:dyDescent="0.25">
      <c r="A140" s="11">
        <v>45701</v>
      </c>
      <c r="B140" t="str">
        <v>Furniture</v>
      </c>
      <c r="C140" t="str">
        <v>DrawerOrganizer</v>
      </c>
      <c r="D140">
        <v>5</v>
      </c>
      <c r="E140">
        <v>4000</v>
      </c>
      <c r="F140" t="str">
        <v>South</v>
      </c>
      <c r="G140" t="str">
        <v>Chidi Nwosu</v>
      </c>
      <c r="H140" t="str">
        <v>Transfer</v>
      </c>
      <c r="I140">
        <v>0</v>
      </c>
    </row>
    <row r="141" spans="1:9" x14ac:dyDescent="0.25">
      <c r="A141" s="11">
        <v>45704</v>
      </c>
      <c r="B141" t="str">
        <v>Furniture</v>
      </c>
      <c r="C141" t="str">
        <v>WallClock</v>
      </c>
      <c r="D141">
        <v>4</v>
      </c>
      <c r="E141">
        <v>7000</v>
      </c>
      <c r="F141" t="str">
        <v>North</v>
      </c>
      <c r="G141" t="str">
        <v>Abiola Ogun</v>
      </c>
      <c r="H141" t="str">
        <v>Transfer</v>
      </c>
      <c r="I141">
        <v>0</v>
      </c>
    </row>
    <row r="142" spans="1:9" x14ac:dyDescent="0.25">
      <c r="A142" s="11">
        <v>45707</v>
      </c>
      <c r="B142" t="str">
        <v>Furniture</v>
      </c>
      <c r="C142" t="str">
        <v>MagazineRack</v>
      </c>
      <c r="D142">
        <v>3</v>
      </c>
      <c r="E142">
        <v>12000</v>
      </c>
      <c r="F142" t="str">
        <v>West</v>
      </c>
      <c r="G142" t="str">
        <v>Tunde Bakare</v>
      </c>
      <c r="H142" t="str">
        <v>Transfer</v>
      </c>
      <c r="I142">
        <v>0</v>
      </c>
    </row>
    <row r="143" spans="1:9" x14ac:dyDescent="0.25">
      <c r="A143" s="11">
        <v>45708</v>
      </c>
      <c r="B143" t="str">
        <v>Electronics</v>
      </c>
      <c r="C143" t="str">
        <v>NoiseMachine</v>
      </c>
      <c r="D143">
        <v>2</v>
      </c>
      <c r="E143">
        <v>25000</v>
      </c>
      <c r="F143" t="str">
        <v>North</v>
      </c>
      <c r="G143" t="str">
        <v>Abiola Ogun</v>
      </c>
      <c r="H143" t="str">
        <v>Card</v>
      </c>
      <c r="I143">
        <v>5</v>
      </c>
    </row>
    <row r="144" spans="1:9" x14ac:dyDescent="0.25">
      <c r="A144" s="11">
        <v>45710</v>
      </c>
      <c r="B144" t="str">
        <v>Furniture</v>
      </c>
      <c r="C144" t="str">
        <v>FloatingShelf</v>
      </c>
      <c r="D144">
        <v>6</v>
      </c>
      <c r="E144">
        <v>15000</v>
      </c>
      <c r="F144" t="str">
        <v>East</v>
      </c>
      <c r="G144" t="str">
        <v>Femi Adebayo</v>
      </c>
      <c r="H144" t="str">
        <v>Transfer</v>
      </c>
      <c r="I144">
        <v>0</v>
      </c>
    </row>
    <row r="145" spans="1:10" x14ac:dyDescent="0.25">
      <c r="A145" s="11">
        <v>45712</v>
      </c>
      <c r="B145" t="str">
        <v>Clothing</v>
      </c>
      <c r="C145" t="str">
        <v>Suspenders</v>
      </c>
      <c r="D145">
        <v>5</v>
      </c>
      <c r="E145">
        <v>6000</v>
      </c>
      <c r="F145" t="str">
        <v>North</v>
      </c>
      <c r="G145" t="str">
        <v>Abiola Ogun</v>
      </c>
      <c r="H145" t="str">
        <v>Cash</v>
      </c>
      <c r="I145">
        <v>0</v>
      </c>
    </row>
    <row r="146" spans="1:10" x14ac:dyDescent="0.25">
      <c r="A146" s="11">
        <v>45713</v>
      </c>
      <c r="B146" t="str">
        <v>Furniture</v>
      </c>
      <c r="C146" t="str">
        <v>BarStool</v>
      </c>
      <c r="D146">
        <v>4</v>
      </c>
      <c r="E146">
        <v>25000</v>
      </c>
      <c r="F146" t="str">
        <v>South</v>
      </c>
      <c r="G146" t="str">
        <v>Chidi Nwosu</v>
      </c>
      <c r="H146" t="str">
        <v>Transfer</v>
      </c>
      <c r="I146">
        <v>5</v>
      </c>
    </row>
    <row r="147" spans="1:10" x14ac:dyDescent="0.25">
      <c r="A147" s="11">
        <v>45716</v>
      </c>
      <c r="B147" t="str">
        <v>Furniture</v>
      </c>
      <c r="C147" t="str">
        <v>Trunk</v>
      </c>
      <c r="D147">
        <v>1</v>
      </c>
      <c r="E147">
        <v>55000</v>
      </c>
      <c r="F147" t="str">
        <v>North</v>
      </c>
      <c r="G147" t="str">
        <v>Abiola Ogun</v>
      </c>
      <c r="H147" t="str">
        <v>Transfer</v>
      </c>
      <c r="I147">
        <v>5</v>
      </c>
    </row>
    <row r="150" spans="1:10" x14ac:dyDescent="0.25">
      <c r="A150" s="12" t="s">
        <v>264</v>
      </c>
      <c r="B150" s="7"/>
      <c r="C150" s="7"/>
      <c r="D150" s="7"/>
      <c r="E150" s="7"/>
      <c r="F150" s="7"/>
      <c r="G150" s="7"/>
      <c r="H150" s="7"/>
      <c r="I150" s="7"/>
    </row>
    <row r="151" spans="1:10" x14ac:dyDescent="0.25">
      <c r="A151" s="2" t="s">
        <v>0</v>
      </c>
      <c r="B151" s="3" t="s">
        <v>1</v>
      </c>
      <c r="C151" s="3" t="s">
        <v>2</v>
      </c>
      <c r="D151" s="3" t="s">
        <v>3</v>
      </c>
      <c r="E151" s="3" t="s">
        <v>4</v>
      </c>
      <c r="F151" s="6" t="s">
        <v>5</v>
      </c>
      <c r="G151" s="3" t="s">
        <v>6</v>
      </c>
      <c r="H151" s="3" t="s">
        <v>7</v>
      </c>
      <c r="I151" s="3" t="s">
        <v>8</v>
      </c>
      <c r="J151" s="4" t="s">
        <v>9</v>
      </c>
    </row>
    <row r="152" spans="1:10" x14ac:dyDescent="0.25">
      <c r="A152" cm="1">
        <f t="array" ref="A152:J197">_xlfn._xlws.FILTER(deepseek_csv_20260422_7f7afa[], deepseek_csv_20260422_7f7afa[UnitsSold]&gt;5, "No Large Orders")</f>
        <v>3005</v>
      </c>
      <c r="B152">
        <v>45669</v>
      </c>
      <c r="C152" t="str">
        <v>Clothing</v>
      </c>
      <c r="D152" t="str">
        <v>TShirt</v>
      </c>
      <c r="E152">
        <v>8</v>
      </c>
      <c r="F152">
        <v>5000</v>
      </c>
      <c r="G152" t="str">
        <v>North</v>
      </c>
      <c r="H152" t="str">
        <v>Abiola Ogun</v>
      </c>
      <c r="I152" t="str">
        <v>Cash</v>
      </c>
      <c r="J152">
        <v>5</v>
      </c>
    </row>
    <row r="153" spans="1:10" x14ac:dyDescent="0.25">
      <c r="A153">
        <v>3020</v>
      </c>
      <c r="B153">
        <v>45676</v>
      </c>
      <c r="C153" t="str">
        <v>Clothing</v>
      </c>
      <c r="D153" t="str">
        <v>Shorts</v>
      </c>
      <c r="E153">
        <v>6</v>
      </c>
      <c r="F153">
        <v>7000</v>
      </c>
      <c r="G153" t="str">
        <v>West</v>
      </c>
      <c r="H153" t="str">
        <v>Tunde Bakare</v>
      </c>
      <c r="I153" t="str">
        <v>Cash</v>
      </c>
      <c r="J153">
        <v>0</v>
      </c>
    </row>
    <row r="154" spans="1:10" x14ac:dyDescent="0.25">
      <c r="A154">
        <v>3022</v>
      </c>
      <c r="B154">
        <v>45677</v>
      </c>
      <c r="C154" t="str">
        <v>Electronics</v>
      </c>
      <c r="D154" t="str">
        <v>Mouse</v>
      </c>
      <c r="E154">
        <v>8</v>
      </c>
      <c r="F154">
        <v>5000</v>
      </c>
      <c r="G154" t="str">
        <v>South</v>
      </c>
      <c r="H154" t="str">
        <v>Chidi Nwosu</v>
      </c>
      <c r="I154" t="str">
        <v>Card</v>
      </c>
      <c r="J154">
        <v>10</v>
      </c>
    </row>
    <row r="155" spans="1:10" x14ac:dyDescent="0.25">
      <c r="A155">
        <v>3035</v>
      </c>
      <c r="B155">
        <v>45684</v>
      </c>
      <c r="C155" t="str">
        <v>Clothing</v>
      </c>
      <c r="D155" t="str">
        <v>Leggings</v>
      </c>
      <c r="E155">
        <v>6</v>
      </c>
      <c r="F155">
        <v>8000</v>
      </c>
      <c r="G155" t="str">
        <v>East</v>
      </c>
      <c r="H155" t="str">
        <v>Femi Adebayo</v>
      </c>
      <c r="I155" t="str">
        <v>Cash</v>
      </c>
      <c r="J155">
        <v>5</v>
      </c>
    </row>
    <row r="156" spans="1:10" x14ac:dyDescent="0.25">
      <c r="A156">
        <v>3037</v>
      </c>
      <c r="B156">
        <v>45685</v>
      </c>
      <c r="C156" t="str">
        <v>Electronics</v>
      </c>
      <c r="D156" t="str">
        <v>USBCable</v>
      </c>
      <c r="E156">
        <v>15</v>
      </c>
      <c r="F156">
        <v>2000</v>
      </c>
      <c r="G156" t="str">
        <v>North</v>
      </c>
      <c r="H156" t="str">
        <v>Abiola Ogun</v>
      </c>
      <c r="I156" t="str">
        <v>Card</v>
      </c>
      <c r="J156">
        <v>10</v>
      </c>
    </row>
    <row r="157" spans="1:10" x14ac:dyDescent="0.25">
      <c r="A157">
        <v>3040</v>
      </c>
      <c r="B157">
        <v>45686</v>
      </c>
      <c r="C157" t="str">
        <v>Electronics</v>
      </c>
      <c r="D157" t="str">
        <v>Charger</v>
      </c>
      <c r="E157">
        <v>8</v>
      </c>
      <c r="F157">
        <v>8000</v>
      </c>
      <c r="G157" t="str">
        <v>West</v>
      </c>
      <c r="H157" t="str">
        <v>Tunde Bakare</v>
      </c>
      <c r="I157" t="str">
        <v>Card</v>
      </c>
      <c r="J157">
        <v>5</v>
      </c>
    </row>
    <row r="158" spans="1:10" x14ac:dyDescent="0.25">
      <c r="A158">
        <v>3041</v>
      </c>
      <c r="B158">
        <v>45687</v>
      </c>
      <c r="C158" t="str">
        <v>Clothing</v>
      </c>
      <c r="D158" t="str">
        <v>Scarf</v>
      </c>
      <c r="E158">
        <v>7</v>
      </c>
      <c r="F158">
        <v>3000</v>
      </c>
      <c r="G158" t="str">
        <v>North</v>
      </c>
      <c r="H158" t="str">
        <v>Abiola Ogun</v>
      </c>
      <c r="I158" t="str">
        <v>Cash</v>
      </c>
      <c r="J158">
        <v>0</v>
      </c>
    </row>
    <row r="159" spans="1:10" x14ac:dyDescent="0.25">
      <c r="A159">
        <v>3044</v>
      </c>
      <c r="B159">
        <v>45688</v>
      </c>
      <c r="C159" t="str">
        <v>Clothing</v>
      </c>
      <c r="D159" t="str">
        <v>Gloves</v>
      </c>
      <c r="E159">
        <v>6</v>
      </c>
      <c r="F159">
        <v>4000</v>
      </c>
      <c r="G159" t="str">
        <v>West</v>
      </c>
      <c r="H159" t="str">
        <v>Tunde Bakare</v>
      </c>
      <c r="I159" t="str">
        <v>Cash</v>
      </c>
      <c r="J159">
        <v>0</v>
      </c>
    </row>
    <row r="160" spans="1:10" x14ac:dyDescent="0.25">
      <c r="A160">
        <v>3047</v>
      </c>
      <c r="B160">
        <v>45690</v>
      </c>
      <c r="C160" t="str">
        <v>Clothing</v>
      </c>
      <c r="D160" t="str">
        <v>Belt</v>
      </c>
      <c r="E160">
        <v>6</v>
      </c>
      <c r="F160">
        <v>6000</v>
      </c>
      <c r="G160" t="str">
        <v>East</v>
      </c>
      <c r="H160" t="str">
        <v>Femi Adebayo</v>
      </c>
      <c r="I160" t="str">
        <v>Cash</v>
      </c>
      <c r="J160">
        <v>0</v>
      </c>
    </row>
    <row r="161" spans="1:10" x14ac:dyDescent="0.25">
      <c r="A161">
        <v>3053</v>
      </c>
      <c r="B161">
        <v>45693</v>
      </c>
      <c r="C161" t="str">
        <v>Clothing</v>
      </c>
      <c r="D161" t="str">
        <v>Bracelet</v>
      </c>
      <c r="E161">
        <v>8</v>
      </c>
      <c r="F161">
        <v>5000</v>
      </c>
      <c r="G161" t="str">
        <v>North</v>
      </c>
      <c r="H161" t="str">
        <v>Abiola Ogun</v>
      </c>
      <c r="I161" t="str">
        <v>Cash</v>
      </c>
      <c r="J161">
        <v>10</v>
      </c>
    </row>
    <row r="162" spans="1:10" x14ac:dyDescent="0.25">
      <c r="A162">
        <v>3056</v>
      </c>
      <c r="B162">
        <v>45694</v>
      </c>
      <c r="C162" t="str">
        <v>Clothing</v>
      </c>
      <c r="D162" t="str">
        <v>Socks</v>
      </c>
      <c r="E162">
        <v>12</v>
      </c>
      <c r="F162">
        <v>2000</v>
      </c>
      <c r="G162" t="str">
        <v>West</v>
      </c>
      <c r="H162" t="str">
        <v>Tunde Bakare</v>
      </c>
      <c r="I162" t="str">
        <v>Cash</v>
      </c>
      <c r="J162">
        <v>5</v>
      </c>
    </row>
    <row r="163" spans="1:10" x14ac:dyDescent="0.25">
      <c r="A163">
        <v>3059</v>
      </c>
      <c r="B163">
        <v>45696</v>
      </c>
      <c r="C163" t="str">
        <v>Clothing</v>
      </c>
      <c r="D163" t="str">
        <v>Necklace</v>
      </c>
      <c r="E163">
        <v>6</v>
      </c>
      <c r="F163">
        <v>8000</v>
      </c>
      <c r="G163" t="str">
        <v>East</v>
      </c>
      <c r="H163" t="str">
        <v>Femi Adebayo</v>
      </c>
      <c r="I163" t="str">
        <v>Cash</v>
      </c>
      <c r="J163">
        <v>5</v>
      </c>
    </row>
    <row r="164" spans="1:10" x14ac:dyDescent="0.25">
      <c r="A164">
        <v>3062</v>
      </c>
      <c r="B164">
        <v>45697</v>
      </c>
      <c r="C164" t="str">
        <v>Clothing</v>
      </c>
      <c r="D164" t="str">
        <v>Cap</v>
      </c>
      <c r="E164">
        <v>8</v>
      </c>
      <c r="F164">
        <v>4000</v>
      </c>
      <c r="G164" t="str">
        <v>South</v>
      </c>
      <c r="H164" t="str">
        <v>Chidi Nwosu</v>
      </c>
      <c r="I164" t="str">
        <v>Cash</v>
      </c>
      <c r="J164">
        <v>0</v>
      </c>
    </row>
    <row r="165" spans="1:10" x14ac:dyDescent="0.25">
      <c r="A165">
        <v>3071</v>
      </c>
      <c r="B165">
        <v>45702</v>
      </c>
      <c r="C165" t="str">
        <v>Clothing</v>
      </c>
      <c r="D165" t="str">
        <v>FlipFlops</v>
      </c>
      <c r="E165">
        <v>7</v>
      </c>
      <c r="F165">
        <v>5000</v>
      </c>
      <c r="G165" t="str">
        <v>East</v>
      </c>
      <c r="H165" t="str">
        <v>Femi Adebayo</v>
      </c>
      <c r="I165" t="str">
        <v>Cash</v>
      </c>
      <c r="J165">
        <v>10</v>
      </c>
    </row>
    <row r="166" spans="1:10" x14ac:dyDescent="0.25">
      <c r="A166">
        <v>3074</v>
      </c>
      <c r="B166">
        <v>45703</v>
      </c>
      <c r="C166" t="str">
        <v>Clothing</v>
      </c>
      <c r="D166" t="str">
        <v>TankTop</v>
      </c>
      <c r="E166">
        <v>8</v>
      </c>
      <c r="F166">
        <v>4000</v>
      </c>
      <c r="G166" t="str">
        <v>South</v>
      </c>
      <c r="H166" t="str">
        <v>Chidi Nwosu</v>
      </c>
      <c r="I166" t="str">
        <v>Cash</v>
      </c>
      <c r="J166">
        <v>5</v>
      </c>
    </row>
    <row r="167" spans="1:10" x14ac:dyDescent="0.25">
      <c r="A167">
        <v>3078</v>
      </c>
      <c r="B167">
        <v>45705</v>
      </c>
      <c r="C167" t="str">
        <v>Furniture</v>
      </c>
      <c r="D167" t="str">
        <v>KeyHolder</v>
      </c>
      <c r="E167">
        <v>7</v>
      </c>
      <c r="F167">
        <v>3000</v>
      </c>
      <c r="G167" t="str">
        <v>South</v>
      </c>
      <c r="H167" t="str">
        <v>Chidi Nwosu</v>
      </c>
      <c r="I167" t="str">
        <v>Transfer</v>
      </c>
      <c r="J167">
        <v>0</v>
      </c>
    </row>
    <row r="168" spans="1:10" x14ac:dyDescent="0.25">
      <c r="A168">
        <v>3087</v>
      </c>
      <c r="B168">
        <v>45710</v>
      </c>
      <c r="C168" t="str">
        <v>Furniture</v>
      </c>
      <c r="D168" t="str">
        <v>TVRemoteHolder</v>
      </c>
      <c r="E168">
        <v>8</v>
      </c>
      <c r="F168">
        <v>2000</v>
      </c>
      <c r="G168" t="str">
        <v>East</v>
      </c>
      <c r="H168" t="str">
        <v>Femi Adebayo</v>
      </c>
      <c r="I168" t="str">
        <v>Transfer</v>
      </c>
      <c r="J168">
        <v>0</v>
      </c>
    </row>
    <row r="169" spans="1:10" x14ac:dyDescent="0.25">
      <c r="A169">
        <v>3088</v>
      </c>
      <c r="B169">
        <v>45710</v>
      </c>
      <c r="C169" t="str">
        <v>Electronics</v>
      </c>
      <c r="D169" t="str">
        <v>ScreenProtector</v>
      </c>
      <c r="E169">
        <v>10</v>
      </c>
      <c r="F169">
        <v>3000</v>
      </c>
      <c r="G169" t="str">
        <v>West</v>
      </c>
      <c r="H169" t="str">
        <v>Tunde Bakare</v>
      </c>
      <c r="I169" t="str">
        <v>Card</v>
      </c>
      <c r="J169">
        <v>5</v>
      </c>
    </row>
    <row r="170" spans="1:10" x14ac:dyDescent="0.25">
      <c r="A170">
        <v>3089</v>
      </c>
      <c r="B170">
        <v>45711</v>
      </c>
      <c r="C170" t="str">
        <v>Clothing</v>
      </c>
      <c r="D170" t="str">
        <v>Necktie</v>
      </c>
      <c r="E170">
        <v>6</v>
      </c>
      <c r="F170">
        <v>5000</v>
      </c>
      <c r="G170" t="str">
        <v>North</v>
      </c>
      <c r="H170" t="str">
        <v>Abiola Ogun</v>
      </c>
      <c r="I170" t="str">
        <v>Cash</v>
      </c>
      <c r="J170">
        <v>0</v>
      </c>
    </row>
    <row r="171" spans="1:10" x14ac:dyDescent="0.25">
      <c r="A171">
        <v>3091</v>
      </c>
      <c r="B171">
        <v>45712</v>
      </c>
      <c r="C171" t="str">
        <v>Electronics</v>
      </c>
      <c r="D171" t="str">
        <v>PhoneStand</v>
      </c>
      <c r="E171">
        <v>7</v>
      </c>
      <c r="F171">
        <v>4000</v>
      </c>
      <c r="G171" t="str">
        <v>East</v>
      </c>
      <c r="H171" t="str">
        <v>Femi Adebayo</v>
      </c>
      <c r="I171" t="str">
        <v>Card</v>
      </c>
      <c r="J171">
        <v>5</v>
      </c>
    </row>
    <row r="172" spans="1:10" x14ac:dyDescent="0.25">
      <c r="A172">
        <v>3097</v>
      </c>
      <c r="B172">
        <v>45715</v>
      </c>
      <c r="C172" t="str">
        <v>Electronics</v>
      </c>
      <c r="D172" t="str">
        <v>CableOrganizer</v>
      </c>
      <c r="E172">
        <v>6</v>
      </c>
      <c r="F172">
        <v>3000</v>
      </c>
      <c r="G172" t="str">
        <v>North</v>
      </c>
      <c r="H172" t="str">
        <v>Abiola Ogun</v>
      </c>
      <c r="I172" t="str">
        <v>Card</v>
      </c>
      <c r="J172">
        <v>0</v>
      </c>
    </row>
    <row r="173" spans="1:10" x14ac:dyDescent="0.25">
      <c r="A173">
        <v>3104</v>
      </c>
      <c r="B173">
        <v>45672</v>
      </c>
      <c r="C173" t="str">
        <v>Electronics</v>
      </c>
      <c r="D173" t="str">
        <v>SmartBulb</v>
      </c>
      <c r="E173">
        <v>6</v>
      </c>
      <c r="F173">
        <v>4000</v>
      </c>
      <c r="G173" t="str">
        <v>West</v>
      </c>
      <c r="H173" t="str">
        <v>Tunde Bakare</v>
      </c>
      <c r="I173" t="str">
        <v>Card</v>
      </c>
      <c r="J173">
        <v>0</v>
      </c>
    </row>
    <row r="174" spans="1:10" x14ac:dyDescent="0.25">
      <c r="A174">
        <v>3110</v>
      </c>
      <c r="B174">
        <v>45678</v>
      </c>
      <c r="C174" t="str">
        <v>Electronics</v>
      </c>
      <c r="D174" t="str">
        <v>WebcamCover</v>
      </c>
      <c r="E174">
        <v>12</v>
      </c>
      <c r="F174">
        <v>1500</v>
      </c>
      <c r="G174" t="str">
        <v>South</v>
      </c>
      <c r="H174" t="str">
        <v>Chidi Nwosu</v>
      </c>
      <c r="I174" t="str">
        <v>Card</v>
      </c>
      <c r="J174">
        <v>0</v>
      </c>
    </row>
    <row r="175" spans="1:10" x14ac:dyDescent="0.25">
      <c r="A175">
        <v>3119</v>
      </c>
      <c r="B175">
        <v>45687</v>
      </c>
      <c r="C175" t="str">
        <v>Electronics</v>
      </c>
      <c r="D175" t="str">
        <v>HDMICable</v>
      </c>
      <c r="E175">
        <v>6</v>
      </c>
      <c r="F175">
        <v>4000</v>
      </c>
      <c r="G175" t="str">
        <v>East</v>
      </c>
      <c r="H175" t="str">
        <v>Femi Adebayo</v>
      </c>
      <c r="I175" t="str">
        <v>Card</v>
      </c>
      <c r="J175">
        <v>0</v>
      </c>
    </row>
    <row r="176" spans="1:10" x14ac:dyDescent="0.25">
      <c r="A176">
        <v>3125</v>
      </c>
      <c r="B176">
        <v>45693</v>
      </c>
      <c r="C176" t="str">
        <v>Electronics</v>
      </c>
      <c r="D176" t="str">
        <v>USBFan</v>
      </c>
      <c r="E176">
        <v>7</v>
      </c>
      <c r="F176">
        <v>3000</v>
      </c>
      <c r="G176" t="str">
        <v>North</v>
      </c>
      <c r="H176" t="str">
        <v>Abiola Ogun</v>
      </c>
      <c r="I176" t="str">
        <v>Card</v>
      </c>
      <c r="J176">
        <v>0</v>
      </c>
    </row>
    <row r="177" spans="1:10" x14ac:dyDescent="0.25">
      <c r="A177">
        <v>3135</v>
      </c>
      <c r="B177">
        <v>45703</v>
      </c>
      <c r="C177" t="str">
        <v>Clothing</v>
      </c>
      <c r="D177" t="str">
        <v>CropTop</v>
      </c>
      <c r="E177">
        <v>6</v>
      </c>
      <c r="F177">
        <v>6000</v>
      </c>
      <c r="G177" t="str">
        <v>East</v>
      </c>
      <c r="H177" t="str">
        <v>Femi Adebayo</v>
      </c>
      <c r="I177" t="str">
        <v>Cash</v>
      </c>
      <c r="J177">
        <v>0</v>
      </c>
    </row>
    <row r="178" spans="1:10" x14ac:dyDescent="0.25">
      <c r="A178">
        <v>3138</v>
      </c>
      <c r="B178">
        <v>45706</v>
      </c>
      <c r="C178" t="str">
        <v>Clothing</v>
      </c>
      <c r="D178" t="str">
        <v>BermudaShorts</v>
      </c>
      <c r="E178">
        <v>6</v>
      </c>
      <c r="F178">
        <v>8000</v>
      </c>
      <c r="G178" t="str">
        <v>South</v>
      </c>
      <c r="H178" t="str">
        <v>Chidi Nwosu</v>
      </c>
      <c r="I178" t="str">
        <v>Cash</v>
      </c>
      <c r="J178">
        <v>0</v>
      </c>
    </row>
    <row r="179" spans="1:10" x14ac:dyDescent="0.25">
      <c r="A179">
        <v>3143</v>
      </c>
      <c r="B179">
        <v>45711</v>
      </c>
      <c r="C179" t="str">
        <v>Electronics</v>
      </c>
      <c r="D179" t="str">
        <v>LightningCable</v>
      </c>
      <c r="E179">
        <v>6</v>
      </c>
      <c r="F179">
        <v>6000</v>
      </c>
      <c r="G179" t="str">
        <v>East</v>
      </c>
      <c r="H179" t="str">
        <v>Femi Adebayo</v>
      </c>
      <c r="I179" t="str">
        <v>Card</v>
      </c>
      <c r="J179">
        <v>0</v>
      </c>
    </row>
    <row r="180" spans="1:10" x14ac:dyDescent="0.25">
      <c r="A180">
        <v>3144</v>
      </c>
      <c r="B180">
        <v>45712</v>
      </c>
      <c r="C180" t="str">
        <v>Clothing</v>
      </c>
      <c r="D180" t="str">
        <v>CardHolder</v>
      </c>
      <c r="E180">
        <v>7</v>
      </c>
      <c r="F180">
        <v>3000</v>
      </c>
      <c r="G180" t="str">
        <v>West</v>
      </c>
      <c r="H180" t="str">
        <v>Tunde Bakare</v>
      </c>
      <c r="I180" t="str">
        <v>Cash</v>
      </c>
      <c r="J180">
        <v>0</v>
      </c>
    </row>
    <row r="181" spans="1:10" x14ac:dyDescent="0.25">
      <c r="A181">
        <v>3146</v>
      </c>
      <c r="B181">
        <v>45714</v>
      </c>
      <c r="C181" t="str">
        <v>Electronics</v>
      </c>
      <c r="D181" t="str">
        <v>PhoneGrip</v>
      </c>
      <c r="E181">
        <v>10</v>
      </c>
      <c r="F181">
        <v>2000</v>
      </c>
      <c r="G181" t="str">
        <v>South</v>
      </c>
      <c r="H181" t="str">
        <v>Chidi Nwosu</v>
      </c>
      <c r="I181" t="str">
        <v>Card</v>
      </c>
      <c r="J181">
        <v>0</v>
      </c>
    </row>
    <row r="182" spans="1:10" x14ac:dyDescent="0.25">
      <c r="A182">
        <v>3147</v>
      </c>
      <c r="B182">
        <v>45715</v>
      </c>
      <c r="C182" t="str">
        <v>Clothing</v>
      </c>
      <c r="D182" t="str">
        <v>BowTie</v>
      </c>
      <c r="E182">
        <v>6</v>
      </c>
      <c r="F182">
        <v>5000</v>
      </c>
      <c r="G182" t="str">
        <v>East</v>
      </c>
      <c r="H182" t="str">
        <v>Femi Adebayo</v>
      </c>
      <c r="I182" t="str">
        <v>Cash</v>
      </c>
      <c r="J182">
        <v>5</v>
      </c>
    </row>
    <row r="183" spans="1:10" x14ac:dyDescent="0.25">
      <c r="A183">
        <v>3148</v>
      </c>
      <c r="B183">
        <v>45716</v>
      </c>
      <c r="C183" t="str">
        <v>Furniture</v>
      </c>
      <c r="D183" t="str">
        <v>PlantPot</v>
      </c>
      <c r="E183">
        <v>8</v>
      </c>
      <c r="F183">
        <v>3000</v>
      </c>
      <c r="G183" t="str">
        <v>West</v>
      </c>
      <c r="H183" t="str">
        <v>Tunde Bakare</v>
      </c>
      <c r="I183" t="str">
        <v>Transfer</v>
      </c>
      <c r="J183">
        <v>0</v>
      </c>
    </row>
    <row r="184" spans="1:10" x14ac:dyDescent="0.25">
      <c r="A184">
        <v>3150</v>
      </c>
      <c r="B184">
        <v>45717</v>
      </c>
      <c r="C184" t="str">
        <v>Clothing</v>
      </c>
      <c r="D184" t="str">
        <v>FaceMaskPack</v>
      </c>
      <c r="E184">
        <v>12</v>
      </c>
      <c r="F184">
        <v>2000</v>
      </c>
      <c r="G184" t="str">
        <v>South</v>
      </c>
      <c r="H184" t="str">
        <v>Chidi Nwosu</v>
      </c>
      <c r="I184" t="str">
        <v>Cash</v>
      </c>
      <c r="J184">
        <v>5</v>
      </c>
    </row>
    <row r="185" spans="1:10" x14ac:dyDescent="0.25">
      <c r="A185">
        <v>3151</v>
      </c>
      <c r="B185">
        <v>45668</v>
      </c>
      <c r="C185" t="str">
        <v>Furniture</v>
      </c>
      <c r="D185" t="str">
        <v>PictureFrame</v>
      </c>
      <c r="E185">
        <v>6</v>
      </c>
      <c r="F185">
        <v>5000</v>
      </c>
      <c r="G185" t="str">
        <v>East</v>
      </c>
      <c r="H185" t="str">
        <v>Femi Adebayo</v>
      </c>
      <c r="I185" t="str">
        <v>Transfer</v>
      </c>
      <c r="J185">
        <v>0</v>
      </c>
    </row>
    <row r="186" spans="1:10" x14ac:dyDescent="0.25">
      <c r="A186">
        <v>3157</v>
      </c>
      <c r="B186">
        <v>45674</v>
      </c>
      <c r="C186" t="str">
        <v>Furniture</v>
      </c>
      <c r="D186" t="str">
        <v>Cushion</v>
      </c>
      <c r="E186">
        <v>6</v>
      </c>
      <c r="F186">
        <v>6000</v>
      </c>
      <c r="G186" t="str">
        <v>North</v>
      </c>
      <c r="H186" t="str">
        <v>Abiola Ogun</v>
      </c>
      <c r="I186" t="str">
        <v>Transfer</v>
      </c>
      <c r="J186">
        <v>0</v>
      </c>
    </row>
    <row r="187" spans="1:10" x14ac:dyDescent="0.25">
      <c r="A187">
        <v>3163</v>
      </c>
      <c r="B187">
        <v>45680</v>
      </c>
      <c r="C187" t="str">
        <v>Furniture</v>
      </c>
      <c r="D187" t="str">
        <v>BathMat</v>
      </c>
      <c r="E187">
        <v>6</v>
      </c>
      <c r="F187">
        <v>4000</v>
      </c>
      <c r="G187" t="str">
        <v>East</v>
      </c>
      <c r="H187" t="str">
        <v>Femi Adebayo</v>
      </c>
      <c r="I187" t="str">
        <v>Transfer</v>
      </c>
      <c r="J187">
        <v>0</v>
      </c>
    </row>
    <row r="188" spans="1:10" x14ac:dyDescent="0.25">
      <c r="A188">
        <v>3177</v>
      </c>
      <c r="B188">
        <v>45694</v>
      </c>
      <c r="C188" t="str">
        <v>Clothing</v>
      </c>
      <c r="D188" t="str">
        <v>AnkleSocks</v>
      </c>
      <c r="E188">
        <v>8</v>
      </c>
      <c r="F188">
        <v>2000</v>
      </c>
      <c r="G188" t="str">
        <v>North</v>
      </c>
      <c r="H188" t="str">
        <v>Abiola Ogun</v>
      </c>
      <c r="I188" t="str">
        <v>Cash</v>
      </c>
      <c r="J188">
        <v>5</v>
      </c>
    </row>
    <row r="189" spans="1:10" x14ac:dyDescent="0.25">
      <c r="A189">
        <v>3178</v>
      </c>
      <c r="B189">
        <v>45695</v>
      </c>
      <c r="C189" t="str">
        <v>Furniture</v>
      </c>
      <c r="D189" t="str">
        <v>WallHook</v>
      </c>
      <c r="E189">
        <v>12</v>
      </c>
      <c r="F189">
        <v>1500</v>
      </c>
      <c r="G189" t="str">
        <v>South</v>
      </c>
      <c r="H189" t="str">
        <v>Chidi Nwosu</v>
      </c>
      <c r="I189" t="str">
        <v>Transfer</v>
      </c>
      <c r="J189">
        <v>0</v>
      </c>
    </row>
    <row r="190" spans="1:10" x14ac:dyDescent="0.25">
      <c r="A190">
        <v>3179</v>
      </c>
      <c r="B190">
        <v>45696</v>
      </c>
      <c r="C190" t="str">
        <v>Electronics</v>
      </c>
      <c r="D190" t="str">
        <v>LensCleaner</v>
      </c>
      <c r="E190">
        <v>6</v>
      </c>
      <c r="F190">
        <v>3000</v>
      </c>
      <c r="G190" t="str">
        <v>East</v>
      </c>
      <c r="H190" t="str">
        <v>Femi Adebayo</v>
      </c>
      <c r="I190" t="str">
        <v>Card</v>
      </c>
      <c r="J190">
        <v>0</v>
      </c>
    </row>
    <row r="191" spans="1:10" x14ac:dyDescent="0.25">
      <c r="A191">
        <v>3180</v>
      </c>
      <c r="B191">
        <v>45697</v>
      </c>
      <c r="C191" t="str">
        <v>Clothing</v>
      </c>
      <c r="D191" t="str">
        <v>Headband</v>
      </c>
      <c r="E191">
        <v>8</v>
      </c>
      <c r="F191">
        <v>2000</v>
      </c>
      <c r="G191" t="str">
        <v>West</v>
      </c>
      <c r="H191" t="str">
        <v>Tunde Bakare</v>
      </c>
      <c r="I191" t="str">
        <v>Cash</v>
      </c>
      <c r="J191">
        <v>10</v>
      </c>
    </row>
    <row r="192" spans="1:10" x14ac:dyDescent="0.25">
      <c r="A192">
        <v>3193</v>
      </c>
      <c r="B192">
        <v>45710</v>
      </c>
      <c r="C192" t="str">
        <v>Furniture</v>
      </c>
      <c r="D192" t="str">
        <v>CoatHook</v>
      </c>
      <c r="E192">
        <v>9</v>
      </c>
      <c r="F192">
        <v>3000</v>
      </c>
      <c r="G192" t="str">
        <v>North</v>
      </c>
      <c r="H192" t="str">
        <v>Abiola Ogun</v>
      </c>
      <c r="I192" t="str">
        <v>Transfer</v>
      </c>
      <c r="J192">
        <v>5</v>
      </c>
    </row>
    <row r="193" spans="1:10" x14ac:dyDescent="0.25">
      <c r="A193">
        <v>3219</v>
      </c>
      <c r="B193">
        <v>45690</v>
      </c>
      <c r="C193" t="str">
        <v>Electronics</v>
      </c>
      <c r="D193" t="str">
        <v>MicroSDCard</v>
      </c>
      <c r="E193">
        <v>8</v>
      </c>
      <c r="F193">
        <v>5000</v>
      </c>
      <c r="G193" t="str">
        <v>East</v>
      </c>
      <c r="H193" t="str">
        <v>Femi Adebayo</v>
      </c>
      <c r="I193" t="str">
        <v>Card</v>
      </c>
      <c r="J193">
        <v>10</v>
      </c>
    </row>
    <row r="194" spans="1:10" x14ac:dyDescent="0.25">
      <c r="A194">
        <v>3229</v>
      </c>
      <c r="B194">
        <v>45700</v>
      </c>
      <c r="C194" t="str">
        <v>Clothing</v>
      </c>
      <c r="D194" t="str">
        <v>FlipFlops</v>
      </c>
      <c r="E194">
        <v>6</v>
      </c>
      <c r="F194">
        <v>5000</v>
      </c>
      <c r="G194" t="str">
        <v>North</v>
      </c>
      <c r="H194" t="str">
        <v>Abiola Ogun</v>
      </c>
      <c r="I194" t="str">
        <v>Cash</v>
      </c>
      <c r="J194">
        <v>5</v>
      </c>
    </row>
    <row r="195" spans="1:10" x14ac:dyDescent="0.25">
      <c r="A195">
        <v>3235</v>
      </c>
      <c r="B195">
        <v>45706</v>
      </c>
      <c r="C195" t="str">
        <v>Clothing</v>
      </c>
      <c r="D195" t="str">
        <v>Leggings</v>
      </c>
      <c r="E195">
        <v>7</v>
      </c>
      <c r="F195">
        <v>8000</v>
      </c>
      <c r="G195" t="str">
        <v>East</v>
      </c>
      <c r="H195" t="str">
        <v>Femi Adebayo</v>
      </c>
      <c r="I195" t="str">
        <v>Cash</v>
      </c>
      <c r="J195">
        <v>0</v>
      </c>
    </row>
    <row r="196" spans="1:10" x14ac:dyDescent="0.25">
      <c r="A196">
        <v>3239</v>
      </c>
      <c r="B196">
        <v>45710</v>
      </c>
      <c r="C196" t="str">
        <v>Furniture</v>
      </c>
      <c r="D196" t="str">
        <v>FloatingShelf</v>
      </c>
      <c r="E196">
        <v>6</v>
      </c>
      <c r="F196">
        <v>15000</v>
      </c>
      <c r="G196" t="str">
        <v>East</v>
      </c>
      <c r="H196" t="str">
        <v>Femi Adebayo</v>
      </c>
      <c r="I196" t="str">
        <v>Transfer</v>
      </c>
      <c r="J196">
        <v>0</v>
      </c>
    </row>
    <row r="197" spans="1:10" x14ac:dyDescent="0.25">
      <c r="A197">
        <v>3243</v>
      </c>
      <c r="B197">
        <v>45714</v>
      </c>
      <c r="C197" t="str">
        <v>Electronics</v>
      </c>
      <c r="D197" t="str">
        <v>CarMount</v>
      </c>
      <c r="E197">
        <v>6</v>
      </c>
      <c r="F197">
        <v>3000</v>
      </c>
      <c r="G197" t="str">
        <v>East</v>
      </c>
      <c r="H197" t="str">
        <v>Femi Adebayo</v>
      </c>
      <c r="I197" t="str">
        <v>Card</v>
      </c>
      <c r="J197">
        <v>0</v>
      </c>
    </row>
    <row r="202" spans="1:10" x14ac:dyDescent="0.25">
      <c r="A202" s="9" t="s">
        <v>265</v>
      </c>
      <c r="B202" s="8"/>
      <c r="C202" s="8"/>
      <c r="D202" s="8"/>
      <c r="E202" s="8"/>
      <c r="F202" s="8"/>
      <c r="G202" s="8"/>
      <c r="H202" s="8"/>
      <c r="I202" s="8"/>
      <c r="J202" s="8"/>
    </row>
    <row r="203" spans="1:10" x14ac:dyDescent="0.25">
      <c r="A203" s="2" t="s">
        <v>0</v>
      </c>
      <c r="B203" s="10" t="s">
        <v>1</v>
      </c>
      <c r="C203" s="3" t="s">
        <v>2</v>
      </c>
      <c r="D203" s="3" t="s">
        <v>3</v>
      </c>
      <c r="E203" s="3" t="s">
        <v>4</v>
      </c>
      <c r="F203" s="6" t="s">
        <v>5</v>
      </c>
      <c r="G203" s="3" t="s">
        <v>6</v>
      </c>
      <c r="H203" s="3" t="s">
        <v>7</v>
      </c>
      <c r="I203" s="3" t="s">
        <v>8</v>
      </c>
      <c r="J203" s="4" t="s">
        <v>9</v>
      </c>
    </row>
    <row r="204" spans="1:10" x14ac:dyDescent="0.25">
      <c r="A204" cm="1">
        <f t="array" ref="A204:J343">_xlfn._xlws.FILTER(deepseek_csv_20260422_7f7afa[], (deepseek_csv_20260422_7f7afa[OrderDate]&gt;=DATE(2025, 2, 1)) *(deepseek_csv_20260422_7f7afa[OrderDate]&lt;=DATE(2025, 2, 28)), "No February Orders")</f>
        <v>3045</v>
      </c>
      <c r="B204" s="11">
        <v>45689</v>
      </c>
      <c r="C204" t="str">
        <v>Furniture</v>
      </c>
      <c r="D204" t="str">
        <v>MagazineRack</v>
      </c>
      <c r="E204">
        <v>2</v>
      </c>
      <c r="F204">
        <v>10000</v>
      </c>
      <c r="G204" t="str">
        <v>North</v>
      </c>
      <c r="H204" t="str">
        <v>Abiola Ogun</v>
      </c>
      <c r="I204" t="str">
        <v>Transfer</v>
      </c>
      <c r="J204">
        <v>5</v>
      </c>
    </row>
    <row r="205" spans="1:10" x14ac:dyDescent="0.25">
      <c r="A205">
        <v>3046</v>
      </c>
      <c r="B205" s="11">
        <v>45689</v>
      </c>
      <c r="C205" t="str">
        <v>Electronics</v>
      </c>
      <c r="D205" t="str">
        <v>HardDrive</v>
      </c>
      <c r="E205">
        <v>1</v>
      </c>
      <c r="F205">
        <v>55000</v>
      </c>
      <c r="G205" t="str">
        <v>South</v>
      </c>
      <c r="H205" t="str">
        <v>Chidi Nwosu</v>
      </c>
      <c r="I205" t="str">
        <v>Card</v>
      </c>
      <c r="J205">
        <v>0</v>
      </c>
    </row>
    <row r="206" spans="1:10" x14ac:dyDescent="0.25">
      <c r="A206">
        <v>3047</v>
      </c>
      <c r="B206" s="11">
        <v>45690</v>
      </c>
      <c r="C206" t="str">
        <v>Clothing</v>
      </c>
      <c r="D206" t="str">
        <v>Belt</v>
      </c>
      <c r="E206">
        <v>6</v>
      </c>
      <c r="F206">
        <v>6000</v>
      </c>
      <c r="G206" t="str">
        <v>East</v>
      </c>
      <c r="H206" t="str">
        <v>Femi Adebayo</v>
      </c>
      <c r="I206" t="str">
        <v>Cash</v>
      </c>
      <c r="J206">
        <v>0</v>
      </c>
    </row>
    <row r="207" spans="1:10" x14ac:dyDescent="0.25">
      <c r="A207">
        <v>3048</v>
      </c>
      <c r="B207" s="11">
        <v>45690</v>
      </c>
      <c r="C207" t="str">
        <v>Furniture</v>
      </c>
      <c r="D207" t="str">
        <v>FilingCabinet</v>
      </c>
      <c r="E207">
        <v>1</v>
      </c>
      <c r="F207">
        <v>35000</v>
      </c>
      <c r="G207" t="str">
        <v>West</v>
      </c>
      <c r="H207" t="str">
        <v>Tunde Bakare</v>
      </c>
      <c r="I207" t="str">
        <v>Transfer</v>
      </c>
      <c r="J207">
        <v>10</v>
      </c>
    </row>
    <row r="208" spans="1:10" x14ac:dyDescent="0.25">
      <c r="A208">
        <v>3049</v>
      </c>
      <c r="B208" s="11">
        <v>45691</v>
      </c>
      <c r="C208" t="str">
        <v>Electronics</v>
      </c>
      <c r="D208" t="str">
        <v>Microphone</v>
      </c>
      <c r="E208">
        <v>2</v>
      </c>
      <c r="F208">
        <v>20000</v>
      </c>
      <c r="G208" t="str">
        <v>North</v>
      </c>
      <c r="H208" t="str">
        <v>Abiola Ogun</v>
      </c>
      <c r="I208" t="str">
        <v>Card</v>
      </c>
      <c r="J208">
        <v>0</v>
      </c>
    </row>
    <row r="209" spans="1:10" x14ac:dyDescent="0.25">
      <c r="A209">
        <v>3050</v>
      </c>
      <c r="B209" s="11">
        <v>45691</v>
      </c>
      <c r="C209" t="str">
        <v>Clothing</v>
      </c>
      <c r="D209" t="str">
        <v>Slippers</v>
      </c>
      <c r="E209">
        <v>5</v>
      </c>
      <c r="F209">
        <v>7000</v>
      </c>
      <c r="G209" t="str">
        <v>South</v>
      </c>
      <c r="H209" t="str">
        <v>Chidi Nwosu</v>
      </c>
      <c r="I209" t="str">
        <v>Cash</v>
      </c>
      <c r="J209">
        <v>0</v>
      </c>
    </row>
    <row r="210" spans="1:10" x14ac:dyDescent="0.25">
      <c r="A210">
        <v>3051</v>
      </c>
      <c r="B210" s="11">
        <v>45692</v>
      </c>
      <c r="C210" t="str">
        <v>Furniture</v>
      </c>
      <c r="D210" t="str">
        <v>BeanBag</v>
      </c>
      <c r="E210">
        <v>3</v>
      </c>
      <c r="F210">
        <v>25000</v>
      </c>
      <c r="G210" t="str">
        <v>East</v>
      </c>
      <c r="H210" t="str">
        <v>Femi Adebayo</v>
      </c>
      <c r="I210" t="str">
        <v>Transfer</v>
      </c>
      <c r="J210">
        <v>5</v>
      </c>
    </row>
    <row r="211" spans="1:10" x14ac:dyDescent="0.25">
      <c r="A211">
        <v>3052</v>
      </c>
      <c r="B211" s="11">
        <v>45692</v>
      </c>
      <c r="C211" t="str">
        <v>Electronics</v>
      </c>
      <c r="D211" t="str">
        <v>Camera</v>
      </c>
      <c r="E211">
        <v>1</v>
      </c>
      <c r="F211">
        <v>180000</v>
      </c>
      <c r="G211" t="str">
        <v>West</v>
      </c>
      <c r="H211" t="str">
        <v>Tunde Bakare</v>
      </c>
      <c r="I211" t="str">
        <v>Card</v>
      </c>
      <c r="J211">
        <v>0</v>
      </c>
    </row>
    <row r="212" spans="1:10" x14ac:dyDescent="0.25">
      <c r="A212">
        <v>3053</v>
      </c>
      <c r="B212" s="11">
        <v>45693</v>
      </c>
      <c r="C212" t="str">
        <v>Clothing</v>
      </c>
      <c r="D212" t="str">
        <v>Bracelet</v>
      </c>
      <c r="E212">
        <v>8</v>
      </c>
      <c r="F212">
        <v>5000</v>
      </c>
      <c r="G212" t="str">
        <v>North</v>
      </c>
      <c r="H212" t="str">
        <v>Abiola Ogun</v>
      </c>
      <c r="I212" t="str">
        <v>Cash</v>
      </c>
      <c r="J212">
        <v>10</v>
      </c>
    </row>
    <row r="213" spans="1:10" x14ac:dyDescent="0.25">
      <c r="A213">
        <v>3054</v>
      </c>
      <c r="B213" s="11">
        <v>45693</v>
      </c>
      <c r="C213" t="str">
        <v>Furniture</v>
      </c>
      <c r="D213" t="str">
        <v>WallClock</v>
      </c>
      <c r="E213">
        <v>3</v>
      </c>
      <c r="F213">
        <v>12000</v>
      </c>
      <c r="G213" t="str">
        <v>South</v>
      </c>
      <c r="H213" t="str">
        <v>Chidi Nwosu</v>
      </c>
      <c r="I213" t="str">
        <v>Transfer</v>
      </c>
      <c r="J213">
        <v>0</v>
      </c>
    </row>
    <row r="214" spans="1:10" x14ac:dyDescent="0.25">
      <c r="A214">
        <v>3055</v>
      </c>
      <c r="B214" s="11">
        <v>45694</v>
      </c>
      <c r="C214" t="str">
        <v>Electronics</v>
      </c>
      <c r="D214" t="str">
        <v>Headset</v>
      </c>
      <c r="E214">
        <v>4</v>
      </c>
      <c r="F214">
        <v>15000</v>
      </c>
      <c r="G214" t="str">
        <v>East</v>
      </c>
      <c r="H214" t="str">
        <v>Femi Adebayo</v>
      </c>
      <c r="I214" t="str">
        <v>Card</v>
      </c>
      <c r="J214">
        <v>0</v>
      </c>
    </row>
    <row r="215" spans="1:10" x14ac:dyDescent="0.25">
      <c r="A215">
        <v>3056</v>
      </c>
      <c r="B215" s="11">
        <v>45694</v>
      </c>
      <c r="C215" t="str">
        <v>Clothing</v>
      </c>
      <c r="D215" t="str">
        <v>Socks</v>
      </c>
      <c r="E215">
        <v>12</v>
      </c>
      <c r="F215">
        <v>2000</v>
      </c>
      <c r="G215" t="str">
        <v>West</v>
      </c>
      <c r="H215" t="str">
        <v>Tunde Bakare</v>
      </c>
      <c r="I215" t="str">
        <v>Cash</v>
      </c>
      <c r="J215">
        <v>5</v>
      </c>
    </row>
    <row r="216" spans="1:10" x14ac:dyDescent="0.25">
      <c r="A216">
        <v>3057</v>
      </c>
      <c r="B216" s="11">
        <v>45695</v>
      </c>
      <c r="C216" t="str">
        <v>Furniture</v>
      </c>
      <c r="D216" t="str">
        <v>PlantStand</v>
      </c>
      <c r="E216">
        <v>3</v>
      </c>
      <c r="F216">
        <v>8000</v>
      </c>
      <c r="G216" t="str">
        <v>North</v>
      </c>
      <c r="H216" t="str">
        <v>Abiola Ogun</v>
      </c>
      <c r="I216" t="str">
        <v>Transfer</v>
      </c>
      <c r="J216">
        <v>0</v>
      </c>
    </row>
    <row r="217" spans="1:10" x14ac:dyDescent="0.25">
      <c r="A217">
        <v>3058</v>
      </c>
      <c r="B217" s="11">
        <v>45695</v>
      </c>
      <c r="C217" t="str">
        <v>Electronics</v>
      </c>
      <c r="D217" t="str">
        <v>GraphicsTablet</v>
      </c>
      <c r="E217">
        <v>1</v>
      </c>
      <c r="F217">
        <v>45000</v>
      </c>
      <c r="G217" t="str">
        <v>South</v>
      </c>
      <c r="H217" t="str">
        <v>Chidi Nwosu</v>
      </c>
      <c r="I217" t="str">
        <v>Card</v>
      </c>
      <c r="J217">
        <v>0</v>
      </c>
    </row>
    <row r="218" spans="1:10" x14ac:dyDescent="0.25">
      <c r="A218">
        <v>3059</v>
      </c>
      <c r="B218" s="11">
        <v>45696</v>
      </c>
      <c r="C218" t="str">
        <v>Clothing</v>
      </c>
      <c r="D218" t="str">
        <v>Necklace</v>
      </c>
      <c r="E218">
        <v>6</v>
      </c>
      <c r="F218">
        <v>8000</v>
      </c>
      <c r="G218" t="str">
        <v>East</v>
      </c>
      <c r="H218" t="str">
        <v>Femi Adebayo</v>
      </c>
      <c r="I218" t="str">
        <v>Cash</v>
      </c>
      <c r="J218">
        <v>5</v>
      </c>
    </row>
    <row r="219" spans="1:10" x14ac:dyDescent="0.25">
      <c r="A219">
        <v>3060</v>
      </c>
      <c r="B219" s="11">
        <v>45696</v>
      </c>
      <c r="C219" t="str">
        <v>Furniture</v>
      </c>
      <c r="D219" t="str">
        <v>BarStool</v>
      </c>
      <c r="E219">
        <v>4</v>
      </c>
      <c r="F219">
        <v>20000</v>
      </c>
      <c r="G219" t="str">
        <v>West</v>
      </c>
      <c r="H219" t="str">
        <v>Tunde Bakare</v>
      </c>
      <c r="I219" t="str">
        <v>Transfer</v>
      </c>
      <c r="J219">
        <v>0</v>
      </c>
    </row>
    <row r="220" spans="1:10" x14ac:dyDescent="0.25">
      <c r="A220">
        <v>3061</v>
      </c>
      <c r="B220" s="11">
        <v>45697</v>
      </c>
      <c r="C220" t="str">
        <v>Electronics</v>
      </c>
      <c r="D220" t="str">
        <v>SmartLight</v>
      </c>
      <c r="E220">
        <v>5</v>
      </c>
      <c r="F220">
        <v>8000</v>
      </c>
      <c r="G220" t="str">
        <v>North</v>
      </c>
      <c r="H220" t="str">
        <v>Abiola Ogun</v>
      </c>
      <c r="I220" t="str">
        <v>Card</v>
      </c>
      <c r="J220">
        <v>10</v>
      </c>
    </row>
    <row r="221" spans="1:10" x14ac:dyDescent="0.25">
      <c r="A221">
        <v>3062</v>
      </c>
      <c r="B221" s="11">
        <v>45697</v>
      </c>
      <c r="C221" t="str">
        <v>Clothing</v>
      </c>
      <c r="D221" t="str">
        <v>Cap</v>
      </c>
      <c r="E221">
        <v>8</v>
      </c>
      <c r="F221">
        <v>4000</v>
      </c>
      <c r="G221" t="str">
        <v>South</v>
      </c>
      <c r="H221" t="str">
        <v>Chidi Nwosu</v>
      </c>
      <c r="I221" t="str">
        <v>Cash</v>
      </c>
      <c r="J221">
        <v>0</v>
      </c>
    </row>
    <row r="222" spans="1:10" x14ac:dyDescent="0.25">
      <c r="A222">
        <v>3063</v>
      </c>
      <c r="B222" s="11">
        <v>45698</v>
      </c>
      <c r="C222" t="str">
        <v>Furniture</v>
      </c>
      <c r="D222" t="str">
        <v>Rug</v>
      </c>
      <c r="E222">
        <v>2</v>
      </c>
      <c r="F222">
        <v>45000</v>
      </c>
      <c r="G222" t="str">
        <v>East</v>
      </c>
      <c r="H222" t="str">
        <v>Femi Adebayo</v>
      </c>
      <c r="I222" t="str">
        <v>Transfer</v>
      </c>
      <c r="J222">
        <v>0</v>
      </c>
    </row>
    <row r="223" spans="1:10" x14ac:dyDescent="0.25">
      <c r="A223">
        <v>3064</v>
      </c>
      <c r="B223" s="11">
        <v>45698</v>
      </c>
      <c r="C223" t="str">
        <v>Electronics</v>
      </c>
      <c r="D223" t="str">
        <v>FitnessTracker</v>
      </c>
      <c r="E223">
        <v>2</v>
      </c>
      <c r="F223">
        <v>25000</v>
      </c>
      <c r="G223" t="str">
        <v>West</v>
      </c>
      <c r="H223" t="str">
        <v>Tunde Bakare</v>
      </c>
      <c r="I223" t="str">
        <v>Card</v>
      </c>
      <c r="J223">
        <v>5</v>
      </c>
    </row>
    <row r="224" spans="1:10" x14ac:dyDescent="0.25">
      <c r="A224">
        <v>3065</v>
      </c>
      <c r="B224" s="11">
        <v>45699</v>
      </c>
      <c r="C224" t="str">
        <v>Clothing</v>
      </c>
      <c r="D224" t="str">
        <v>Handbag</v>
      </c>
      <c r="E224">
        <v>1</v>
      </c>
      <c r="F224">
        <v>35000</v>
      </c>
      <c r="G224" t="str">
        <v>North</v>
      </c>
      <c r="H224" t="str">
        <v>Abiola Ogun</v>
      </c>
      <c r="I224" t="str">
        <v>Cash</v>
      </c>
      <c r="J224">
        <v>0</v>
      </c>
    </row>
    <row r="225" spans="1:10" x14ac:dyDescent="0.25">
      <c r="A225">
        <v>3066</v>
      </c>
      <c r="B225" s="11">
        <v>45699</v>
      </c>
      <c r="C225" t="str">
        <v>Furniture</v>
      </c>
      <c r="D225" t="str">
        <v>TVStand</v>
      </c>
      <c r="E225">
        <v>1</v>
      </c>
      <c r="F225">
        <v>65000</v>
      </c>
      <c r="G225" t="str">
        <v>South</v>
      </c>
      <c r="H225" t="str">
        <v>Chidi Nwosu</v>
      </c>
      <c r="I225" t="str">
        <v>Transfer</v>
      </c>
      <c r="J225">
        <v>15</v>
      </c>
    </row>
    <row r="226" spans="1:10" x14ac:dyDescent="0.25">
      <c r="A226">
        <v>3067</v>
      </c>
      <c r="B226" s="11">
        <v>45700</v>
      </c>
      <c r="C226" t="str">
        <v>Electronics</v>
      </c>
      <c r="D226" t="str">
        <v>Projector</v>
      </c>
      <c r="E226">
        <v>1</v>
      </c>
      <c r="F226">
        <v>250000</v>
      </c>
      <c r="G226" t="str">
        <v>East</v>
      </c>
      <c r="H226" t="str">
        <v>Femi Adebayo</v>
      </c>
      <c r="I226" t="str">
        <v>Card</v>
      </c>
      <c r="J226">
        <v>0</v>
      </c>
    </row>
    <row r="227" spans="1:10" x14ac:dyDescent="0.25">
      <c r="A227">
        <v>3068</v>
      </c>
      <c r="B227" s="11">
        <v>45700</v>
      </c>
      <c r="C227" t="str">
        <v>Clothing</v>
      </c>
      <c r="D227" t="str">
        <v>PoloShirt</v>
      </c>
      <c r="E227">
        <v>4</v>
      </c>
      <c r="F227">
        <v>10000</v>
      </c>
      <c r="G227" t="str">
        <v>West</v>
      </c>
      <c r="H227" t="str">
        <v>Tunde Bakare</v>
      </c>
      <c r="I227" t="str">
        <v>Cash</v>
      </c>
      <c r="J227">
        <v>5</v>
      </c>
    </row>
    <row r="228" spans="1:10" x14ac:dyDescent="0.25">
      <c r="A228">
        <v>3069</v>
      </c>
      <c r="B228" s="11">
        <v>45701</v>
      </c>
      <c r="C228" t="str">
        <v>Furniture</v>
      </c>
      <c r="D228" t="str">
        <v>LaundryBasket</v>
      </c>
      <c r="E228">
        <v>3</v>
      </c>
      <c r="F228">
        <v>8000</v>
      </c>
      <c r="G228" t="str">
        <v>North</v>
      </c>
      <c r="H228" t="str">
        <v>Abiola Ogun</v>
      </c>
      <c r="I228" t="str">
        <v>Transfer</v>
      </c>
      <c r="J228">
        <v>0</v>
      </c>
    </row>
    <row r="229" spans="1:10" x14ac:dyDescent="0.25">
      <c r="A229">
        <v>3070</v>
      </c>
      <c r="B229" s="11">
        <v>45701</v>
      </c>
      <c r="C229" t="str">
        <v>Electronics</v>
      </c>
      <c r="D229" t="str">
        <v>ExternalBattery</v>
      </c>
      <c r="E229">
        <v>3</v>
      </c>
      <c r="F229">
        <v>12000</v>
      </c>
      <c r="G229" t="str">
        <v>South</v>
      </c>
      <c r="H229" t="str">
        <v>Chidi Nwosu</v>
      </c>
      <c r="I229" t="str">
        <v>Card</v>
      </c>
      <c r="J229">
        <v>0</v>
      </c>
    </row>
    <row r="230" spans="1:10" x14ac:dyDescent="0.25">
      <c r="A230">
        <v>3071</v>
      </c>
      <c r="B230" s="11">
        <v>45702</v>
      </c>
      <c r="C230" t="str">
        <v>Clothing</v>
      </c>
      <c r="D230" t="str">
        <v>FlipFlops</v>
      </c>
      <c r="E230">
        <v>7</v>
      </c>
      <c r="F230">
        <v>5000</v>
      </c>
      <c r="G230" t="str">
        <v>East</v>
      </c>
      <c r="H230" t="str">
        <v>Femi Adebayo</v>
      </c>
      <c r="I230" t="str">
        <v>Cash</v>
      </c>
      <c r="J230">
        <v>10</v>
      </c>
    </row>
    <row r="231" spans="1:10" x14ac:dyDescent="0.25">
      <c r="A231">
        <v>3072</v>
      </c>
      <c r="B231" s="11">
        <v>45702</v>
      </c>
      <c r="C231" t="str">
        <v>Furniture</v>
      </c>
      <c r="D231" t="str">
        <v>Stool</v>
      </c>
      <c r="E231">
        <v>5</v>
      </c>
      <c r="F231">
        <v>7000</v>
      </c>
      <c r="G231" t="str">
        <v>West</v>
      </c>
      <c r="H231" t="str">
        <v>Tunde Bakare</v>
      </c>
      <c r="I231" t="str">
        <v>Transfer</v>
      </c>
      <c r="J231">
        <v>0</v>
      </c>
    </row>
    <row r="232" spans="1:10" x14ac:dyDescent="0.25">
      <c r="A232">
        <v>3073</v>
      </c>
      <c r="B232" s="11">
        <v>45703</v>
      </c>
      <c r="C232" t="str">
        <v>Electronics</v>
      </c>
      <c r="D232" t="str">
        <v>VRHeadset</v>
      </c>
      <c r="E232">
        <v>1</v>
      </c>
      <c r="F232">
        <v>150000</v>
      </c>
      <c r="G232" t="str">
        <v>North</v>
      </c>
      <c r="H232" t="str">
        <v>Abiola Ogun</v>
      </c>
      <c r="I232" t="str">
        <v>Card</v>
      </c>
      <c r="J232">
        <v>0</v>
      </c>
    </row>
    <row r="233" spans="1:10" x14ac:dyDescent="0.25">
      <c r="A233">
        <v>3074</v>
      </c>
      <c r="B233" s="11">
        <v>45703</v>
      </c>
      <c r="C233" t="str">
        <v>Clothing</v>
      </c>
      <c r="D233" t="str">
        <v>TankTop</v>
      </c>
      <c r="E233">
        <v>8</v>
      </c>
      <c r="F233">
        <v>4000</v>
      </c>
      <c r="G233" t="str">
        <v>South</v>
      </c>
      <c r="H233" t="str">
        <v>Chidi Nwosu</v>
      </c>
      <c r="I233" t="str">
        <v>Cash</v>
      </c>
      <c r="J233">
        <v>5</v>
      </c>
    </row>
    <row r="234" spans="1:10" x14ac:dyDescent="0.25">
      <c r="A234">
        <v>3075</v>
      </c>
      <c r="B234" s="11">
        <v>45704</v>
      </c>
      <c r="C234" t="str">
        <v>Furniture</v>
      </c>
      <c r="D234" t="str">
        <v>Curtains</v>
      </c>
      <c r="E234">
        <v>3</v>
      </c>
      <c r="F234">
        <v>20000</v>
      </c>
      <c r="G234" t="str">
        <v>East</v>
      </c>
      <c r="H234" t="str">
        <v>Femi Adebayo</v>
      </c>
      <c r="I234" t="str">
        <v>Transfer</v>
      </c>
      <c r="J234">
        <v>0</v>
      </c>
    </row>
    <row r="235" spans="1:10" x14ac:dyDescent="0.25">
      <c r="A235">
        <v>3076</v>
      </c>
      <c r="B235" s="11">
        <v>45704</v>
      </c>
      <c r="C235" t="str">
        <v>Electronics</v>
      </c>
      <c r="D235" t="str">
        <v>USBHub</v>
      </c>
      <c r="E235">
        <v>4</v>
      </c>
      <c r="F235">
        <v>6000</v>
      </c>
      <c r="G235" t="str">
        <v>West</v>
      </c>
      <c r="H235" t="str">
        <v>Tunde Bakare</v>
      </c>
      <c r="I235" t="str">
        <v>Card</v>
      </c>
      <c r="J235">
        <v>0</v>
      </c>
    </row>
    <row r="236" spans="1:10" x14ac:dyDescent="0.25">
      <c r="A236">
        <v>3077</v>
      </c>
      <c r="B236" s="11">
        <v>45705</v>
      </c>
      <c r="C236" t="str">
        <v>Clothing</v>
      </c>
      <c r="D236" t="str">
        <v>Sandals</v>
      </c>
      <c r="E236">
        <v>3</v>
      </c>
      <c r="F236">
        <v>12000</v>
      </c>
      <c r="G236" t="str">
        <v>North</v>
      </c>
      <c r="H236" t="str">
        <v>Abiola Ogun</v>
      </c>
      <c r="I236" t="str">
        <v>Cash</v>
      </c>
      <c r="J236">
        <v>5</v>
      </c>
    </row>
    <row r="237" spans="1:10" x14ac:dyDescent="0.25">
      <c r="A237">
        <v>3078</v>
      </c>
      <c r="B237" s="11">
        <v>45705</v>
      </c>
      <c r="C237" t="str">
        <v>Furniture</v>
      </c>
      <c r="D237" t="str">
        <v>KeyHolder</v>
      </c>
      <c r="E237">
        <v>7</v>
      </c>
      <c r="F237">
        <v>3000</v>
      </c>
      <c r="G237" t="str">
        <v>South</v>
      </c>
      <c r="H237" t="str">
        <v>Chidi Nwosu</v>
      </c>
      <c r="I237" t="str">
        <v>Transfer</v>
      </c>
      <c r="J237">
        <v>0</v>
      </c>
    </row>
    <row r="238" spans="1:10" x14ac:dyDescent="0.25">
      <c r="A238">
        <v>3079</v>
      </c>
      <c r="B238" s="11">
        <v>45706</v>
      </c>
      <c r="C238" t="str">
        <v>Electronics</v>
      </c>
      <c r="D238" t="str">
        <v>CardReader</v>
      </c>
      <c r="E238">
        <v>2</v>
      </c>
      <c r="F238">
        <v>15000</v>
      </c>
      <c r="G238" t="str">
        <v>East</v>
      </c>
      <c r="H238" t="str">
        <v>Femi Adebayo</v>
      </c>
      <c r="I238" t="str">
        <v>Card</v>
      </c>
      <c r="J238">
        <v>0</v>
      </c>
    </row>
    <row r="239" spans="1:10" x14ac:dyDescent="0.25">
      <c r="A239">
        <v>3080</v>
      </c>
      <c r="B239" s="11">
        <v>45706</v>
      </c>
      <c r="C239" t="str">
        <v>Clothing</v>
      </c>
      <c r="D239" t="str">
        <v>Watch</v>
      </c>
      <c r="E239">
        <v>1</v>
      </c>
      <c r="F239">
        <v>25000</v>
      </c>
      <c r="G239" t="str">
        <v>West</v>
      </c>
      <c r="H239" t="str">
        <v>Tunde Bakare</v>
      </c>
      <c r="I239" t="str">
        <v>Cash</v>
      </c>
      <c r="J239">
        <v>10</v>
      </c>
    </row>
    <row r="240" spans="1:10" x14ac:dyDescent="0.25">
      <c r="A240">
        <v>3081</v>
      </c>
      <c r="B240" s="11">
        <v>45707</v>
      </c>
      <c r="C240" t="str">
        <v>Furniture</v>
      </c>
      <c r="D240" t="str">
        <v>WallShelf</v>
      </c>
      <c r="E240">
        <v>3</v>
      </c>
      <c r="F240">
        <v>12000</v>
      </c>
      <c r="G240" t="str">
        <v>North</v>
      </c>
      <c r="H240" t="str">
        <v>Abiola Ogun</v>
      </c>
      <c r="I240" t="str">
        <v>Transfer</v>
      </c>
      <c r="J240">
        <v>0</v>
      </c>
    </row>
    <row r="241" spans="1:10" x14ac:dyDescent="0.25">
      <c r="A241">
        <v>3082</v>
      </c>
      <c r="B241" s="11">
        <v>45707</v>
      </c>
      <c r="C241" t="str">
        <v>Electronics</v>
      </c>
      <c r="D241" t="str">
        <v>SmartPlug</v>
      </c>
      <c r="E241">
        <v>4</v>
      </c>
      <c r="F241">
        <v>8000</v>
      </c>
      <c r="G241" t="str">
        <v>South</v>
      </c>
      <c r="H241" t="str">
        <v>Chidi Nwosu</v>
      </c>
      <c r="I241" t="str">
        <v>Card</v>
      </c>
      <c r="J241">
        <v>0</v>
      </c>
    </row>
    <row r="242" spans="1:10" x14ac:dyDescent="0.25">
      <c r="A242">
        <v>3083</v>
      </c>
      <c r="B242" s="11">
        <v>45708</v>
      </c>
      <c r="C242" t="str">
        <v>Clothing</v>
      </c>
      <c r="D242" t="str">
        <v>Raincoat</v>
      </c>
      <c r="E242">
        <v>1</v>
      </c>
      <c r="F242">
        <v>18000</v>
      </c>
      <c r="G242" t="str">
        <v>East</v>
      </c>
      <c r="H242" t="str">
        <v>Femi Adebayo</v>
      </c>
      <c r="I242" t="str">
        <v>Cash</v>
      </c>
      <c r="J242">
        <v>5</v>
      </c>
    </row>
    <row r="243" spans="1:10" x14ac:dyDescent="0.25">
      <c r="A243">
        <v>3084</v>
      </c>
      <c r="B243" s="11">
        <v>45708</v>
      </c>
      <c r="C243" t="str">
        <v>Furniture</v>
      </c>
      <c r="D243" t="str">
        <v>PetBed</v>
      </c>
      <c r="E243">
        <v>3</v>
      </c>
      <c r="F243">
        <v>10000</v>
      </c>
      <c r="G243" t="str">
        <v>West</v>
      </c>
      <c r="H243" t="str">
        <v>Tunde Bakare</v>
      </c>
      <c r="I243" t="str">
        <v>Transfer</v>
      </c>
      <c r="J243">
        <v>0</v>
      </c>
    </row>
    <row r="244" spans="1:10" x14ac:dyDescent="0.25">
      <c r="A244">
        <v>3085</v>
      </c>
      <c r="B244" s="11">
        <v>45709</v>
      </c>
      <c r="C244" t="str">
        <v>Electronics</v>
      </c>
      <c r="D244" t="str">
        <v>DockingStation</v>
      </c>
      <c r="E244">
        <v>1</v>
      </c>
      <c r="F244">
        <v>25000</v>
      </c>
      <c r="G244" t="str">
        <v>North</v>
      </c>
      <c r="H244" t="str">
        <v>Abiola Ogun</v>
      </c>
      <c r="I244" t="str">
        <v>Card</v>
      </c>
      <c r="J244">
        <v>0</v>
      </c>
    </row>
    <row r="245" spans="1:10" x14ac:dyDescent="0.25">
      <c r="A245">
        <v>3086</v>
      </c>
      <c r="B245" s="11">
        <v>45709</v>
      </c>
      <c r="C245" t="str">
        <v>Clothing</v>
      </c>
      <c r="D245" t="str">
        <v>Pyjamas</v>
      </c>
      <c r="E245">
        <v>4</v>
      </c>
      <c r="F245">
        <v>9000</v>
      </c>
      <c r="G245" t="str">
        <v>South</v>
      </c>
      <c r="H245" t="str">
        <v>Chidi Nwosu</v>
      </c>
      <c r="I245" t="str">
        <v>Cash</v>
      </c>
      <c r="J245">
        <v>10</v>
      </c>
    </row>
    <row r="246" spans="1:10" x14ac:dyDescent="0.25">
      <c r="A246">
        <v>3087</v>
      </c>
      <c r="B246" s="11">
        <v>45710</v>
      </c>
      <c r="C246" t="str">
        <v>Furniture</v>
      </c>
      <c r="D246" t="str">
        <v>TVRemoteHolder</v>
      </c>
      <c r="E246">
        <v>8</v>
      </c>
      <c r="F246">
        <v>2000</v>
      </c>
      <c r="G246" t="str">
        <v>East</v>
      </c>
      <c r="H246" t="str">
        <v>Femi Adebayo</v>
      </c>
      <c r="I246" t="str">
        <v>Transfer</v>
      </c>
      <c r="J246">
        <v>0</v>
      </c>
    </row>
    <row r="247" spans="1:10" x14ac:dyDescent="0.25">
      <c r="A247">
        <v>3088</v>
      </c>
      <c r="B247" s="11">
        <v>45710</v>
      </c>
      <c r="C247" t="str">
        <v>Electronics</v>
      </c>
      <c r="D247" t="str">
        <v>ScreenProtector</v>
      </c>
      <c r="E247">
        <v>10</v>
      </c>
      <c r="F247">
        <v>3000</v>
      </c>
      <c r="G247" t="str">
        <v>West</v>
      </c>
      <c r="H247" t="str">
        <v>Tunde Bakare</v>
      </c>
      <c r="I247" t="str">
        <v>Card</v>
      </c>
      <c r="J247">
        <v>5</v>
      </c>
    </row>
    <row r="248" spans="1:10" x14ac:dyDescent="0.25">
      <c r="A248">
        <v>3089</v>
      </c>
      <c r="B248" s="11">
        <v>45711</v>
      </c>
      <c r="C248" t="str">
        <v>Clothing</v>
      </c>
      <c r="D248" t="str">
        <v>Necktie</v>
      </c>
      <c r="E248">
        <v>6</v>
      </c>
      <c r="F248">
        <v>5000</v>
      </c>
      <c r="G248" t="str">
        <v>North</v>
      </c>
      <c r="H248" t="str">
        <v>Abiola Ogun</v>
      </c>
      <c r="I248" t="str">
        <v>Cash</v>
      </c>
      <c r="J248">
        <v>0</v>
      </c>
    </row>
    <row r="249" spans="1:10" x14ac:dyDescent="0.25">
      <c r="A249">
        <v>3090</v>
      </c>
      <c r="B249" s="11">
        <v>45711</v>
      </c>
      <c r="C249" t="str">
        <v>Furniture</v>
      </c>
      <c r="D249" t="str">
        <v>FoldableTable</v>
      </c>
      <c r="E249">
        <v>3</v>
      </c>
      <c r="F249">
        <v>15000</v>
      </c>
      <c r="G249" t="str">
        <v>South</v>
      </c>
      <c r="H249" t="str">
        <v>Chidi Nwosu</v>
      </c>
      <c r="I249" t="str">
        <v>Transfer</v>
      </c>
      <c r="J249">
        <v>0</v>
      </c>
    </row>
    <row r="250" spans="1:10" x14ac:dyDescent="0.25">
      <c r="A250">
        <v>3091</v>
      </c>
      <c r="B250" s="11">
        <v>45712</v>
      </c>
      <c r="C250" t="str">
        <v>Electronics</v>
      </c>
      <c r="D250" t="str">
        <v>PhoneStand</v>
      </c>
      <c r="E250">
        <v>7</v>
      </c>
      <c r="F250">
        <v>4000</v>
      </c>
      <c r="G250" t="str">
        <v>East</v>
      </c>
      <c r="H250" t="str">
        <v>Femi Adebayo</v>
      </c>
      <c r="I250" t="str">
        <v>Card</v>
      </c>
      <c r="J250">
        <v>5</v>
      </c>
    </row>
    <row r="251" spans="1:10" x14ac:dyDescent="0.25">
      <c r="A251">
        <v>3092</v>
      </c>
      <c r="B251" s="11">
        <v>45712</v>
      </c>
      <c r="C251" t="str">
        <v>Clothing</v>
      </c>
      <c r="D251" t="str">
        <v>Suspenders</v>
      </c>
      <c r="E251">
        <v>3</v>
      </c>
      <c r="F251">
        <v>6000</v>
      </c>
      <c r="G251" t="str">
        <v>West</v>
      </c>
      <c r="H251" t="str">
        <v>Tunde Bakare</v>
      </c>
      <c r="I251" t="str">
        <v>Cash</v>
      </c>
      <c r="J251">
        <v>0</v>
      </c>
    </row>
    <row r="252" spans="1:10" x14ac:dyDescent="0.25">
      <c r="A252">
        <v>3093</v>
      </c>
      <c r="B252" s="11">
        <v>45713</v>
      </c>
      <c r="C252" t="str">
        <v>Furniture</v>
      </c>
      <c r="D252" t="str">
        <v>VanityStool</v>
      </c>
      <c r="E252">
        <v>2</v>
      </c>
      <c r="F252">
        <v>18000</v>
      </c>
      <c r="G252" t="str">
        <v>North</v>
      </c>
      <c r="H252" t="str">
        <v>Abiola Ogun</v>
      </c>
      <c r="I252" t="str">
        <v>Transfer</v>
      </c>
      <c r="J252">
        <v>0</v>
      </c>
    </row>
    <row r="253" spans="1:10" x14ac:dyDescent="0.25">
      <c r="A253">
        <v>3094</v>
      </c>
      <c r="B253" s="11">
        <v>45713</v>
      </c>
      <c r="C253" t="str">
        <v>Electronics</v>
      </c>
      <c r="D253" t="str">
        <v>SmartScale</v>
      </c>
      <c r="E253">
        <v>2</v>
      </c>
      <c r="F253">
        <v>22000</v>
      </c>
      <c r="G253" t="str">
        <v>South</v>
      </c>
      <c r="H253" t="str">
        <v>Chidi Nwosu</v>
      </c>
      <c r="I253" t="str">
        <v>Card</v>
      </c>
      <c r="J253">
        <v>10</v>
      </c>
    </row>
    <row r="254" spans="1:10" x14ac:dyDescent="0.25">
      <c r="A254">
        <v>3095</v>
      </c>
      <c r="B254" s="11">
        <v>45714</v>
      </c>
      <c r="C254" t="str">
        <v>Clothing</v>
      </c>
      <c r="D254" t="str">
        <v>Kaftan</v>
      </c>
      <c r="E254">
        <v>3</v>
      </c>
      <c r="F254">
        <v>25000</v>
      </c>
      <c r="G254" t="str">
        <v>East</v>
      </c>
      <c r="H254" t="str">
        <v>Femi Adebayo</v>
      </c>
      <c r="I254" t="str">
        <v>Cash</v>
      </c>
      <c r="J254">
        <v>0</v>
      </c>
    </row>
    <row r="255" spans="1:10" x14ac:dyDescent="0.25">
      <c r="A255">
        <v>3096</v>
      </c>
      <c r="B255" s="11">
        <v>45714</v>
      </c>
      <c r="C255" t="str">
        <v>Furniture</v>
      </c>
      <c r="D255" t="str">
        <v>WallArt</v>
      </c>
      <c r="E255">
        <v>4</v>
      </c>
      <c r="F255">
        <v>15000</v>
      </c>
      <c r="G255" t="str">
        <v>West</v>
      </c>
      <c r="H255" t="str">
        <v>Tunde Bakare</v>
      </c>
      <c r="I255" t="str">
        <v>Transfer</v>
      </c>
      <c r="J255">
        <v>5</v>
      </c>
    </row>
    <row r="256" spans="1:10" x14ac:dyDescent="0.25">
      <c r="A256">
        <v>3097</v>
      </c>
      <c r="B256" s="11">
        <v>45715</v>
      </c>
      <c r="C256" t="str">
        <v>Electronics</v>
      </c>
      <c r="D256" t="str">
        <v>CableOrganizer</v>
      </c>
      <c r="E256">
        <v>6</v>
      </c>
      <c r="F256">
        <v>3000</v>
      </c>
      <c r="G256" t="str">
        <v>North</v>
      </c>
      <c r="H256" t="str">
        <v>Abiola Ogun</v>
      </c>
      <c r="I256" t="str">
        <v>Card</v>
      </c>
      <c r="J256">
        <v>0</v>
      </c>
    </row>
    <row r="257" spans="1:10" x14ac:dyDescent="0.25">
      <c r="A257">
        <v>3098</v>
      </c>
      <c r="B257" s="11">
        <v>45715</v>
      </c>
      <c r="C257" t="str">
        <v>Clothing</v>
      </c>
      <c r="D257" t="str">
        <v>Cufflinks</v>
      </c>
      <c r="E257">
        <v>4</v>
      </c>
      <c r="F257">
        <v>8000</v>
      </c>
      <c r="G257" t="str">
        <v>South</v>
      </c>
      <c r="H257" t="str">
        <v>Chidi Nwosu</v>
      </c>
      <c r="I257" t="str">
        <v>Cash</v>
      </c>
      <c r="J257">
        <v>0</v>
      </c>
    </row>
    <row r="258" spans="1:10" x14ac:dyDescent="0.25">
      <c r="A258">
        <v>3099</v>
      </c>
      <c r="B258" s="11">
        <v>45716</v>
      </c>
      <c r="C258" t="str">
        <v>Furniture</v>
      </c>
      <c r="D258" t="str">
        <v>FloorLamp</v>
      </c>
      <c r="E258">
        <v>2</v>
      </c>
      <c r="F258">
        <v>25000</v>
      </c>
      <c r="G258" t="str">
        <v>East</v>
      </c>
      <c r="H258" t="str">
        <v>Femi Adebayo</v>
      </c>
      <c r="I258" t="str">
        <v>Transfer</v>
      </c>
      <c r="J258">
        <v>5</v>
      </c>
    </row>
    <row r="259" spans="1:10" x14ac:dyDescent="0.25">
      <c r="A259">
        <v>3100</v>
      </c>
      <c r="B259" s="11">
        <v>45716</v>
      </c>
      <c r="C259" t="str">
        <v>Electronics</v>
      </c>
      <c r="D259" t="str">
        <v>AirPurifier</v>
      </c>
      <c r="E259">
        <v>1</v>
      </c>
      <c r="F259">
        <v>85000</v>
      </c>
      <c r="G259" t="str">
        <v>West</v>
      </c>
      <c r="H259" t="str">
        <v>Tunde Bakare</v>
      </c>
      <c r="I259" t="str">
        <v>Card</v>
      </c>
      <c r="J259">
        <v>0</v>
      </c>
    </row>
    <row r="260" spans="1:10" x14ac:dyDescent="0.25">
      <c r="A260">
        <v>3121</v>
      </c>
      <c r="B260" s="11">
        <v>45689</v>
      </c>
      <c r="C260" t="str">
        <v>Furniture</v>
      </c>
      <c r="D260" t="str">
        <v>WallMirror</v>
      </c>
      <c r="E260">
        <v>2</v>
      </c>
      <c r="F260">
        <v>18000</v>
      </c>
      <c r="G260" t="str">
        <v>North</v>
      </c>
      <c r="H260" t="str">
        <v>Abiola Ogun</v>
      </c>
      <c r="I260" t="str">
        <v>Transfer</v>
      </c>
      <c r="J260">
        <v>5</v>
      </c>
    </row>
    <row r="261" spans="1:10" x14ac:dyDescent="0.25">
      <c r="A261">
        <v>3122</v>
      </c>
      <c r="B261" s="11">
        <v>45690</v>
      </c>
      <c r="C261" t="str">
        <v>Electronics</v>
      </c>
      <c r="D261" t="str">
        <v>DeskFan</v>
      </c>
      <c r="E261">
        <v>2</v>
      </c>
      <c r="F261">
        <v>12000</v>
      </c>
      <c r="G261" t="str">
        <v>South</v>
      </c>
      <c r="H261" t="str">
        <v>Chidi Nwosu</v>
      </c>
      <c r="I261" t="str">
        <v>Card</v>
      </c>
      <c r="J261">
        <v>0</v>
      </c>
    </row>
    <row r="262" spans="1:10" x14ac:dyDescent="0.25">
      <c r="A262">
        <v>3123</v>
      </c>
      <c r="B262" s="11">
        <v>45691</v>
      </c>
      <c r="C262" t="str">
        <v>Clothing</v>
      </c>
      <c r="D262" t="str">
        <v>Chinos</v>
      </c>
      <c r="E262">
        <v>4</v>
      </c>
      <c r="F262">
        <v>18000</v>
      </c>
      <c r="G262" t="str">
        <v>East</v>
      </c>
      <c r="H262" t="str">
        <v>Femi Adebayo</v>
      </c>
      <c r="I262" t="str">
        <v>Cash</v>
      </c>
      <c r="J262">
        <v>0</v>
      </c>
    </row>
    <row r="263" spans="1:10" x14ac:dyDescent="0.25">
      <c r="A263">
        <v>3124</v>
      </c>
      <c r="B263" s="11">
        <v>45692</v>
      </c>
      <c r="C263" t="str">
        <v>Furniture</v>
      </c>
      <c r="D263" t="str">
        <v>LaundryHamper</v>
      </c>
      <c r="E263">
        <v>3</v>
      </c>
      <c r="F263">
        <v>10000</v>
      </c>
      <c r="G263" t="str">
        <v>West</v>
      </c>
      <c r="H263" t="str">
        <v>Tunde Bakare</v>
      </c>
      <c r="I263" t="str">
        <v>Transfer</v>
      </c>
      <c r="J263">
        <v>10</v>
      </c>
    </row>
    <row r="264" spans="1:10" x14ac:dyDescent="0.25">
      <c r="A264">
        <v>3125</v>
      </c>
      <c r="B264" s="11">
        <v>45693</v>
      </c>
      <c r="C264" t="str">
        <v>Electronics</v>
      </c>
      <c r="D264" t="str">
        <v>USBFan</v>
      </c>
      <c r="E264">
        <v>7</v>
      </c>
      <c r="F264">
        <v>3000</v>
      </c>
      <c r="G264" t="str">
        <v>North</v>
      </c>
      <c r="H264" t="str">
        <v>Abiola Ogun</v>
      </c>
      <c r="I264" t="str">
        <v>Card</v>
      </c>
      <c r="J264">
        <v>0</v>
      </c>
    </row>
    <row r="265" spans="1:10" x14ac:dyDescent="0.25">
      <c r="A265">
        <v>3126</v>
      </c>
      <c r="B265" s="11">
        <v>45694</v>
      </c>
      <c r="C265" t="str">
        <v>Clothing</v>
      </c>
      <c r="D265" t="str">
        <v>PufferJacket</v>
      </c>
      <c r="E265">
        <v>1</v>
      </c>
      <c r="F265">
        <v>55000</v>
      </c>
      <c r="G265" t="str">
        <v>South</v>
      </c>
      <c r="H265" t="str">
        <v>Chidi Nwosu</v>
      </c>
      <c r="I265" t="str">
        <v>Cash</v>
      </c>
      <c r="J265">
        <v>5</v>
      </c>
    </row>
    <row r="266" spans="1:10" x14ac:dyDescent="0.25">
      <c r="A266">
        <v>3127</v>
      </c>
      <c r="B266" s="11">
        <v>45695</v>
      </c>
      <c r="C266" t="str">
        <v>Furniture</v>
      </c>
      <c r="D266" t="str">
        <v>CornerShelf</v>
      </c>
      <c r="E266">
        <v>2</v>
      </c>
      <c r="F266">
        <v>22000</v>
      </c>
      <c r="G266" t="str">
        <v>East</v>
      </c>
      <c r="H266" t="str">
        <v>Femi Adebayo</v>
      </c>
      <c r="I266" t="str">
        <v>Transfer</v>
      </c>
      <c r="J266">
        <v>0</v>
      </c>
    </row>
    <row r="267" spans="1:10" x14ac:dyDescent="0.25">
      <c r="A267">
        <v>3128</v>
      </c>
      <c r="B267" s="11">
        <v>45696</v>
      </c>
      <c r="C267" t="str">
        <v>Electronics</v>
      </c>
      <c r="D267" t="str">
        <v>MemoryCard</v>
      </c>
      <c r="E267">
        <v>5</v>
      </c>
      <c r="F267">
        <v>10000</v>
      </c>
      <c r="G267" t="str">
        <v>West</v>
      </c>
      <c r="H267" t="str">
        <v>Tunde Bakare</v>
      </c>
      <c r="I267" t="str">
        <v>Card</v>
      </c>
      <c r="J267">
        <v>0</v>
      </c>
    </row>
    <row r="268" spans="1:10" x14ac:dyDescent="0.25">
      <c r="A268">
        <v>3129</v>
      </c>
      <c r="B268" s="11">
        <v>45697</v>
      </c>
      <c r="C268" t="str">
        <v>Clothing</v>
      </c>
      <c r="D268" t="str">
        <v>Sweatpants</v>
      </c>
      <c r="E268">
        <v>4</v>
      </c>
      <c r="F268">
        <v>12000</v>
      </c>
      <c r="G268" t="str">
        <v>North</v>
      </c>
      <c r="H268" t="str">
        <v>Abiola Ogun</v>
      </c>
      <c r="I268" t="str">
        <v>Cash</v>
      </c>
      <c r="J268">
        <v>5</v>
      </c>
    </row>
    <row r="269" spans="1:10" x14ac:dyDescent="0.25">
      <c r="A269">
        <v>3130</v>
      </c>
      <c r="B269" s="11">
        <v>45698</v>
      </c>
      <c r="C269" t="str">
        <v>Furniture</v>
      </c>
      <c r="D269" t="str">
        <v>Footstool</v>
      </c>
      <c r="E269">
        <v>3</v>
      </c>
      <c r="F269">
        <v>8000</v>
      </c>
      <c r="G269" t="str">
        <v>South</v>
      </c>
      <c r="H269" t="str">
        <v>Chidi Nwosu</v>
      </c>
      <c r="I269" t="str">
        <v>Transfer</v>
      </c>
      <c r="J269">
        <v>0</v>
      </c>
    </row>
    <row r="270" spans="1:10" x14ac:dyDescent="0.25">
      <c r="A270">
        <v>3131</v>
      </c>
      <c r="B270" s="11">
        <v>45699</v>
      </c>
      <c r="C270" t="str">
        <v>Electronics</v>
      </c>
      <c r="D270" t="str">
        <v>WirelessCharger</v>
      </c>
      <c r="E270">
        <v>3</v>
      </c>
      <c r="F270">
        <v>15000</v>
      </c>
      <c r="G270" t="str">
        <v>East</v>
      </c>
      <c r="H270" t="str">
        <v>Femi Adebayo</v>
      </c>
      <c r="I270" t="str">
        <v>Card</v>
      </c>
      <c r="J270">
        <v>0</v>
      </c>
    </row>
    <row r="271" spans="1:10" x14ac:dyDescent="0.25">
      <c r="A271">
        <v>3132</v>
      </c>
      <c r="B271" s="11">
        <v>45700</v>
      </c>
      <c r="C271" t="str">
        <v>Clothing</v>
      </c>
      <c r="D271" t="str">
        <v>Overcoat</v>
      </c>
      <c r="E271">
        <v>1</v>
      </c>
      <c r="F271">
        <v>65000</v>
      </c>
      <c r="G271" t="str">
        <v>West</v>
      </c>
      <c r="H271" t="str">
        <v>Tunde Bakare</v>
      </c>
      <c r="I271" t="str">
        <v>Cash</v>
      </c>
      <c r="J271">
        <v>10</v>
      </c>
    </row>
    <row r="272" spans="1:10" x14ac:dyDescent="0.25">
      <c r="A272">
        <v>3133</v>
      </c>
      <c r="B272" s="11">
        <v>45701</v>
      </c>
      <c r="C272" t="str">
        <v>Furniture</v>
      </c>
      <c r="D272" t="str">
        <v>MagazineHolder</v>
      </c>
      <c r="E272">
        <v>5</v>
      </c>
      <c r="F272">
        <v>7000</v>
      </c>
      <c r="G272" t="str">
        <v>North</v>
      </c>
      <c r="H272" t="str">
        <v>Abiola Ogun</v>
      </c>
      <c r="I272" t="str">
        <v>Transfer</v>
      </c>
      <c r="J272">
        <v>0</v>
      </c>
    </row>
    <row r="273" spans="1:10" x14ac:dyDescent="0.25">
      <c r="A273">
        <v>3134</v>
      </c>
      <c r="B273" s="11">
        <v>45702</v>
      </c>
      <c r="C273" t="str">
        <v>Electronics</v>
      </c>
      <c r="D273" t="str">
        <v>LaptopStand</v>
      </c>
      <c r="E273">
        <v>3</v>
      </c>
      <c r="F273">
        <v>18000</v>
      </c>
      <c r="G273" t="str">
        <v>South</v>
      </c>
      <c r="H273" t="str">
        <v>Chidi Nwosu</v>
      </c>
      <c r="I273" t="str">
        <v>Card</v>
      </c>
      <c r="J273">
        <v>5</v>
      </c>
    </row>
    <row r="274" spans="1:10" x14ac:dyDescent="0.25">
      <c r="A274">
        <v>3135</v>
      </c>
      <c r="B274" s="11">
        <v>45703</v>
      </c>
      <c r="C274" t="str">
        <v>Clothing</v>
      </c>
      <c r="D274" t="str">
        <v>CropTop</v>
      </c>
      <c r="E274">
        <v>6</v>
      </c>
      <c r="F274">
        <v>6000</v>
      </c>
      <c r="G274" t="str">
        <v>East</v>
      </c>
      <c r="H274" t="str">
        <v>Femi Adebayo</v>
      </c>
      <c r="I274" t="str">
        <v>Cash</v>
      </c>
      <c r="J274">
        <v>0</v>
      </c>
    </row>
    <row r="275" spans="1:10" x14ac:dyDescent="0.25">
      <c r="A275">
        <v>3136</v>
      </c>
      <c r="B275" s="11">
        <v>45704</v>
      </c>
      <c r="C275" t="str">
        <v>Furniture</v>
      </c>
      <c r="D275" t="str">
        <v>WineRack</v>
      </c>
      <c r="E275">
        <v>2</v>
      </c>
      <c r="F275">
        <v>12000</v>
      </c>
      <c r="G275" t="str">
        <v>West</v>
      </c>
      <c r="H275" t="str">
        <v>Tunde Bakare</v>
      </c>
      <c r="I275" t="str">
        <v>Transfer</v>
      </c>
      <c r="J275">
        <v>0</v>
      </c>
    </row>
    <row r="276" spans="1:10" x14ac:dyDescent="0.25">
      <c r="A276">
        <v>3137</v>
      </c>
      <c r="B276" s="11">
        <v>45705</v>
      </c>
      <c r="C276" t="str">
        <v>Electronics</v>
      </c>
      <c r="D276" t="str">
        <v>SmartSpeaker</v>
      </c>
      <c r="E276">
        <v>2</v>
      </c>
      <c r="F276">
        <v>45000</v>
      </c>
      <c r="G276" t="str">
        <v>North</v>
      </c>
      <c r="H276" t="str">
        <v>Abiola Ogun</v>
      </c>
      <c r="I276" t="str">
        <v>Card</v>
      </c>
      <c r="J276">
        <v>10</v>
      </c>
    </row>
    <row r="277" spans="1:10" x14ac:dyDescent="0.25">
      <c r="A277">
        <v>3138</v>
      </c>
      <c r="B277" s="11">
        <v>45706</v>
      </c>
      <c r="C277" t="str">
        <v>Clothing</v>
      </c>
      <c r="D277" t="str">
        <v>BermudaShorts</v>
      </c>
      <c r="E277">
        <v>6</v>
      </c>
      <c r="F277">
        <v>8000</v>
      </c>
      <c r="G277" t="str">
        <v>South</v>
      </c>
      <c r="H277" t="str">
        <v>Chidi Nwosu</v>
      </c>
      <c r="I277" t="str">
        <v>Cash</v>
      </c>
      <c r="J277">
        <v>0</v>
      </c>
    </row>
    <row r="278" spans="1:10" x14ac:dyDescent="0.25">
      <c r="A278">
        <v>3139</v>
      </c>
      <c r="B278" s="11">
        <v>45707</v>
      </c>
      <c r="C278" t="str">
        <v>Furniture</v>
      </c>
      <c r="D278" t="str">
        <v>ShowerCaddy</v>
      </c>
      <c r="E278">
        <v>5</v>
      </c>
      <c r="F278">
        <v>5000</v>
      </c>
      <c r="G278" t="str">
        <v>East</v>
      </c>
      <c r="H278" t="str">
        <v>Femi Adebayo</v>
      </c>
      <c r="I278" t="str">
        <v>Transfer</v>
      </c>
      <c r="J278">
        <v>5</v>
      </c>
    </row>
    <row r="279" spans="1:10" x14ac:dyDescent="0.25">
      <c r="A279">
        <v>3140</v>
      </c>
      <c r="B279" s="11">
        <v>45708</v>
      </c>
      <c r="C279" t="str">
        <v>Electronics</v>
      </c>
      <c r="D279" t="str">
        <v>ExternalDVDDrive</v>
      </c>
      <c r="E279">
        <v>1</v>
      </c>
      <c r="F279">
        <v>20000</v>
      </c>
      <c r="G279" t="str">
        <v>West</v>
      </c>
      <c r="H279" t="str">
        <v>Tunde Bakare</v>
      </c>
      <c r="I279" t="str">
        <v>Card</v>
      </c>
      <c r="J279">
        <v>0</v>
      </c>
    </row>
    <row r="280" spans="1:10" x14ac:dyDescent="0.25">
      <c r="A280">
        <v>3141</v>
      </c>
      <c r="B280" s="11">
        <v>45709</v>
      </c>
      <c r="C280" t="str">
        <v>Clothing</v>
      </c>
      <c r="D280" t="str">
        <v>DenimSkirt</v>
      </c>
      <c r="E280">
        <v>3</v>
      </c>
      <c r="F280">
        <v>15000</v>
      </c>
      <c r="G280" t="str">
        <v>North</v>
      </c>
      <c r="H280" t="str">
        <v>Abiola Ogun</v>
      </c>
      <c r="I280" t="str">
        <v>Cash</v>
      </c>
      <c r="J280">
        <v>0</v>
      </c>
    </row>
    <row r="281" spans="1:10" x14ac:dyDescent="0.25">
      <c r="A281">
        <v>3142</v>
      </c>
      <c r="B281" s="11">
        <v>45710</v>
      </c>
      <c r="C281" t="str">
        <v>Furniture</v>
      </c>
      <c r="D281" t="str">
        <v>UmbrellaStand</v>
      </c>
      <c r="E281">
        <v>2</v>
      </c>
      <c r="F281">
        <v>10000</v>
      </c>
      <c r="G281" t="str">
        <v>South</v>
      </c>
      <c r="H281" t="str">
        <v>Chidi Nwosu</v>
      </c>
      <c r="I281" t="str">
        <v>Transfer</v>
      </c>
      <c r="J281">
        <v>5</v>
      </c>
    </row>
    <row r="282" spans="1:10" x14ac:dyDescent="0.25">
      <c r="A282">
        <v>3143</v>
      </c>
      <c r="B282" s="11">
        <v>45711</v>
      </c>
      <c r="C282" t="str">
        <v>Electronics</v>
      </c>
      <c r="D282" t="str">
        <v>LightningCable</v>
      </c>
      <c r="E282">
        <v>6</v>
      </c>
      <c r="F282">
        <v>6000</v>
      </c>
      <c r="G282" t="str">
        <v>East</v>
      </c>
      <c r="H282" t="str">
        <v>Femi Adebayo</v>
      </c>
      <c r="I282" t="str">
        <v>Card</v>
      </c>
      <c r="J282">
        <v>0</v>
      </c>
    </row>
    <row r="283" spans="1:10" x14ac:dyDescent="0.25">
      <c r="A283">
        <v>3144</v>
      </c>
      <c r="B283" s="11">
        <v>45712</v>
      </c>
      <c r="C283" t="str">
        <v>Clothing</v>
      </c>
      <c r="D283" t="str">
        <v>CardHolder</v>
      </c>
      <c r="E283">
        <v>7</v>
      </c>
      <c r="F283">
        <v>3000</v>
      </c>
      <c r="G283" t="str">
        <v>West</v>
      </c>
      <c r="H283" t="str">
        <v>Tunde Bakare</v>
      </c>
      <c r="I283" t="str">
        <v>Cash</v>
      </c>
      <c r="J283">
        <v>0</v>
      </c>
    </row>
    <row r="284" spans="1:10" x14ac:dyDescent="0.25">
      <c r="A284">
        <v>3145</v>
      </c>
      <c r="B284" s="11">
        <v>45713</v>
      </c>
      <c r="C284" t="str">
        <v>Furniture</v>
      </c>
      <c r="D284" t="str">
        <v>LetterTray</v>
      </c>
      <c r="E284">
        <v>5</v>
      </c>
      <c r="F284">
        <v>4000</v>
      </c>
      <c r="G284" t="str">
        <v>North</v>
      </c>
      <c r="H284" t="str">
        <v>Abiola Ogun</v>
      </c>
      <c r="I284" t="str">
        <v>Transfer</v>
      </c>
      <c r="J284">
        <v>10</v>
      </c>
    </row>
    <row r="285" spans="1:10" x14ac:dyDescent="0.25">
      <c r="A285">
        <v>3146</v>
      </c>
      <c r="B285" s="11">
        <v>45714</v>
      </c>
      <c r="C285" t="str">
        <v>Electronics</v>
      </c>
      <c r="D285" t="str">
        <v>PhoneGrip</v>
      </c>
      <c r="E285">
        <v>10</v>
      </c>
      <c r="F285">
        <v>2000</v>
      </c>
      <c r="G285" t="str">
        <v>South</v>
      </c>
      <c r="H285" t="str">
        <v>Chidi Nwosu</v>
      </c>
      <c r="I285" t="str">
        <v>Card</v>
      </c>
      <c r="J285">
        <v>0</v>
      </c>
    </row>
    <row r="286" spans="1:10" x14ac:dyDescent="0.25">
      <c r="A286">
        <v>3147</v>
      </c>
      <c r="B286" s="11">
        <v>45715</v>
      </c>
      <c r="C286" t="str">
        <v>Clothing</v>
      </c>
      <c r="D286" t="str">
        <v>BowTie</v>
      </c>
      <c r="E286">
        <v>6</v>
      </c>
      <c r="F286">
        <v>5000</v>
      </c>
      <c r="G286" t="str">
        <v>East</v>
      </c>
      <c r="H286" t="str">
        <v>Femi Adebayo</v>
      </c>
      <c r="I286" t="str">
        <v>Cash</v>
      </c>
      <c r="J286">
        <v>5</v>
      </c>
    </row>
    <row r="287" spans="1:10" x14ac:dyDescent="0.25">
      <c r="A287">
        <v>3148</v>
      </c>
      <c r="B287" s="11">
        <v>45716</v>
      </c>
      <c r="C287" t="str">
        <v>Furniture</v>
      </c>
      <c r="D287" t="str">
        <v>PlantPot</v>
      </c>
      <c r="E287">
        <v>8</v>
      </c>
      <c r="F287">
        <v>3000</v>
      </c>
      <c r="G287" t="str">
        <v>West</v>
      </c>
      <c r="H287" t="str">
        <v>Tunde Bakare</v>
      </c>
      <c r="I287" t="str">
        <v>Transfer</v>
      </c>
      <c r="J287">
        <v>0</v>
      </c>
    </row>
    <row r="288" spans="1:10" x14ac:dyDescent="0.25">
      <c r="A288">
        <v>3172</v>
      </c>
      <c r="B288" s="11">
        <v>45689</v>
      </c>
      <c r="C288" t="str">
        <v>Furniture</v>
      </c>
      <c r="D288" t="str">
        <v>ClothesRack</v>
      </c>
      <c r="E288">
        <v>2</v>
      </c>
      <c r="F288">
        <v>20000</v>
      </c>
      <c r="G288" t="str">
        <v>West</v>
      </c>
      <c r="H288" t="str">
        <v>Tunde Bakare</v>
      </c>
      <c r="I288" t="str">
        <v>Transfer</v>
      </c>
      <c r="J288">
        <v>10</v>
      </c>
    </row>
    <row r="289" spans="1:10" x14ac:dyDescent="0.25">
      <c r="A289">
        <v>3173</v>
      </c>
      <c r="B289" s="11">
        <v>45690</v>
      </c>
      <c r="C289" t="str">
        <v>Electronics</v>
      </c>
      <c r="D289" t="str">
        <v>VoltageRegulator</v>
      </c>
      <c r="E289">
        <v>2</v>
      </c>
      <c r="F289">
        <v>25000</v>
      </c>
      <c r="G289" t="str">
        <v>North</v>
      </c>
      <c r="H289" t="str">
        <v>Abiola Ogun</v>
      </c>
      <c r="I289" t="str">
        <v>Card</v>
      </c>
      <c r="J289">
        <v>0</v>
      </c>
    </row>
    <row r="290" spans="1:10" x14ac:dyDescent="0.25">
      <c r="A290">
        <v>3174</v>
      </c>
      <c r="B290" s="11">
        <v>45691</v>
      </c>
      <c r="C290" t="str">
        <v>Clothing</v>
      </c>
      <c r="D290" t="str">
        <v>CorsetTop</v>
      </c>
      <c r="E290">
        <v>4</v>
      </c>
      <c r="F290">
        <v>10000</v>
      </c>
      <c r="G290" t="str">
        <v>South</v>
      </c>
      <c r="H290" t="str">
        <v>Chidi Nwosu</v>
      </c>
      <c r="I290" t="str">
        <v>Cash</v>
      </c>
      <c r="J290">
        <v>5</v>
      </c>
    </row>
    <row r="291" spans="1:10" x14ac:dyDescent="0.25">
      <c r="A291">
        <v>3175</v>
      </c>
      <c r="B291" s="11">
        <v>45692</v>
      </c>
      <c r="C291" t="str">
        <v>Furniture</v>
      </c>
      <c r="D291" t="str">
        <v>VanityTable</v>
      </c>
      <c r="E291">
        <v>1</v>
      </c>
      <c r="F291">
        <v>85000</v>
      </c>
      <c r="G291" t="str">
        <v>East</v>
      </c>
      <c r="H291" t="str">
        <v>Femi Adebayo</v>
      </c>
      <c r="I291" t="str">
        <v>Transfer</v>
      </c>
      <c r="J291">
        <v>0</v>
      </c>
    </row>
    <row r="292" spans="1:10" x14ac:dyDescent="0.25">
      <c r="A292">
        <v>3176</v>
      </c>
      <c r="B292" s="11">
        <v>45693</v>
      </c>
      <c r="C292" t="str">
        <v>Electronics</v>
      </c>
      <c r="D292" t="str">
        <v>SelfieStick</v>
      </c>
      <c r="E292">
        <v>5</v>
      </c>
      <c r="F292">
        <v>5000</v>
      </c>
      <c r="G292" t="str">
        <v>West</v>
      </c>
      <c r="H292" t="str">
        <v>Tunde Bakare</v>
      </c>
      <c r="I292" t="str">
        <v>Card</v>
      </c>
      <c r="J292">
        <v>0</v>
      </c>
    </row>
    <row r="293" spans="1:10" x14ac:dyDescent="0.25">
      <c r="A293">
        <v>3177</v>
      </c>
      <c r="B293" s="11">
        <v>45694</v>
      </c>
      <c r="C293" t="str">
        <v>Clothing</v>
      </c>
      <c r="D293" t="str">
        <v>AnkleSocks</v>
      </c>
      <c r="E293">
        <v>8</v>
      </c>
      <c r="F293">
        <v>2000</v>
      </c>
      <c r="G293" t="str">
        <v>North</v>
      </c>
      <c r="H293" t="str">
        <v>Abiola Ogun</v>
      </c>
      <c r="I293" t="str">
        <v>Cash</v>
      </c>
      <c r="J293">
        <v>5</v>
      </c>
    </row>
    <row r="294" spans="1:10" x14ac:dyDescent="0.25">
      <c r="A294">
        <v>3178</v>
      </c>
      <c r="B294" s="11">
        <v>45695</v>
      </c>
      <c r="C294" t="str">
        <v>Furniture</v>
      </c>
      <c r="D294" t="str">
        <v>WallHook</v>
      </c>
      <c r="E294">
        <v>12</v>
      </c>
      <c r="F294">
        <v>1500</v>
      </c>
      <c r="G294" t="str">
        <v>South</v>
      </c>
      <c r="H294" t="str">
        <v>Chidi Nwosu</v>
      </c>
      <c r="I294" t="str">
        <v>Transfer</v>
      </c>
      <c r="J294">
        <v>0</v>
      </c>
    </row>
    <row r="295" spans="1:10" x14ac:dyDescent="0.25">
      <c r="A295">
        <v>3179</v>
      </c>
      <c r="B295" s="11">
        <v>45696</v>
      </c>
      <c r="C295" t="str">
        <v>Electronics</v>
      </c>
      <c r="D295" t="str">
        <v>LensCleaner</v>
      </c>
      <c r="E295">
        <v>6</v>
      </c>
      <c r="F295">
        <v>3000</v>
      </c>
      <c r="G295" t="str">
        <v>East</v>
      </c>
      <c r="H295" t="str">
        <v>Femi Adebayo</v>
      </c>
      <c r="I295" t="str">
        <v>Card</v>
      </c>
      <c r="J295">
        <v>0</v>
      </c>
    </row>
    <row r="296" spans="1:10" x14ac:dyDescent="0.25">
      <c r="A296">
        <v>3180</v>
      </c>
      <c r="B296" s="11">
        <v>45697</v>
      </c>
      <c r="C296" t="str">
        <v>Clothing</v>
      </c>
      <c r="D296" t="str">
        <v>Headband</v>
      </c>
      <c r="E296">
        <v>8</v>
      </c>
      <c r="F296">
        <v>2000</v>
      </c>
      <c r="G296" t="str">
        <v>West</v>
      </c>
      <c r="H296" t="str">
        <v>Tunde Bakare</v>
      </c>
      <c r="I296" t="str">
        <v>Cash</v>
      </c>
      <c r="J296">
        <v>10</v>
      </c>
    </row>
    <row r="297" spans="1:10" x14ac:dyDescent="0.25">
      <c r="A297">
        <v>3181</v>
      </c>
      <c r="B297" s="11">
        <v>45698</v>
      </c>
      <c r="C297" t="str">
        <v>Furniture</v>
      </c>
      <c r="D297" t="str">
        <v>TrashCan</v>
      </c>
      <c r="E297">
        <v>3</v>
      </c>
      <c r="F297">
        <v>8000</v>
      </c>
      <c r="G297" t="str">
        <v>North</v>
      </c>
      <c r="H297" t="str">
        <v>Abiola Ogun</v>
      </c>
      <c r="I297" t="str">
        <v>Transfer</v>
      </c>
      <c r="J297">
        <v>0</v>
      </c>
    </row>
    <row r="298" spans="1:10" x14ac:dyDescent="0.25">
      <c r="A298">
        <v>3182</v>
      </c>
      <c r="B298" s="11">
        <v>45699</v>
      </c>
      <c r="C298" t="str">
        <v>Electronics</v>
      </c>
      <c r="D298" t="str">
        <v>ExtensionCord</v>
      </c>
      <c r="E298">
        <v>5</v>
      </c>
      <c r="F298">
        <v>7000</v>
      </c>
      <c r="G298" t="str">
        <v>South</v>
      </c>
      <c r="H298" t="str">
        <v>Chidi Nwosu</v>
      </c>
      <c r="I298" t="str">
        <v>Card</v>
      </c>
      <c r="J298">
        <v>5</v>
      </c>
    </row>
    <row r="299" spans="1:10" x14ac:dyDescent="0.25">
      <c r="A299">
        <v>3183</v>
      </c>
      <c r="B299" s="11">
        <v>45700</v>
      </c>
      <c r="C299" t="str">
        <v>Clothing</v>
      </c>
      <c r="D299" t="str">
        <v>TieDyeShirt</v>
      </c>
      <c r="E299">
        <v>3</v>
      </c>
      <c r="F299">
        <v>12000</v>
      </c>
      <c r="G299" t="str">
        <v>East</v>
      </c>
      <c r="H299" t="str">
        <v>Femi Adebayo</v>
      </c>
      <c r="I299" t="str">
        <v>Cash</v>
      </c>
      <c r="J299">
        <v>0</v>
      </c>
    </row>
    <row r="300" spans="1:10" x14ac:dyDescent="0.25">
      <c r="A300">
        <v>3184</v>
      </c>
      <c r="B300" s="11">
        <v>45701</v>
      </c>
      <c r="C300" t="str">
        <v>Furniture</v>
      </c>
      <c r="D300" t="str">
        <v>FireplaceScreen</v>
      </c>
      <c r="E300">
        <v>1</v>
      </c>
      <c r="F300">
        <v>45000</v>
      </c>
      <c r="G300" t="str">
        <v>West</v>
      </c>
      <c r="H300" t="str">
        <v>Tunde Bakare</v>
      </c>
      <c r="I300" t="str">
        <v>Transfer</v>
      </c>
      <c r="J300">
        <v>0</v>
      </c>
    </row>
    <row r="301" spans="1:10" x14ac:dyDescent="0.25">
      <c r="A301">
        <v>3185</v>
      </c>
      <c r="B301" s="11">
        <v>45702</v>
      </c>
      <c r="C301" t="str">
        <v>Electronics</v>
      </c>
      <c r="D301" t="str">
        <v>AntivirusUSB</v>
      </c>
      <c r="E301">
        <v>2</v>
      </c>
      <c r="F301">
        <v>15000</v>
      </c>
      <c r="G301" t="str">
        <v>North</v>
      </c>
      <c r="H301" t="str">
        <v>Abiola Ogun</v>
      </c>
      <c r="I301" t="str">
        <v>Card</v>
      </c>
      <c r="J301">
        <v>5</v>
      </c>
    </row>
    <row r="302" spans="1:10" x14ac:dyDescent="0.25">
      <c r="A302">
        <v>3186</v>
      </c>
      <c r="B302" s="11">
        <v>45703</v>
      </c>
      <c r="C302" t="str">
        <v>Clothing</v>
      </c>
      <c r="D302" t="str">
        <v>Romper</v>
      </c>
      <c r="E302">
        <v>2</v>
      </c>
      <c r="F302">
        <v>18000</v>
      </c>
      <c r="G302" t="str">
        <v>South</v>
      </c>
      <c r="H302" t="str">
        <v>Chidi Nwosu</v>
      </c>
      <c r="I302" t="str">
        <v>Cash</v>
      </c>
      <c r="J302">
        <v>0</v>
      </c>
    </row>
    <row r="303" spans="1:10" x14ac:dyDescent="0.25">
      <c r="A303">
        <v>3187</v>
      </c>
      <c r="B303" s="11">
        <v>45704</v>
      </c>
      <c r="C303" t="str">
        <v>Furniture</v>
      </c>
      <c r="D303" t="str">
        <v>PetCrate</v>
      </c>
      <c r="E303">
        <v>1</v>
      </c>
      <c r="F303">
        <v>35000</v>
      </c>
      <c r="G303" t="str">
        <v>East</v>
      </c>
      <c r="H303" t="str">
        <v>Femi Adebayo</v>
      </c>
      <c r="I303" t="str">
        <v>Transfer</v>
      </c>
      <c r="J303">
        <v>0</v>
      </c>
    </row>
    <row r="304" spans="1:10" x14ac:dyDescent="0.25">
      <c r="A304">
        <v>3188</v>
      </c>
      <c r="B304" s="11">
        <v>45705</v>
      </c>
      <c r="C304" t="str">
        <v>Electronics</v>
      </c>
      <c r="D304" t="str">
        <v>RouterStand</v>
      </c>
      <c r="E304">
        <v>4</v>
      </c>
      <c r="F304">
        <v>6000</v>
      </c>
      <c r="G304" t="str">
        <v>West</v>
      </c>
      <c r="H304" t="str">
        <v>Tunde Bakare</v>
      </c>
      <c r="I304" t="str">
        <v>Card</v>
      </c>
      <c r="J304">
        <v>10</v>
      </c>
    </row>
    <row r="305" spans="1:10" x14ac:dyDescent="0.25">
      <c r="A305">
        <v>3189</v>
      </c>
      <c r="B305" s="11">
        <v>45706</v>
      </c>
      <c r="C305" t="str">
        <v>Clothing</v>
      </c>
      <c r="D305" t="str">
        <v>FannyPack</v>
      </c>
      <c r="E305">
        <v>4</v>
      </c>
      <c r="F305">
        <v>8000</v>
      </c>
      <c r="G305" t="str">
        <v>North</v>
      </c>
      <c r="H305" t="str">
        <v>Abiola Ogun</v>
      </c>
      <c r="I305" t="str">
        <v>Cash</v>
      </c>
      <c r="J305">
        <v>0</v>
      </c>
    </row>
    <row r="306" spans="1:10" x14ac:dyDescent="0.25">
      <c r="A306">
        <v>3190</v>
      </c>
      <c r="B306" s="11">
        <v>45707</v>
      </c>
      <c r="C306" t="str">
        <v>Furniture</v>
      </c>
      <c r="D306" t="str">
        <v>MakeupMirror</v>
      </c>
      <c r="E306">
        <v>2</v>
      </c>
      <c r="F306">
        <v>12000</v>
      </c>
      <c r="G306" t="str">
        <v>South</v>
      </c>
      <c r="H306" t="str">
        <v>Chidi Nwosu</v>
      </c>
      <c r="I306" t="str">
        <v>Transfer</v>
      </c>
      <c r="J306">
        <v>5</v>
      </c>
    </row>
    <row r="307" spans="1:10" x14ac:dyDescent="0.25">
      <c r="A307">
        <v>3191</v>
      </c>
      <c r="B307" s="11">
        <v>45708</v>
      </c>
      <c r="C307" t="str">
        <v>Electronics</v>
      </c>
      <c r="D307" t="str">
        <v>Drone</v>
      </c>
      <c r="E307">
        <v>1</v>
      </c>
      <c r="F307">
        <v>250000</v>
      </c>
      <c r="G307" t="str">
        <v>East</v>
      </c>
      <c r="H307" t="str">
        <v>Femi Adebayo</v>
      </c>
      <c r="I307" t="str">
        <v>Card</v>
      </c>
      <c r="J307">
        <v>0</v>
      </c>
    </row>
    <row r="308" spans="1:10" x14ac:dyDescent="0.25">
      <c r="A308">
        <v>3192</v>
      </c>
      <c r="B308" s="11">
        <v>45709</v>
      </c>
      <c r="C308" t="str">
        <v>Clothing</v>
      </c>
      <c r="D308" t="str">
        <v>BaseballCap</v>
      </c>
      <c r="E308">
        <v>5</v>
      </c>
      <c r="F308">
        <v>7000</v>
      </c>
      <c r="G308" t="str">
        <v>West</v>
      </c>
      <c r="H308" t="str">
        <v>Tunde Bakare</v>
      </c>
      <c r="I308" t="str">
        <v>Cash</v>
      </c>
      <c r="J308">
        <v>0</v>
      </c>
    </row>
    <row r="309" spans="1:10" x14ac:dyDescent="0.25">
      <c r="A309">
        <v>3193</v>
      </c>
      <c r="B309" s="11">
        <v>45710</v>
      </c>
      <c r="C309" t="str">
        <v>Furniture</v>
      </c>
      <c r="D309" t="str">
        <v>CoatHook</v>
      </c>
      <c r="E309">
        <v>9</v>
      </c>
      <c r="F309">
        <v>3000</v>
      </c>
      <c r="G309" t="str">
        <v>North</v>
      </c>
      <c r="H309" t="str">
        <v>Abiola Ogun</v>
      </c>
      <c r="I309" t="str">
        <v>Transfer</v>
      </c>
      <c r="J309">
        <v>5</v>
      </c>
    </row>
    <row r="310" spans="1:10" x14ac:dyDescent="0.25">
      <c r="A310">
        <v>3194</v>
      </c>
      <c r="B310" s="11">
        <v>45711</v>
      </c>
      <c r="C310" t="str">
        <v>Electronics</v>
      </c>
      <c r="D310" t="str">
        <v>RechargeableFan</v>
      </c>
      <c r="E310">
        <v>2</v>
      </c>
      <c r="F310">
        <v>18000</v>
      </c>
      <c r="G310" t="str">
        <v>South</v>
      </c>
      <c r="H310" t="str">
        <v>Chidi Nwosu</v>
      </c>
      <c r="I310" t="str">
        <v>Card</v>
      </c>
      <c r="J310">
        <v>0</v>
      </c>
    </row>
    <row r="311" spans="1:10" x14ac:dyDescent="0.25">
      <c r="A311">
        <v>3195</v>
      </c>
      <c r="B311" s="11">
        <v>45712</v>
      </c>
      <c r="C311" t="str">
        <v>Clothing</v>
      </c>
      <c r="D311" t="str">
        <v>Agbada</v>
      </c>
      <c r="E311">
        <v>1</v>
      </c>
      <c r="F311">
        <v>85000</v>
      </c>
      <c r="G311" t="str">
        <v>East</v>
      </c>
      <c r="H311" t="str">
        <v>Femi Adebayo</v>
      </c>
      <c r="I311" t="str">
        <v>Cash</v>
      </c>
      <c r="J311">
        <v>0</v>
      </c>
    </row>
    <row r="312" spans="1:10" x14ac:dyDescent="0.25">
      <c r="A312">
        <v>3196</v>
      </c>
      <c r="B312" s="11">
        <v>45713</v>
      </c>
      <c r="C312" t="str">
        <v>Furniture</v>
      </c>
      <c r="D312" t="str">
        <v>TraditionalStool</v>
      </c>
      <c r="E312">
        <v>3</v>
      </c>
      <c r="F312">
        <v>25000</v>
      </c>
      <c r="G312" t="str">
        <v>West</v>
      </c>
      <c r="H312" t="str">
        <v>Tunde Bakare</v>
      </c>
      <c r="I312" t="str">
        <v>Transfer</v>
      </c>
      <c r="J312">
        <v>10</v>
      </c>
    </row>
    <row r="313" spans="1:10" x14ac:dyDescent="0.25">
      <c r="A313">
        <v>3197</v>
      </c>
      <c r="B313" s="11">
        <v>45714</v>
      </c>
      <c r="C313" t="str">
        <v>Electronics</v>
      </c>
      <c r="D313" t="str">
        <v>Kettle</v>
      </c>
      <c r="E313">
        <v>2</v>
      </c>
      <c r="F313">
        <v>15000</v>
      </c>
      <c r="G313" t="str">
        <v>North</v>
      </c>
      <c r="H313" t="str">
        <v>Abiola Ogun</v>
      </c>
      <c r="I313" t="str">
        <v>Card</v>
      </c>
      <c r="J313">
        <v>0</v>
      </c>
    </row>
    <row r="314" spans="1:10" x14ac:dyDescent="0.25">
      <c r="A314">
        <v>3198</v>
      </c>
      <c r="B314" s="11">
        <v>45715</v>
      </c>
      <c r="C314" t="str">
        <v>Clothing</v>
      </c>
      <c r="D314" t="str">
        <v>Hijab</v>
      </c>
      <c r="E314">
        <v>5</v>
      </c>
      <c r="F314">
        <v>8000</v>
      </c>
      <c r="G314" t="str">
        <v>South</v>
      </c>
      <c r="H314" t="str">
        <v>Chidi Nwosu</v>
      </c>
      <c r="I314" t="str">
        <v>Cash</v>
      </c>
      <c r="J314">
        <v>5</v>
      </c>
    </row>
    <row r="315" spans="1:10" x14ac:dyDescent="0.25">
      <c r="A315">
        <v>3199</v>
      </c>
      <c r="B315" s="11">
        <v>45716</v>
      </c>
      <c r="C315" t="str">
        <v>Furniture</v>
      </c>
      <c r="D315" t="str">
        <v>PrayerMat</v>
      </c>
      <c r="E315">
        <v>3</v>
      </c>
      <c r="F315">
        <v>10000</v>
      </c>
      <c r="G315" t="str">
        <v>East</v>
      </c>
      <c r="H315" t="str">
        <v>Femi Adebayo</v>
      </c>
      <c r="I315" t="str">
        <v>Transfer</v>
      </c>
      <c r="J315">
        <v>0</v>
      </c>
    </row>
    <row r="316" spans="1:10" x14ac:dyDescent="0.25">
      <c r="A316">
        <v>3218</v>
      </c>
      <c r="B316" s="11">
        <v>45689</v>
      </c>
      <c r="C316" t="str">
        <v>Furniture</v>
      </c>
      <c r="D316" t="str">
        <v>WallPuzzle</v>
      </c>
      <c r="E316">
        <v>2</v>
      </c>
      <c r="F316">
        <v>15000</v>
      </c>
      <c r="G316" t="str">
        <v>South</v>
      </c>
      <c r="H316" t="str">
        <v>Chidi Nwosu</v>
      </c>
      <c r="I316" t="str">
        <v>Transfer</v>
      </c>
      <c r="J316">
        <v>0</v>
      </c>
    </row>
    <row r="317" spans="1:10" x14ac:dyDescent="0.25">
      <c r="A317">
        <v>3219</v>
      </c>
      <c r="B317" s="11">
        <v>45690</v>
      </c>
      <c r="C317" t="str">
        <v>Electronics</v>
      </c>
      <c r="D317" t="str">
        <v>MicroSDCard</v>
      </c>
      <c r="E317">
        <v>8</v>
      </c>
      <c r="F317">
        <v>5000</v>
      </c>
      <c r="G317" t="str">
        <v>East</v>
      </c>
      <c r="H317" t="str">
        <v>Femi Adebayo</v>
      </c>
      <c r="I317" t="str">
        <v>Card</v>
      </c>
      <c r="J317">
        <v>10</v>
      </c>
    </row>
    <row r="318" spans="1:10" x14ac:dyDescent="0.25">
      <c r="A318">
        <v>3220</v>
      </c>
      <c r="B318" s="11">
        <v>45691</v>
      </c>
      <c r="C318" t="str">
        <v>Clothing</v>
      </c>
      <c r="D318" t="str">
        <v>SilkScarf</v>
      </c>
      <c r="E318">
        <v>4</v>
      </c>
      <c r="F318">
        <v>12000</v>
      </c>
      <c r="G318" t="str">
        <v>West</v>
      </c>
      <c r="H318" t="str">
        <v>Tunde Bakare</v>
      </c>
      <c r="I318" t="str">
        <v>Cash</v>
      </c>
      <c r="J318">
        <v>0</v>
      </c>
    </row>
    <row r="319" spans="1:10" x14ac:dyDescent="0.25">
      <c r="A319">
        <v>3221</v>
      </c>
      <c r="B319" s="11">
        <v>45692</v>
      </c>
      <c r="C319" t="str">
        <v>Furniture</v>
      </c>
      <c r="D319" t="str">
        <v>BistroTable</v>
      </c>
      <c r="E319">
        <v>2</v>
      </c>
      <c r="F319">
        <v>35000</v>
      </c>
      <c r="G319" t="str">
        <v>North</v>
      </c>
      <c r="H319" t="str">
        <v>Abiola Ogun</v>
      </c>
      <c r="I319" t="str">
        <v>Transfer</v>
      </c>
      <c r="J319">
        <v>5</v>
      </c>
    </row>
    <row r="320" spans="1:10" x14ac:dyDescent="0.25">
      <c r="A320">
        <v>3222</v>
      </c>
      <c r="B320" s="11">
        <v>45693</v>
      </c>
      <c r="C320" t="str">
        <v>Electronics</v>
      </c>
      <c r="D320" t="str">
        <v>VideoDoorbell</v>
      </c>
      <c r="E320">
        <v>1</v>
      </c>
      <c r="F320">
        <v>45000</v>
      </c>
      <c r="G320" t="str">
        <v>South</v>
      </c>
      <c r="H320" t="str">
        <v>Chidi Nwosu</v>
      </c>
      <c r="I320" t="str">
        <v>Card</v>
      </c>
      <c r="J320">
        <v>0</v>
      </c>
    </row>
    <row r="321" spans="1:10" x14ac:dyDescent="0.25">
      <c r="A321">
        <v>3223</v>
      </c>
      <c r="B321" s="11">
        <v>45694</v>
      </c>
      <c r="C321" t="str">
        <v>Clothing</v>
      </c>
      <c r="D321" t="str">
        <v>HikingBoots</v>
      </c>
      <c r="E321">
        <v>1</v>
      </c>
      <c r="F321">
        <v>55000</v>
      </c>
      <c r="G321" t="str">
        <v>East</v>
      </c>
      <c r="H321" t="str">
        <v>Femi Adebayo</v>
      </c>
      <c r="I321" t="str">
        <v>Cash</v>
      </c>
      <c r="J321">
        <v>0</v>
      </c>
    </row>
    <row r="322" spans="1:10" x14ac:dyDescent="0.25">
      <c r="A322">
        <v>3224</v>
      </c>
      <c r="B322" s="11">
        <v>45695</v>
      </c>
      <c r="C322" t="str">
        <v>Furniture</v>
      </c>
      <c r="D322" t="str">
        <v>FirePit</v>
      </c>
      <c r="E322">
        <v>1</v>
      </c>
      <c r="F322">
        <v>65000</v>
      </c>
      <c r="G322" t="str">
        <v>West</v>
      </c>
      <c r="H322" t="str">
        <v>Tunde Bakare</v>
      </c>
      <c r="I322" t="str">
        <v>Transfer</v>
      </c>
      <c r="J322">
        <v>10</v>
      </c>
    </row>
    <row r="323" spans="1:10" x14ac:dyDescent="0.25">
      <c r="A323">
        <v>3225</v>
      </c>
      <c r="B323" s="11">
        <v>45696</v>
      </c>
      <c r="C323" t="str">
        <v>Electronics</v>
      </c>
      <c r="D323" t="str">
        <v>RobotVacuum</v>
      </c>
      <c r="E323">
        <v>1</v>
      </c>
      <c r="F323">
        <v>120000</v>
      </c>
      <c r="G323" t="str">
        <v>North</v>
      </c>
      <c r="H323" t="str">
        <v>Abiola Ogun</v>
      </c>
      <c r="I323" t="str">
        <v>Card</v>
      </c>
      <c r="J323">
        <v>0</v>
      </c>
    </row>
    <row r="324" spans="1:10" x14ac:dyDescent="0.25">
      <c r="A324">
        <v>3226</v>
      </c>
      <c r="B324" s="11">
        <v>45697</v>
      </c>
      <c r="C324" t="str">
        <v>Clothing</v>
      </c>
      <c r="D324" t="str">
        <v>Bathrobe</v>
      </c>
      <c r="E324">
        <v>3</v>
      </c>
      <c r="F324">
        <v>15000</v>
      </c>
      <c r="G324" t="str">
        <v>South</v>
      </c>
      <c r="H324" t="str">
        <v>Chidi Nwosu</v>
      </c>
      <c r="I324" t="str">
        <v>Cash</v>
      </c>
      <c r="J324">
        <v>5</v>
      </c>
    </row>
    <row r="325" spans="1:10" x14ac:dyDescent="0.25">
      <c r="A325">
        <v>3227</v>
      </c>
      <c r="B325" s="11">
        <v>45698</v>
      </c>
      <c r="C325" t="str">
        <v>Furniture</v>
      </c>
      <c r="D325" t="str">
        <v>ShagRug</v>
      </c>
      <c r="E325">
        <v>1</v>
      </c>
      <c r="F325">
        <v>35000</v>
      </c>
      <c r="G325" t="str">
        <v>East</v>
      </c>
      <c r="H325" t="str">
        <v>Femi Adebayo</v>
      </c>
      <c r="I325" t="str">
        <v>Transfer</v>
      </c>
      <c r="J325">
        <v>0</v>
      </c>
    </row>
    <row r="326" spans="1:10" x14ac:dyDescent="0.25">
      <c r="A326">
        <v>3228</v>
      </c>
      <c r="B326" s="11">
        <v>45699</v>
      </c>
      <c r="C326" t="str">
        <v>Electronics</v>
      </c>
      <c r="D326" t="str">
        <v>CarSpeakers</v>
      </c>
      <c r="E326">
        <v>2</v>
      </c>
      <c r="F326">
        <v>25000</v>
      </c>
      <c r="G326" t="str">
        <v>West</v>
      </c>
      <c r="H326" t="str">
        <v>Tunde Bakare</v>
      </c>
      <c r="I326" t="str">
        <v>Card</v>
      </c>
      <c r="J326">
        <v>0</v>
      </c>
    </row>
    <row r="327" spans="1:10" x14ac:dyDescent="0.25">
      <c r="A327">
        <v>3229</v>
      </c>
      <c r="B327" s="11">
        <v>45700</v>
      </c>
      <c r="C327" t="str">
        <v>Clothing</v>
      </c>
      <c r="D327" t="str">
        <v>FlipFlops</v>
      </c>
      <c r="E327">
        <v>6</v>
      </c>
      <c r="F327">
        <v>5000</v>
      </c>
      <c r="G327" t="str">
        <v>North</v>
      </c>
      <c r="H327" t="str">
        <v>Abiola Ogun</v>
      </c>
      <c r="I327" t="str">
        <v>Cash</v>
      </c>
      <c r="J327">
        <v>5</v>
      </c>
    </row>
    <row r="328" spans="1:10" x14ac:dyDescent="0.25">
      <c r="A328">
        <v>3230</v>
      </c>
      <c r="B328" s="11">
        <v>45701</v>
      </c>
      <c r="C328" t="str">
        <v>Furniture</v>
      </c>
      <c r="D328" t="str">
        <v>DrawerOrganizer</v>
      </c>
      <c r="E328">
        <v>5</v>
      </c>
      <c r="F328">
        <v>4000</v>
      </c>
      <c r="G328" t="str">
        <v>South</v>
      </c>
      <c r="H328" t="str">
        <v>Chidi Nwosu</v>
      </c>
      <c r="I328" t="str">
        <v>Transfer</v>
      </c>
      <c r="J328">
        <v>0</v>
      </c>
    </row>
    <row r="329" spans="1:10" x14ac:dyDescent="0.25">
      <c r="A329">
        <v>3231</v>
      </c>
      <c r="B329" s="11">
        <v>45702</v>
      </c>
      <c r="C329" t="str">
        <v>Electronics</v>
      </c>
      <c r="D329" t="str">
        <v>HDMISwitch</v>
      </c>
      <c r="E329">
        <v>3</v>
      </c>
      <c r="F329">
        <v>8000</v>
      </c>
      <c r="G329" t="str">
        <v>East</v>
      </c>
      <c r="H329" t="str">
        <v>Femi Adebayo</v>
      </c>
      <c r="I329" t="str">
        <v>Card</v>
      </c>
      <c r="J329">
        <v>0</v>
      </c>
    </row>
    <row r="330" spans="1:10" x14ac:dyDescent="0.25">
      <c r="A330">
        <v>3232</v>
      </c>
      <c r="B330" s="11">
        <v>45703</v>
      </c>
      <c r="C330" t="str">
        <v>Clothing</v>
      </c>
      <c r="D330" t="str">
        <v>Poncho</v>
      </c>
      <c r="E330">
        <v>2</v>
      </c>
      <c r="F330">
        <v>12000</v>
      </c>
      <c r="G330" t="str">
        <v>West</v>
      </c>
      <c r="H330" t="str">
        <v>Tunde Bakare</v>
      </c>
      <c r="I330" t="str">
        <v>Cash</v>
      </c>
      <c r="J330">
        <v>10</v>
      </c>
    </row>
    <row r="331" spans="1:10" x14ac:dyDescent="0.25">
      <c r="A331">
        <v>3233</v>
      </c>
      <c r="B331" s="11">
        <v>45704</v>
      </c>
      <c r="C331" t="str">
        <v>Furniture</v>
      </c>
      <c r="D331" t="str">
        <v>WallClock</v>
      </c>
      <c r="E331">
        <v>4</v>
      </c>
      <c r="F331">
        <v>7000</v>
      </c>
      <c r="G331" t="str">
        <v>North</v>
      </c>
      <c r="H331" t="str">
        <v>Abiola Ogun</v>
      </c>
      <c r="I331" t="str">
        <v>Transfer</v>
      </c>
      <c r="J331">
        <v>0</v>
      </c>
    </row>
    <row r="332" spans="1:10" x14ac:dyDescent="0.25">
      <c r="A332">
        <v>3234</v>
      </c>
      <c r="B332" s="11">
        <v>45705</v>
      </c>
      <c r="C332" t="str">
        <v>Electronics</v>
      </c>
      <c r="D332" t="str">
        <v>USBWallOutlet</v>
      </c>
      <c r="E332">
        <v>3</v>
      </c>
      <c r="F332">
        <v>6000</v>
      </c>
      <c r="G332" t="str">
        <v>South</v>
      </c>
      <c r="H332" t="str">
        <v>Chidi Nwosu</v>
      </c>
      <c r="I332" t="str">
        <v>Card</v>
      </c>
      <c r="J332">
        <v>5</v>
      </c>
    </row>
    <row r="333" spans="1:10" x14ac:dyDescent="0.25">
      <c r="A333">
        <v>3235</v>
      </c>
      <c r="B333" s="11">
        <v>45706</v>
      </c>
      <c r="C333" t="str">
        <v>Clothing</v>
      </c>
      <c r="D333" t="str">
        <v>Leggings</v>
      </c>
      <c r="E333">
        <v>7</v>
      </c>
      <c r="F333">
        <v>8000</v>
      </c>
      <c r="G333" t="str">
        <v>East</v>
      </c>
      <c r="H333" t="str">
        <v>Femi Adebayo</v>
      </c>
      <c r="I333" t="str">
        <v>Cash</v>
      </c>
      <c r="J333">
        <v>0</v>
      </c>
    </row>
    <row r="334" spans="1:10" x14ac:dyDescent="0.25">
      <c r="A334">
        <v>3236</v>
      </c>
      <c r="B334" s="11">
        <v>45707</v>
      </c>
      <c r="C334" t="str">
        <v>Furniture</v>
      </c>
      <c r="D334" t="str">
        <v>MagazineRack</v>
      </c>
      <c r="E334">
        <v>3</v>
      </c>
      <c r="F334">
        <v>12000</v>
      </c>
      <c r="G334" t="str">
        <v>West</v>
      </c>
      <c r="H334" t="str">
        <v>Tunde Bakare</v>
      </c>
      <c r="I334" t="str">
        <v>Transfer</v>
      </c>
      <c r="J334">
        <v>0</v>
      </c>
    </row>
    <row r="335" spans="1:10" x14ac:dyDescent="0.25">
      <c r="A335">
        <v>3237</v>
      </c>
      <c r="B335" s="11">
        <v>45708</v>
      </c>
      <c r="C335" t="str">
        <v>Electronics</v>
      </c>
      <c r="D335" t="str">
        <v>NoiseMachine</v>
      </c>
      <c r="E335">
        <v>2</v>
      </c>
      <c r="F335">
        <v>25000</v>
      </c>
      <c r="G335" t="str">
        <v>North</v>
      </c>
      <c r="H335" t="str">
        <v>Abiola Ogun</v>
      </c>
      <c r="I335" t="str">
        <v>Card</v>
      </c>
      <c r="J335">
        <v>5</v>
      </c>
    </row>
    <row r="336" spans="1:10" x14ac:dyDescent="0.25">
      <c r="A336">
        <v>3238</v>
      </c>
      <c r="B336" s="11">
        <v>45709</v>
      </c>
      <c r="C336" t="str">
        <v>Clothing</v>
      </c>
      <c r="D336" t="str">
        <v>Kimono</v>
      </c>
      <c r="E336">
        <v>3</v>
      </c>
      <c r="F336">
        <v>18000</v>
      </c>
      <c r="G336" t="str">
        <v>South</v>
      </c>
      <c r="H336" t="str">
        <v>Chidi Nwosu</v>
      </c>
      <c r="I336" t="str">
        <v>Cash</v>
      </c>
      <c r="J336">
        <v>0</v>
      </c>
    </row>
    <row r="337" spans="1:10" x14ac:dyDescent="0.25">
      <c r="A337">
        <v>3239</v>
      </c>
      <c r="B337" s="11">
        <v>45710</v>
      </c>
      <c r="C337" t="str">
        <v>Furniture</v>
      </c>
      <c r="D337" t="str">
        <v>FloatingShelf</v>
      </c>
      <c r="E337">
        <v>6</v>
      </c>
      <c r="F337">
        <v>15000</v>
      </c>
      <c r="G337" t="str">
        <v>East</v>
      </c>
      <c r="H337" t="str">
        <v>Femi Adebayo</v>
      </c>
      <c r="I337" t="str">
        <v>Transfer</v>
      </c>
      <c r="J337">
        <v>0</v>
      </c>
    </row>
    <row r="338" spans="1:10" x14ac:dyDescent="0.25">
      <c r="A338">
        <v>3240</v>
      </c>
      <c r="B338" s="11">
        <v>45711</v>
      </c>
      <c r="C338" t="str">
        <v>Electronics</v>
      </c>
      <c r="D338" t="str">
        <v>DigitalPictureFrame</v>
      </c>
      <c r="E338">
        <v>2</v>
      </c>
      <c r="F338">
        <v>12000</v>
      </c>
      <c r="G338" t="str">
        <v>West</v>
      </c>
      <c r="H338" t="str">
        <v>Tunde Bakare</v>
      </c>
      <c r="I338" t="str">
        <v>Card</v>
      </c>
      <c r="J338">
        <v>10</v>
      </c>
    </row>
    <row r="339" spans="1:10" x14ac:dyDescent="0.25">
      <c r="A339">
        <v>3241</v>
      </c>
      <c r="B339" s="11">
        <v>45712</v>
      </c>
      <c r="C339" t="str">
        <v>Clothing</v>
      </c>
      <c r="D339" t="str">
        <v>Suspenders</v>
      </c>
      <c r="E339">
        <v>5</v>
      </c>
      <c r="F339">
        <v>6000</v>
      </c>
      <c r="G339" t="str">
        <v>North</v>
      </c>
      <c r="H339" t="str">
        <v>Abiola Ogun</v>
      </c>
      <c r="I339" t="str">
        <v>Cash</v>
      </c>
      <c r="J339">
        <v>0</v>
      </c>
    </row>
    <row r="340" spans="1:10" x14ac:dyDescent="0.25">
      <c r="A340">
        <v>3242</v>
      </c>
      <c r="B340" s="11">
        <v>45713</v>
      </c>
      <c r="C340" t="str">
        <v>Furniture</v>
      </c>
      <c r="D340" t="str">
        <v>BarStool</v>
      </c>
      <c r="E340">
        <v>4</v>
      </c>
      <c r="F340">
        <v>25000</v>
      </c>
      <c r="G340" t="str">
        <v>South</v>
      </c>
      <c r="H340" t="str">
        <v>Chidi Nwosu</v>
      </c>
      <c r="I340" t="str">
        <v>Transfer</v>
      </c>
      <c r="J340">
        <v>5</v>
      </c>
    </row>
    <row r="341" spans="1:10" x14ac:dyDescent="0.25">
      <c r="A341">
        <v>3243</v>
      </c>
      <c r="B341" s="11">
        <v>45714</v>
      </c>
      <c r="C341" t="str">
        <v>Electronics</v>
      </c>
      <c r="D341" t="str">
        <v>CarMount</v>
      </c>
      <c r="E341">
        <v>6</v>
      </c>
      <c r="F341">
        <v>3000</v>
      </c>
      <c r="G341" t="str">
        <v>East</v>
      </c>
      <c r="H341" t="str">
        <v>Femi Adebayo</v>
      </c>
      <c r="I341" t="str">
        <v>Card</v>
      </c>
      <c r="J341">
        <v>0</v>
      </c>
    </row>
    <row r="342" spans="1:10" x14ac:dyDescent="0.25">
      <c r="A342">
        <v>3244</v>
      </c>
      <c r="B342" s="11">
        <v>45715</v>
      </c>
      <c r="C342" t="str">
        <v>Clothing</v>
      </c>
      <c r="D342" t="str">
        <v>NeckGaiter</v>
      </c>
      <c r="E342">
        <v>4</v>
      </c>
      <c r="F342">
        <v>5000</v>
      </c>
      <c r="G342" t="str">
        <v>West</v>
      </c>
      <c r="H342" t="str">
        <v>Tunde Bakare</v>
      </c>
      <c r="I342" t="str">
        <v>Cash</v>
      </c>
      <c r="J342">
        <v>0</v>
      </c>
    </row>
    <row r="343" spans="1:10" x14ac:dyDescent="0.25">
      <c r="A343">
        <v>3245</v>
      </c>
      <c r="B343" s="11">
        <v>45716</v>
      </c>
      <c r="C343" t="str">
        <v>Furniture</v>
      </c>
      <c r="D343" t="str">
        <v>Trunk</v>
      </c>
      <c r="E343">
        <v>1</v>
      </c>
      <c r="F343">
        <v>55000</v>
      </c>
      <c r="G343" t="str">
        <v>North</v>
      </c>
      <c r="H343" t="str">
        <v>Abiola Ogun</v>
      </c>
      <c r="I343" t="str">
        <v>Transfer</v>
      </c>
      <c r="J343">
        <v>5</v>
      </c>
    </row>
    <row r="348" spans="1:10" x14ac:dyDescent="0.25">
      <c r="A348" s="9" t="s">
        <v>266</v>
      </c>
      <c r="B348" s="9"/>
      <c r="C348" s="9"/>
      <c r="D348" s="9"/>
      <c r="E348" s="9"/>
      <c r="F348" s="9"/>
      <c r="G348" s="9"/>
      <c r="H348" s="9"/>
      <c r="I348" s="9"/>
      <c r="J348" s="9"/>
    </row>
    <row r="349" spans="1:10" x14ac:dyDescent="0.25">
      <c r="A349" s="2" t="s">
        <v>0</v>
      </c>
      <c r="B349" s="10" t="s">
        <v>1</v>
      </c>
      <c r="C349" s="3" t="s">
        <v>2</v>
      </c>
      <c r="D349" s="3" t="s">
        <v>3</v>
      </c>
      <c r="E349" s="3" t="s">
        <v>4</v>
      </c>
      <c r="F349" s="6" t="s">
        <v>5</v>
      </c>
      <c r="G349" s="3" t="s">
        <v>6</v>
      </c>
      <c r="H349" s="3" t="s">
        <v>7</v>
      </c>
      <c r="I349" s="3" t="s">
        <v>8</v>
      </c>
      <c r="J349" s="4" t="s">
        <v>9</v>
      </c>
    </row>
    <row r="350" spans="1:10" x14ac:dyDescent="0.25">
      <c r="A350" cm="1">
        <f t="array" ref="A350:J355">_xlfn._xlws.FILTER(deepseek_csv_20260422_7f7afa[], ISNUMBER(SEARCH("Phone", deepseek_csv_20260422_7f7afa[ProductName])), "No Phone Products")</f>
        <v>3004</v>
      </c>
      <c r="B350" s="11">
        <v>45668</v>
      </c>
      <c r="C350" t="str">
        <v>Electronics</v>
      </c>
      <c r="D350" t="str">
        <v>Smartphone</v>
      </c>
      <c r="E350">
        <v>2</v>
      </c>
      <c r="F350">
        <v>120000</v>
      </c>
      <c r="G350" t="str">
        <v>West</v>
      </c>
      <c r="H350" t="str">
        <v>Tunde Bakare</v>
      </c>
      <c r="I350" t="str">
        <v>Card</v>
      </c>
      <c r="J350">
        <v>0</v>
      </c>
    </row>
    <row r="351" spans="1:10" x14ac:dyDescent="0.25">
      <c r="A351">
        <v>3007</v>
      </c>
      <c r="B351" s="11">
        <v>45670</v>
      </c>
      <c r="C351" t="str">
        <v>Electronics</v>
      </c>
      <c r="D351" t="str">
        <v>Headphones</v>
      </c>
      <c r="E351">
        <v>3</v>
      </c>
      <c r="F351">
        <v>25000</v>
      </c>
      <c r="G351" t="str">
        <v>East</v>
      </c>
      <c r="H351" t="str">
        <v>Femi Adebayo</v>
      </c>
      <c r="I351" t="str">
        <v>Card</v>
      </c>
      <c r="J351">
        <v>10</v>
      </c>
    </row>
    <row r="352" spans="1:10" x14ac:dyDescent="0.25">
      <c r="A352">
        <v>3049</v>
      </c>
      <c r="B352" s="11">
        <v>45691</v>
      </c>
      <c r="C352" t="str">
        <v>Electronics</v>
      </c>
      <c r="D352" t="str">
        <v>Microphone</v>
      </c>
      <c r="E352">
        <v>2</v>
      </c>
      <c r="F352">
        <v>20000</v>
      </c>
      <c r="G352" t="str">
        <v>North</v>
      </c>
      <c r="H352" t="str">
        <v>Abiola Ogun</v>
      </c>
      <c r="I352" t="str">
        <v>Card</v>
      </c>
      <c r="J352">
        <v>0</v>
      </c>
    </row>
    <row r="353" spans="1:10" x14ac:dyDescent="0.25">
      <c r="A353">
        <v>3091</v>
      </c>
      <c r="B353" s="11">
        <v>45712</v>
      </c>
      <c r="C353" t="str">
        <v>Electronics</v>
      </c>
      <c r="D353" t="str">
        <v>PhoneStand</v>
      </c>
      <c r="E353">
        <v>7</v>
      </c>
      <c r="F353">
        <v>4000</v>
      </c>
      <c r="G353" t="str">
        <v>East</v>
      </c>
      <c r="H353" t="str">
        <v>Femi Adebayo</v>
      </c>
      <c r="I353" t="str">
        <v>Card</v>
      </c>
      <c r="J353">
        <v>5</v>
      </c>
    </row>
    <row r="354" spans="1:10" x14ac:dyDescent="0.25">
      <c r="A354">
        <v>3116</v>
      </c>
      <c r="B354" s="11">
        <v>45684</v>
      </c>
      <c r="C354" t="str">
        <v>Electronics</v>
      </c>
      <c r="D354" t="str">
        <v>NoiseCancellingHeadphones</v>
      </c>
      <c r="E354">
        <v>2</v>
      </c>
      <c r="F354">
        <v>75000</v>
      </c>
      <c r="G354" t="str">
        <v>West</v>
      </c>
      <c r="H354" t="str">
        <v>Tunde Bakare</v>
      </c>
      <c r="I354" t="str">
        <v>Card</v>
      </c>
      <c r="J354">
        <v>10</v>
      </c>
    </row>
    <row r="355" spans="1:10" x14ac:dyDescent="0.25">
      <c r="A355">
        <v>3146</v>
      </c>
      <c r="B355" s="11">
        <v>45714</v>
      </c>
      <c r="C355" t="str">
        <v>Electronics</v>
      </c>
      <c r="D355" t="str">
        <v>PhoneGrip</v>
      </c>
      <c r="E355">
        <v>10</v>
      </c>
      <c r="F355">
        <v>2000</v>
      </c>
      <c r="G355" t="str">
        <v>South</v>
      </c>
      <c r="H355" t="str">
        <v>Chidi Nwosu</v>
      </c>
      <c r="I355" t="str">
        <v>Card</v>
      </c>
      <c r="J355">
        <v>0</v>
      </c>
    </row>
    <row r="361" spans="1:10" x14ac:dyDescent="0.25">
      <c r="A361" s="2" t="s">
        <v>0</v>
      </c>
      <c r="B361" s="10" t="s">
        <v>1</v>
      </c>
      <c r="C361" s="3" t="s">
        <v>2</v>
      </c>
      <c r="D361" s="3" t="s">
        <v>3</v>
      </c>
      <c r="E361" s="3" t="s">
        <v>4</v>
      </c>
      <c r="F361" s="6" t="s">
        <v>5</v>
      </c>
      <c r="G361" s="3" t="s">
        <v>6</v>
      </c>
      <c r="H361" s="3" t="s">
        <v>7</v>
      </c>
      <c r="I361" s="3" t="s">
        <v>8</v>
      </c>
      <c r="J361" s="4" t="s">
        <v>9</v>
      </c>
    </row>
    <row r="362" spans="1:10" x14ac:dyDescent="0.25">
      <c r="A362" cm="1">
        <f t="array" ref="A362:J363">_xlfn._xlws.FILTER(deepseek_csv_20260422_7f7afa[], (deepseek_csv_20260422_7f7afa[ProductName]="Laptop") +(deepseek_csv_20260422_7f7afa[ProductName]="Smartphone"), 0)</f>
        <v>3001</v>
      </c>
      <c r="B362" s="11">
        <v>45667</v>
      </c>
      <c r="C362" t="str">
        <v>Electronics</v>
      </c>
      <c r="D362" t="str">
        <v>Laptop</v>
      </c>
      <c r="E362">
        <v>3</v>
      </c>
      <c r="F362">
        <v>450000</v>
      </c>
      <c r="G362" t="str">
        <v>North</v>
      </c>
      <c r="H362" t="str">
        <v>Abiola Ogun</v>
      </c>
      <c r="I362" t="str">
        <v>Card</v>
      </c>
      <c r="J362">
        <v>5</v>
      </c>
    </row>
    <row r="363" spans="1:10" x14ac:dyDescent="0.25">
      <c r="A363">
        <v>3004</v>
      </c>
      <c r="B363" s="11">
        <v>45668</v>
      </c>
      <c r="C363" t="str">
        <v>Electronics</v>
      </c>
      <c r="D363" t="str">
        <v>Smartphone</v>
      </c>
      <c r="E363">
        <v>2</v>
      </c>
      <c r="F363">
        <v>120000</v>
      </c>
      <c r="G363" t="str">
        <v>West</v>
      </c>
      <c r="H363" t="str">
        <v>Tunde Bakare</v>
      </c>
      <c r="I363" t="str">
        <v>Card</v>
      </c>
      <c r="J363">
        <v>0</v>
      </c>
    </row>
    <row r="369" spans="1:10" x14ac:dyDescent="0.25">
      <c r="A369" s="9" t="s">
        <v>267</v>
      </c>
      <c r="B369" s="9"/>
      <c r="C369" s="9"/>
      <c r="D369" s="9"/>
      <c r="E369" s="9"/>
      <c r="F369" s="9"/>
      <c r="G369" s="9"/>
      <c r="H369" s="9"/>
      <c r="I369" s="9"/>
      <c r="J369" s="9"/>
    </row>
    <row r="370" spans="1:10" x14ac:dyDescent="0.25">
      <c r="A370" s="2" t="s">
        <v>0</v>
      </c>
      <c r="B370" s="10" t="s">
        <v>1</v>
      </c>
      <c r="C370" s="3" t="s">
        <v>2</v>
      </c>
      <c r="D370" s="3" t="s">
        <v>3</v>
      </c>
      <c r="E370" s="3" t="s">
        <v>4</v>
      </c>
      <c r="F370" s="6" t="s">
        <v>5</v>
      </c>
      <c r="G370" s="3" t="s">
        <v>6</v>
      </c>
      <c r="H370" s="3" t="s">
        <v>7</v>
      </c>
      <c r="I370" s="3" t="s">
        <v>8</v>
      </c>
      <c r="J370" s="4" t="s">
        <v>9</v>
      </c>
    </row>
    <row r="371" spans="1:10" x14ac:dyDescent="0.25">
      <c r="A371" cm="1">
        <f t="array" ref="A371:J554">_xlfn._xlws.FILTER(deepseek_csv_20260422_7f7afa[], deepseek_csv_20260422_7f7afa[Region]&lt;&gt;"East", "No Orders outside East")</f>
        <v>3001</v>
      </c>
      <c r="B371" s="11">
        <v>45667</v>
      </c>
      <c r="C371" t="str">
        <v>Electronics</v>
      </c>
      <c r="D371" t="str">
        <v>Laptop</v>
      </c>
      <c r="E371">
        <v>3</v>
      </c>
      <c r="F371">
        <v>450000</v>
      </c>
      <c r="G371" t="str">
        <v>North</v>
      </c>
      <c r="H371" t="str">
        <v>Abiola Ogun</v>
      </c>
      <c r="I371" t="str">
        <v>Card</v>
      </c>
      <c r="J371">
        <v>5</v>
      </c>
    </row>
    <row r="372" spans="1:10" x14ac:dyDescent="0.25">
      <c r="A372">
        <v>3002</v>
      </c>
      <c r="B372" s="11">
        <v>45667</v>
      </c>
      <c r="C372" t="str">
        <v>Clothing</v>
      </c>
      <c r="D372" t="str">
        <v>Jeans</v>
      </c>
      <c r="E372">
        <v>5</v>
      </c>
      <c r="F372">
        <v>15000</v>
      </c>
      <c r="G372" t="str">
        <v>South</v>
      </c>
      <c r="H372" t="str">
        <v>Chidi Nwosu</v>
      </c>
      <c r="I372" t="str">
        <v>Cash</v>
      </c>
      <c r="J372">
        <v>0</v>
      </c>
    </row>
    <row r="373" spans="1:10" x14ac:dyDescent="0.25">
      <c r="A373">
        <v>3004</v>
      </c>
      <c r="B373" s="11">
        <v>45668</v>
      </c>
      <c r="C373" t="str">
        <v>Electronics</v>
      </c>
      <c r="D373" t="str">
        <v>Smartphone</v>
      </c>
      <c r="E373">
        <v>2</v>
      </c>
      <c r="F373">
        <v>120000</v>
      </c>
      <c r="G373" t="str">
        <v>West</v>
      </c>
      <c r="H373" t="str">
        <v>Tunde Bakare</v>
      </c>
      <c r="I373" t="str">
        <v>Card</v>
      </c>
      <c r="J373">
        <v>0</v>
      </c>
    </row>
    <row r="374" spans="1:10" x14ac:dyDescent="0.25">
      <c r="A374">
        <v>3005</v>
      </c>
      <c r="B374" s="11">
        <v>45669</v>
      </c>
      <c r="C374" t="str">
        <v>Clothing</v>
      </c>
      <c r="D374" t="str">
        <v>TShirt</v>
      </c>
      <c r="E374">
        <v>8</v>
      </c>
      <c r="F374">
        <v>5000</v>
      </c>
      <c r="G374" t="str">
        <v>North</v>
      </c>
      <c r="H374" t="str">
        <v>Abiola Ogun</v>
      </c>
      <c r="I374" t="str">
        <v>Cash</v>
      </c>
      <c r="J374">
        <v>5</v>
      </c>
    </row>
    <row r="375" spans="1:10" x14ac:dyDescent="0.25">
      <c r="A375">
        <v>3006</v>
      </c>
      <c r="B375" s="11">
        <v>45669</v>
      </c>
      <c r="C375" t="str">
        <v>Furniture</v>
      </c>
      <c r="D375" t="str">
        <v>Dining Table</v>
      </c>
      <c r="E375">
        <v>1</v>
      </c>
      <c r="F375">
        <v>150000</v>
      </c>
      <c r="G375" t="str">
        <v>South</v>
      </c>
      <c r="H375" t="str">
        <v>Chidi Nwosu</v>
      </c>
      <c r="I375" t="str">
        <v>Transfer</v>
      </c>
      <c r="J375">
        <v>0</v>
      </c>
    </row>
    <row r="376" spans="1:10" x14ac:dyDescent="0.25">
      <c r="A376">
        <v>3008</v>
      </c>
      <c r="B376" s="11">
        <v>45670</v>
      </c>
      <c r="C376" t="str">
        <v>Clothing</v>
      </c>
      <c r="D376" t="str">
        <v>Jacket</v>
      </c>
      <c r="E376">
        <v>2</v>
      </c>
      <c r="F376">
        <v>35000</v>
      </c>
      <c r="G376" t="str">
        <v>West</v>
      </c>
      <c r="H376" t="str">
        <v>Tunde Bakare</v>
      </c>
      <c r="I376" t="str">
        <v>Cash</v>
      </c>
      <c r="J376">
        <v>0</v>
      </c>
    </row>
    <row r="377" spans="1:10" x14ac:dyDescent="0.25">
      <c r="A377">
        <v>3009</v>
      </c>
      <c r="B377" s="11">
        <v>45671</v>
      </c>
      <c r="C377" t="str">
        <v>Furniture</v>
      </c>
      <c r="D377" t="str">
        <v>Bed Frame</v>
      </c>
      <c r="E377">
        <v>1</v>
      </c>
      <c r="F377">
        <v>120000</v>
      </c>
      <c r="G377" t="str">
        <v>North</v>
      </c>
      <c r="H377" t="str">
        <v>Abiola Ogun</v>
      </c>
      <c r="I377" t="str">
        <v>Transfer</v>
      </c>
      <c r="J377">
        <v>15</v>
      </c>
    </row>
    <row r="378" spans="1:10" x14ac:dyDescent="0.25">
      <c r="A378">
        <v>3010</v>
      </c>
      <c r="B378" s="11">
        <v>45671</v>
      </c>
      <c r="C378" t="str">
        <v>Electronics</v>
      </c>
      <c r="D378" t="str">
        <v>Tablet</v>
      </c>
      <c r="E378">
        <v>2</v>
      </c>
      <c r="F378">
        <v>80000</v>
      </c>
      <c r="G378" t="str">
        <v>South</v>
      </c>
      <c r="H378" t="str">
        <v>Chidi Nwosu</v>
      </c>
      <c r="I378" t="str">
        <v>Card</v>
      </c>
      <c r="J378">
        <v>5</v>
      </c>
    </row>
    <row r="379" spans="1:10" x14ac:dyDescent="0.25">
      <c r="A379">
        <v>3012</v>
      </c>
      <c r="B379" s="11">
        <v>45672</v>
      </c>
      <c r="C379" t="str">
        <v>Furniture</v>
      </c>
      <c r="D379" t="str">
        <v>Bookshelf</v>
      </c>
      <c r="E379">
        <v>2</v>
      </c>
      <c r="F379">
        <v>45000</v>
      </c>
      <c r="G379" t="str">
        <v>West</v>
      </c>
      <c r="H379" t="str">
        <v>Tunde Bakare</v>
      </c>
      <c r="I379" t="str">
        <v>Transfer</v>
      </c>
      <c r="J379">
        <v>0</v>
      </c>
    </row>
    <row r="380" spans="1:10" x14ac:dyDescent="0.25">
      <c r="A380">
        <v>3013</v>
      </c>
      <c r="B380" s="11">
        <v>45673</v>
      </c>
      <c r="C380" t="str">
        <v>Electronics</v>
      </c>
      <c r="D380" t="str">
        <v>Smartwatch</v>
      </c>
      <c r="E380">
        <v>2</v>
      </c>
      <c r="F380">
        <v>35000</v>
      </c>
      <c r="G380" t="str">
        <v>North</v>
      </c>
      <c r="H380" t="str">
        <v>Abiola Ogun</v>
      </c>
      <c r="I380" t="str">
        <v>Card</v>
      </c>
      <c r="J380">
        <v>0</v>
      </c>
    </row>
    <row r="381" spans="1:10" x14ac:dyDescent="0.25">
      <c r="A381">
        <v>3014</v>
      </c>
      <c r="B381" s="11">
        <v>45673</v>
      </c>
      <c r="C381" t="str">
        <v>Clothing</v>
      </c>
      <c r="D381" t="str">
        <v>Hat</v>
      </c>
      <c r="E381">
        <v>5</v>
      </c>
      <c r="F381">
        <v>8000</v>
      </c>
      <c r="G381" t="str">
        <v>South</v>
      </c>
      <c r="H381" t="str">
        <v>Chidi Nwosu</v>
      </c>
      <c r="I381" t="str">
        <v>Cash</v>
      </c>
      <c r="J381">
        <v>5</v>
      </c>
    </row>
    <row r="382" spans="1:10" x14ac:dyDescent="0.25">
      <c r="A382">
        <v>3016</v>
      </c>
      <c r="B382" s="11">
        <v>45674</v>
      </c>
      <c r="C382" t="str">
        <v>Electronics</v>
      </c>
      <c r="D382" t="str">
        <v>Monitor</v>
      </c>
      <c r="E382">
        <v>2</v>
      </c>
      <c r="F382">
        <v>120000</v>
      </c>
      <c r="G382" t="str">
        <v>West</v>
      </c>
      <c r="H382" t="str">
        <v>Tunde Bakare</v>
      </c>
      <c r="I382" t="str">
        <v>Card</v>
      </c>
      <c r="J382">
        <v>10</v>
      </c>
    </row>
    <row r="383" spans="1:10" x14ac:dyDescent="0.25">
      <c r="A383">
        <v>3017</v>
      </c>
      <c r="B383" s="11">
        <v>45675</v>
      </c>
      <c r="C383" t="str">
        <v>Clothing</v>
      </c>
      <c r="D383" t="str">
        <v>Dress</v>
      </c>
      <c r="E383">
        <v>3</v>
      </c>
      <c r="F383">
        <v>22000</v>
      </c>
      <c r="G383" t="str">
        <v>North</v>
      </c>
      <c r="H383" t="str">
        <v>Abiola Ogun</v>
      </c>
      <c r="I383" t="str">
        <v>Cash</v>
      </c>
      <c r="J383">
        <v>0</v>
      </c>
    </row>
    <row r="384" spans="1:10" x14ac:dyDescent="0.25">
      <c r="A384">
        <v>3018</v>
      </c>
      <c r="B384" s="11">
        <v>45675</v>
      </c>
      <c r="C384" t="str">
        <v>Furniture</v>
      </c>
      <c r="D384" t="str">
        <v>Wardrobe</v>
      </c>
      <c r="E384">
        <v>1</v>
      </c>
      <c r="F384">
        <v>180000</v>
      </c>
      <c r="G384" t="str">
        <v>South</v>
      </c>
      <c r="H384" t="str">
        <v>Chidi Nwosu</v>
      </c>
      <c r="I384" t="str">
        <v>Transfer</v>
      </c>
      <c r="J384">
        <v>0</v>
      </c>
    </row>
    <row r="385" spans="1:10" x14ac:dyDescent="0.25">
      <c r="A385">
        <v>3020</v>
      </c>
      <c r="B385" s="11">
        <v>45676</v>
      </c>
      <c r="C385" t="str">
        <v>Clothing</v>
      </c>
      <c r="D385" t="str">
        <v>Shorts</v>
      </c>
      <c r="E385">
        <v>6</v>
      </c>
      <c r="F385">
        <v>7000</v>
      </c>
      <c r="G385" t="str">
        <v>West</v>
      </c>
      <c r="H385" t="str">
        <v>Tunde Bakare</v>
      </c>
      <c r="I385" t="str">
        <v>Cash</v>
      </c>
      <c r="J385">
        <v>0</v>
      </c>
    </row>
    <row r="386" spans="1:10" x14ac:dyDescent="0.25">
      <c r="A386">
        <v>3021</v>
      </c>
      <c r="B386" s="11">
        <v>45677</v>
      </c>
      <c r="C386" t="str">
        <v>Furniture</v>
      </c>
      <c r="D386" t="str">
        <v>Sofa Set</v>
      </c>
      <c r="E386">
        <v>1</v>
      </c>
      <c r="F386">
        <v>250000</v>
      </c>
      <c r="G386" t="str">
        <v>North</v>
      </c>
      <c r="H386" t="str">
        <v>Abiola Ogun</v>
      </c>
      <c r="I386" t="str">
        <v>Transfer</v>
      </c>
      <c r="J386">
        <v>0</v>
      </c>
    </row>
    <row r="387" spans="1:10" x14ac:dyDescent="0.25">
      <c r="A387">
        <v>3022</v>
      </c>
      <c r="B387" s="11">
        <v>45677</v>
      </c>
      <c r="C387" t="str">
        <v>Electronics</v>
      </c>
      <c r="D387" t="str">
        <v>Mouse</v>
      </c>
      <c r="E387">
        <v>8</v>
      </c>
      <c r="F387">
        <v>5000</v>
      </c>
      <c r="G387" t="str">
        <v>South</v>
      </c>
      <c r="H387" t="str">
        <v>Chidi Nwosu</v>
      </c>
      <c r="I387" t="str">
        <v>Card</v>
      </c>
      <c r="J387">
        <v>10</v>
      </c>
    </row>
    <row r="388" spans="1:10" x14ac:dyDescent="0.25">
      <c r="A388">
        <v>3024</v>
      </c>
      <c r="B388" s="11">
        <v>45678</v>
      </c>
      <c r="C388" t="str">
        <v>Furniture</v>
      </c>
      <c r="D388" t="str">
        <v>Nightstand</v>
      </c>
      <c r="E388">
        <v>3</v>
      </c>
      <c r="F388">
        <v>25000</v>
      </c>
      <c r="G388" t="str">
        <v>West</v>
      </c>
      <c r="H388" t="str">
        <v>Tunde Bakare</v>
      </c>
      <c r="I388" t="str">
        <v>Transfer</v>
      </c>
      <c r="J388">
        <v>5</v>
      </c>
    </row>
    <row r="389" spans="1:10" x14ac:dyDescent="0.25">
      <c r="A389">
        <v>3025</v>
      </c>
      <c r="B389" s="11">
        <v>45679</v>
      </c>
      <c r="C389" t="str">
        <v>Electronics</v>
      </c>
      <c r="D389" t="str">
        <v>Printer</v>
      </c>
      <c r="E389">
        <v>1</v>
      </c>
      <c r="F389">
        <v>65000</v>
      </c>
      <c r="G389" t="str">
        <v>North</v>
      </c>
      <c r="H389" t="str">
        <v>Abiola Ogun</v>
      </c>
      <c r="I389" t="str">
        <v>Card</v>
      </c>
      <c r="J389">
        <v>0</v>
      </c>
    </row>
    <row r="390" spans="1:10" x14ac:dyDescent="0.25">
      <c r="A390">
        <v>3026</v>
      </c>
      <c r="B390" s="11">
        <v>45679</v>
      </c>
      <c r="C390" t="str">
        <v>Clothing</v>
      </c>
      <c r="D390" t="str">
        <v>Blazer</v>
      </c>
      <c r="E390">
        <v>1</v>
      </c>
      <c r="F390">
        <v>40000</v>
      </c>
      <c r="G390" t="str">
        <v>South</v>
      </c>
      <c r="H390" t="str">
        <v>Chidi Nwosu</v>
      </c>
      <c r="I390" t="str">
        <v>Cash</v>
      </c>
      <c r="J390">
        <v>15</v>
      </c>
    </row>
    <row r="391" spans="1:10" x14ac:dyDescent="0.25">
      <c r="A391">
        <v>3028</v>
      </c>
      <c r="B391" s="11">
        <v>45680</v>
      </c>
      <c r="C391" t="str">
        <v>Electronics</v>
      </c>
      <c r="D391" t="str">
        <v>Speaker</v>
      </c>
      <c r="E391">
        <v>3</v>
      </c>
      <c r="F391">
        <v>30000</v>
      </c>
      <c r="G391" t="str">
        <v>West</v>
      </c>
      <c r="H391" t="str">
        <v>Tunde Bakare</v>
      </c>
      <c r="I391" t="str">
        <v>Card</v>
      </c>
      <c r="J391">
        <v>0</v>
      </c>
    </row>
    <row r="392" spans="1:10" x14ac:dyDescent="0.25">
      <c r="A392">
        <v>3029</v>
      </c>
      <c r="B392" s="11">
        <v>45681</v>
      </c>
      <c r="C392" t="str">
        <v>Clothing</v>
      </c>
      <c r="D392" t="str">
        <v>Skirt</v>
      </c>
      <c r="E392">
        <v>4</v>
      </c>
      <c r="F392">
        <v>12000</v>
      </c>
      <c r="G392" t="str">
        <v>North</v>
      </c>
      <c r="H392" t="str">
        <v>Abiola Ogun</v>
      </c>
      <c r="I392" t="str">
        <v>Cash</v>
      </c>
      <c r="J392">
        <v>5</v>
      </c>
    </row>
    <row r="393" spans="1:10" x14ac:dyDescent="0.25">
      <c r="A393">
        <v>3030</v>
      </c>
      <c r="B393" s="11">
        <v>45681</v>
      </c>
      <c r="C393" t="str">
        <v>Furniture</v>
      </c>
      <c r="D393" t="str">
        <v>Drawer Unit</v>
      </c>
      <c r="E393">
        <v>2</v>
      </c>
      <c r="F393">
        <v>40000</v>
      </c>
      <c r="G393" t="str">
        <v>South</v>
      </c>
      <c r="H393" t="str">
        <v>Chidi Nwosu</v>
      </c>
      <c r="I393" t="str">
        <v>Transfer</v>
      </c>
      <c r="J393">
        <v>0</v>
      </c>
    </row>
    <row r="394" spans="1:10" x14ac:dyDescent="0.25">
      <c r="A394">
        <v>3032</v>
      </c>
      <c r="B394" s="11">
        <v>45682</v>
      </c>
      <c r="C394" t="str">
        <v>Clothing</v>
      </c>
      <c r="D394" t="str">
        <v>Cardigan</v>
      </c>
      <c r="E394">
        <v>3</v>
      </c>
      <c r="F394">
        <v>15000</v>
      </c>
      <c r="G394" t="str">
        <v>West</v>
      </c>
      <c r="H394" t="str">
        <v>Tunde Bakare</v>
      </c>
      <c r="I394" t="str">
        <v>Cash</v>
      </c>
      <c r="J394">
        <v>10</v>
      </c>
    </row>
    <row r="395" spans="1:10" x14ac:dyDescent="0.25">
      <c r="A395">
        <v>3033</v>
      </c>
      <c r="B395" s="11">
        <v>45683</v>
      </c>
      <c r="C395" t="str">
        <v>Furniture</v>
      </c>
      <c r="D395" t="str">
        <v>Shoe Rack</v>
      </c>
      <c r="E395">
        <v>2</v>
      </c>
      <c r="F395">
        <v>15000</v>
      </c>
      <c r="G395" t="str">
        <v>North</v>
      </c>
      <c r="H395" t="str">
        <v>Abiola Ogun</v>
      </c>
      <c r="I395" t="str">
        <v>Transfer</v>
      </c>
      <c r="J395">
        <v>0</v>
      </c>
    </row>
    <row r="396" spans="1:10" x14ac:dyDescent="0.25">
      <c r="A396">
        <v>3034</v>
      </c>
      <c r="B396" s="11">
        <v>45683</v>
      </c>
      <c r="C396" t="str">
        <v>Electronics</v>
      </c>
      <c r="D396" t="str">
        <v>Router</v>
      </c>
      <c r="E396">
        <v>2</v>
      </c>
      <c r="F396">
        <v>22000</v>
      </c>
      <c r="G396" t="str">
        <v>South</v>
      </c>
      <c r="H396" t="str">
        <v>Chidi Nwosu</v>
      </c>
      <c r="I396" t="str">
        <v>Card</v>
      </c>
      <c r="J396">
        <v>0</v>
      </c>
    </row>
    <row r="397" spans="1:10" x14ac:dyDescent="0.25">
      <c r="A397">
        <v>3036</v>
      </c>
      <c r="B397" s="11">
        <v>45684</v>
      </c>
      <c r="C397" t="str">
        <v>Furniture</v>
      </c>
      <c r="D397" t="str">
        <v>Desk Lamp</v>
      </c>
      <c r="E397">
        <v>3</v>
      </c>
      <c r="F397">
        <v>12000</v>
      </c>
      <c r="G397" t="str">
        <v>West</v>
      </c>
      <c r="H397" t="str">
        <v>Tunde Bakare</v>
      </c>
      <c r="I397" t="str">
        <v>Transfer</v>
      </c>
      <c r="J397">
        <v>0</v>
      </c>
    </row>
    <row r="398" spans="1:10" x14ac:dyDescent="0.25">
      <c r="A398">
        <v>3037</v>
      </c>
      <c r="B398" s="11">
        <v>45685</v>
      </c>
      <c r="C398" t="str">
        <v>Electronics</v>
      </c>
      <c r="D398" t="str">
        <v>USBCable</v>
      </c>
      <c r="E398">
        <v>15</v>
      </c>
      <c r="F398">
        <v>2000</v>
      </c>
      <c r="G398" t="str">
        <v>North</v>
      </c>
      <c r="H398" t="str">
        <v>Abiola Ogun</v>
      </c>
      <c r="I398" t="str">
        <v>Card</v>
      </c>
      <c r="J398">
        <v>10</v>
      </c>
    </row>
    <row r="399" spans="1:10" x14ac:dyDescent="0.25">
      <c r="A399">
        <v>3038</v>
      </c>
      <c r="B399" s="11">
        <v>45685</v>
      </c>
      <c r="C399" t="str">
        <v>Clothing</v>
      </c>
      <c r="D399" t="str">
        <v>Vest</v>
      </c>
      <c r="E399">
        <v>5</v>
      </c>
      <c r="F399">
        <v>5000</v>
      </c>
      <c r="G399" t="str">
        <v>South</v>
      </c>
      <c r="H399" t="str">
        <v>Chidi Nwosu</v>
      </c>
      <c r="I399" t="str">
        <v>Cash</v>
      </c>
      <c r="J399">
        <v>0</v>
      </c>
    </row>
    <row r="400" spans="1:10" x14ac:dyDescent="0.25">
      <c r="A400">
        <v>3040</v>
      </c>
      <c r="B400" s="11">
        <v>45686</v>
      </c>
      <c r="C400" t="str">
        <v>Electronics</v>
      </c>
      <c r="D400" t="str">
        <v>Charger</v>
      </c>
      <c r="E400">
        <v>8</v>
      </c>
      <c r="F400">
        <v>8000</v>
      </c>
      <c r="G400" t="str">
        <v>West</v>
      </c>
      <c r="H400" t="str">
        <v>Tunde Bakare</v>
      </c>
      <c r="I400" t="str">
        <v>Card</v>
      </c>
      <c r="J400">
        <v>5</v>
      </c>
    </row>
    <row r="401" spans="1:10" x14ac:dyDescent="0.25">
      <c r="A401">
        <v>3041</v>
      </c>
      <c r="B401" s="11">
        <v>45687</v>
      </c>
      <c r="C401" t="str">
        <v>Clothing</v>
      </c>
      <c r="D401" t="str">
        <v>Scarf</v>
      </c>
      <c r="E401">
        <v>7</v>
      </c>
      <c r="F401">
        <v>3000</v>
      </c>
      <c r="G401" t="str">
        <v>North</v>
      </c>
      <c r="H401" t="str">
        <v>Abiola Ogun</v>
      </c>
      <c r="I401" t="str">
        <v>Cash</v>
      </c>
      <c r="J401">
        <v>0</v>
      </c>
    </row>
    <row r="402" spans="1:10" x14ac:dyDescent="0.25">
      <c r="A402">
        <v>3042</v>
      </c>
      <c r="B402" s="11">
        <v>45687</v>
      </c>
      <c r="C402" t="str">
        <v>Furniture</v>
      </c>
      <c r="D402" t="str">
        <v>CoatRack</v>
      </c>
      <c r="E402">
        <v>2</v>
      </c>
      <c r="F402">
        <v>18000</v>
      </c>
      <c r="G402" t="str">
        <v>South</v>
      </c>
      <c r="H402" t="str">
        <v>Chidi Nwosu</v>
      </c>
      <c r="I402" t="str">
        <v>Transfer</v>
      </c>
      <c r="J402">
        <v>0</v>
      </c>
    </row>
    <row r="403" spans="1:10" x14ac:dyDescent="0.25">
      <c r="A403">
        <v>3044</v>
      </c>
      <c r="B403" s="11">
        <v>45688</v>
      </c>
      <c r="C403" t="str">
        <v>Clothing</v>
      </c>
      <c r="D403" t="str">
        <v>Gloves</v>
      </c>
      <c r="E403">
        <v>6</v>
      </c>
      <c r="F403">
        <v>4000</v>
      </c>
      <c r="G403" t="str">
        <v>West</v>
      </c>
      <c r="H403" t="str">
        <v>Tunde Bakare</v>
      </c>
      <c r="I403" t="str">
        <v>Cash</v>
      </c>
      <c r="J403">
        <v>0</v>
      </c>
    </row>
    <row r="404" spans="1:10" x14ac:dyDescent="0.25">
      <c r="A404">
        <v>3045</v>
      </c>
      <c r="B404" s="11">
        <v>45689</v>
      </c>
      <c r="C404" t="str">
        <v>Furniture</v>
      </c>
      <c r="D404" t="str">
        <v>MagazineRack</v>
      </c>
      <c r="E404">
        <v>2</v>
      </c>
      <c r="F404">
        <v>10000</v>
      </c>
      <c r="G404" t="str">
        <v>North</v>
      </c>
      <c r="H404" t="str">
        <v>Abiola Ogun</v>
      </c>
      <c r="I404" t="str">
        <v>Transfer</v>
      </c>
      <c r="J404">
        <v>5</v>
      </c>
    </row>
    <row r="405" spans="1:10" x14ac:dyDescent="0.25">
      <c r="A405">
        <v>3046</v>
      </c>
      <c r="B405" s="11">
        <v>45689</v>
      </c>
      <c r="C405" t="str">
        <v>Electronics</v>
      </c>
      <c r="D405" t="str">
        <v>HardDrive</v>
      </c>
      <c r="E405">
        <v>1</v>
      </c>
      <c r="F405">
        <v>55000</v>
      </c>
      <c r="G405" t="str">
        <v>South</v>
      </c>
      <c r="H405" t="str">
        <v>Chidi Nwosu</v>
      </c>
      <c r="I405" t="str">
        <v>Card</v>
      </c>
      <c r="J405">
        <v>0</v>
      </c>
    </row>
    <row r="406" spans="1:10" x14ac:dyDescent="0.25">
      <c r="A406">
        <v>3048</v>
      </c>
      <c r="B406" s="11">
        <v>45690</v>
      </c>
      <c r="C406" t="str">
        <v>Furniture</v>
      </c>
      <c r="D406" t="str">
        <v>FilingCabinet</v>
      </c>
      <c r="E406">
        <v>1</v>
      </c>
      <c r="F406">
        <v>35000</v>
      </c>
      <c r="G406" t="str">
        <v>West</v>
      </c>
      <c r="H406" t="str">
        <v>Tunde Bakare</v>
      </c>
      <c r="I406" t="str">
        <v>Transfer</v>
      </c>
      <c r="J406">
        <v>10</v>
      </c>
    </row>
    <row r="407" spans="1:10" x14ac:dyDescent="0.25">
      <c r="A407">
        <v>3049</v>
      </c>
      <c r="B407" s="11">
        <v>45691</v>
      </c>
      <c r="C407" t="str">
        <v>Electronics</v>
      </c>
      <c r="D407" t="str">
        <v>Microphone</v>
      </c>
      <c r="E407">
        <v>2</v>
      </c>
      <c r="F407">
        <v>20000</v>
      </c>
      <c r="G407" t="str">
        <v>North</v>
      </c>
      <c r="H407" t="str">
        <v>Abiola Ogun</v>
      </c>
      <c r="I407" t="str">
        <v>Card</v>
      </c>
      <c r="J407">
        <v>0</v>
      </c>
    </row>
    <row r="408" spans="1:10" x14ac:dyDescent="0.25">
      <c r="A408">
        <v>3050</v>
      </c>
      <c r="B408" s="11">
        <v>45691</v>
      </c>
      <c r="C408" t="str">
        <v>Clothing</v>
      </c>
      <c r="D408" t="str">
        <v>Slippers</v>
      </c>
      <c r="E408">
        <v>5</v>
      </c>
      <c r="F408">
        <v>7000</v>
      </c>
      <c r="G408" t="str">
        <v>South</v>
      </c>
      <c r="H408" t="str">
        <v>Chidi Nwosu</v>
      </c>
      <c r="I408" t="str">
        <v>Cash</v>
      </c>
      <c r="J408">
        <v>0</v>
      </c>
    </row>
    <row r="409" spans="1:10" x14ac:dyDescent="0.25">
      <c r="A409">
        <v>3052</v>
      </c>
      <c r="B409" s="11">
        <v>45692</v>
      </c>
      <c r="C409" t="str">
        <v>Electronics</v>
      </c>
      <c r="D409" t="str">
        <v>Camera</v>
      </c>
      <c r="E409">
        <v>1</v>
      </c>
      <c r="F409">
        <v>180000</v>
      </c>
      <c r="G409" t="str">
        <v>West</v>
      </c>
      <c r="H409" t="str">
        <v>Tunde Bakare</v>
      </c>
      <c r="I409" t="str">
        <v>Card</v>
      </c>
      <c r="J409">
        <v>0</v>
      </c>
    </row>
    <row r="410" spans="1:10" x14ac:dyDescent="0.25">
      <c r="A410">
        <v>3053</v>
      </c>
      <c r="B410" s="11">
        <v>45693</v>
      </c>
      <c r="C410" t="str">
        <v>Clothing</v>
      </c>
      <c r="D410" t="str">
        <v>Bracelet</v>
      </c>
      <c r="E410">
        <v>8</v>
      </c>
      <c r="F410">
        <v>5000</v>
      </c>
      <c r="G410" t="str">
        <v>North</v>
      </c>
      <c r="H410" t="str">
        <v>Abiola Ogun</v>
      </c>
      <c r="I410" t="str">
        <v>Cash</v>
      </c>
      <c r="J410">
        <v>10</v>
      </c>
    </row>
    <row r="411" spans="1:10" x14ac:dyDescent="0.25">
      <c r="A411">
        <v>3054</v>
      </c>
      <c r="B411" s="11">
        <v>45693</v>
      </c>
      <c r="C411" t="str">
        <v>Furniture</v>
      </c>
      <c r="D411" t="str">
        <v>WallClock</v>
      </c>
      <c r="E411">
        <v>3</v>
      </c>
      <c r="F411">
        <v>12000</v>
      </c>
      <c r="G411" t="str">
        <v>South</v>
      </c>
      <c r="H411" t="str">
        <v>Chidi Nwosu</v>
      </c>
      <c r="I411" t="str">
        <v>Transfer</v>
      </c>
      <c r="J411">
        <v>0</v>
      </c>
    </row>
    <row r="412" spans="1:10" x14ac:dyDescent="0.25">
      <c r="A412">
        <v>3056</v>
      </c>
      <c r="B412" s="11">
        <v>45694</v>
      </c>
      <c r="C412" t="str">
        <v>Clothing</v>
      </c>
      <c r="D412" t="str">
        <v>Socks</v>
      </c>
      <c r="E412">
        <v>12</v>
      </c>
      <c r="F412">
        <v>2000</v>
      </c>
      <c r="G412" t="str">
        <v>West</v>
      </c>
      <c r="H412" t="str">
        <v>Tunde Bakare</v>
      </c>
      <c r="I412" t="str">
        <v>Cash</v>
      </c>
      <c r="J412">
        <v>5</v>
      </c>
    </row>
    <row r="413" spans="1:10" x14ac:dyDescent="0.25">
      <c r="A413">
        <v>3057</v>
      </c>
      <c r="B413" s="11">
        <v>45695</v>
      </c>
      <c r="C413" t="str">
        <v>Furniture</v>
      </c>
      <c r="D413" t="str">
        <v>PlantStand</v>
      </c>
      <c r="E413">
        <v>3</v>
      </c>
      <c r="F413">
        <v>8000</v>
      </c>
      <c r="G413" t="str">
        <v>North</v>
      </c>
      <c r="H413" t="str">
        <v>Abiola Ogun</v>
      </c>
      <c r="I413" t="str">
        <v>Transfer</v>
      </c>
      <c r="J413">
        <v>0</v>
      </c>
    </row>
    <row r="414" spans="1:10" x14ac:dyDescent="0.25">
      <c r="A414">
        <v>3058</v>
      </c>
      <c r="B414" s="11">
        <v>45695</v>
      </c>
      <c r="C414" t="str">
        <v>Electronics</v>
      </c>
      <c r="D414" t="str">
        <v>GraphicsTablet</v>
      </c>
      <c r="E414">
        <v>1</v>
      </c>
      <c r="F414">
        <v>45000</v>
      </c>
      <c r="G414" t="str">
        <v>South</v>
      </c>
      <c r="H414" t="str">
        <v>Chidi Nwosu</v>
      </c>
      <c r="I414" t="str">
        <v>Card</v>
      </c>
      <c r="J414">
        <v>0</v>
      </c>
    </row>
    <row r="415" spans="1:10" x14ac:dyDescent="0.25">
      <c r="A415">
        <v>3060</v>
      </c>
      <c r="B415" s="11">
        <v>45696</v>
      </c>
      <c r="C415" t="str">
        <v>Furniture</v>
      </c>
      <c r="D415" t="str">
        <v>BarStool</v>
      </c>
      <c r="E415">
        <v>4</v>
      </c>
      <c r="F415">
        <v>20000</v>
      </c>
      <c r="G415" t="str">
        <v>West</v>
      </c>
      <c r="H415" t="str">
        <v>Tunde Bakare</v>
      </c>
      <c r="I415" t="str">
        <v>Transfer</v>
      </c>
      <c r="J415">
        <v>0</v>
      </c>
    </row>
    <row r="416" spans="1:10" x14ac:dyDescent="0.25">
      <c r="A416">
        <v>3061</v>
      </c>
      <c r="B416" s="11">
        <v>45697</v>
      </c>
      <c r="C416" t="str">
        <v>Electronics</v>
      </c>
      <c r="D416" t="str">
        <v>SmartLight</v>
      </c>
      <c r="E416">
        <v>5</v>
      </c>
      <c r="F416">
        <v>8000</v>
      </c>
      <c r="G416" t="str">
        <v>North</v>
      </c>
      <c r="H416" t="str">
        <v>Abiola Ogun</v>
      </c>
      <c r="I416" t="str">
        <v>Card</v>
      </c>
      <c r="J416">
        <v>10</v>
      </c>
    </row>
    <row r="417" spans="1:10" x14ac:dyDescent="0.25">
      <c r="A417">
        <v>3062</v>
      </c>
      <c r="B417" s="11">
        <v>45697</v>
      </c>
      <c r="C417" t="str">
        <v>Clothing</v>
      </c>
      <c r="D417" t="str">
        <v>Cap</v>
      </c>
      <c r="E417">
        <v>8</v>
      </c>
      <c r="F417">
        <v>4000</v>
      </c>
      <c r="G417" t="str">
        <v>South</v>
      </c>
      <c r="H417" t="str">
        <v>Chidi Nwosu</v>
      </c>
      <c r="I417" t="str">
        <v>Cash</v>
      </c>
      <c r="J417">
        <v>0</v>
      </c>
    </row>
    <row r="418" spans="1:10" x14ac:dyDescent="0.25">
      <c r="A418">
        <v>3064</v>
      </c>
      <c r="B418" s="11">
        <v>45698</v>
      </c>
      <c r="C418" t="str">
        <v>Electronics</v>
      </c>
      <c r="D418" t="str">
        <v>FitnessTracker</v>
      </c>
      <c r="E418">
        <v>2</v>
      </c>
      <c r="F418">
        <v>25000</v>
      </c>
      <c r="G418" t="str">
        <v>West</v>
      </c>
      <c r="H418" t="str">
        <v>Tunde Bakare</v>
      </c>
      <c r="I418" t="str">
        <v>Card</v>
      </c>
      <c r="J418">
        <v>5</v>
      </c>
    </row>
    <row r="419" spans="1:10" x14ac:dyDescent="0.25">
      <c r="A419">
        <v>3065</v>
      </c>
      <c r="B419" s="11">
        <v>45699</v>
      </c>
      <c r="C419" t="str">
        <v>Clothing</v>
      </c>
      <c r="D419" t="str">
        <v>Handbag</v>
      </c>
      <c r="E419">
        <v>1</v>
      </c>
      <c r="F419">
        <v>35000</v>
      </c>
      <c r="G419" t="str">
        <v>North</v>
      </c>
      <c r="H419" t="str">
        <v>Abiola Ogun</v>
      </c>
      <c r="I419" t="str">
        <v>Cash</v>
      </c>
      <c r="J419">
        <v>0</v>
      </c>
    </row>
    <row r="420" spans="1:10" x14ac:dyDescent="0.25">
      <c r="A420">
        <v>3066</v>
      </c>
      <c r="B420" s="11">
        <v>45699</v>
      </c>
      <c r="C420" t="str">
        <v>Furniture</v>
      </c>
      <c r="D420" t="str">
        <v>TVStand</v>
      </c>
      <c r="E420">
        <v>1</v>
      </c>
      <c r="F420">
        <v>65000</v>
      </c>
      <c r="G420" t="str">
        <v>South</v>
      </c>
      <c r="H420" t="str">
        <v>Chidi Nwosu</v>
      </c>
      <c r="I420" t="str">
        <v>Transfer</v>
      </c>
      <c r="J420">
        <v>15</v>
      </c>
    </row>
    <row r="421" spans="1:10" x14ac:dyDescent="0.25">
      <c r="A421">
        <v>3068</v>
      </c>
      <c r="B421" s="11">
        <v>45700</v>
      </c>
      <c r="C421" t="str">
        <v>Clothing</v>
      </c>
      <c r="D421" t="str">
        <v>PoloShirt</v>
      </c>
      <c r="E421">
        <v>4</v>
      </c>
      <c r="F421">
        <v>10000</v>
      </c>
      <c r="G421" t="str">
        <v>West</v>
      </c>
      <c r="H421" t="str">
        <v>Tunde Bakare</v>
      </c>
      <c r="I421" t="str">
        <v>Cash</v>
      </c>
      <c r="J421">
        <v>5</v>
      </c>
    </row>
    <row r="422" spans="1:10" x14ac:dyDescent="0.25">
      <c r="A422">
        <v>3069</v>
      </c>
      <c r="B422" s="11">
        <v>45701</v>
      </c>
      <c r="C422" t="str">
        <v>Furniture</v>
      </c>
      <c r="D422" t="str">
        <v>LaundryBasket</v>
      </c>
      <c r="E422">
        <v>3</v>
      </c>
      <c r="F422">
        <v>8000</v>
      </c>
      <c r="G422" t="str">
        <v>North</v>
      </c>
      <c r="H422" t="str">
        <v>Abiola Ogun</v>
      </c>
      <c r="I422" t="str">
        <v>Transfer</v>
      </c>
      <c r="J422">
        <v>0</v>
      </c>
    </row>
    <row r="423" spans="1:10" x14ac:dyDescent="0.25">
      <c r="A423">
        <v>3070</v>
      </c>
      <c r="B423" s="11">
        <v>45701</v>
      </c>
      <c r="C423" t="str">
        <v>Electronics</v>
      </c>
      <c r="D423" t="str">
        <v>ExternalBattery</v>
      </c>
      <c r="E423">
        <v>3</v>
      </c>
      <c r="F423">
        <v>12000</v>
      </c>
      <c r="G423" t="str">
        <v>South</v>
      </c>
      <c r="H423" t="str">
        <v>Chidi Nwosu</v>
      </c>
      <c r="I423" t="str">
        <v>Card</v>
      </c>
      <c r="J423">
        <v>0</v>
      </c>
    </row>
    <row r="424" spans="1:10" x14ac:dyDescent="0.25">
      <c r="A424">
        <v>3072</v>
      </c>
      <c r="B424" s="11">
        <v>45702</v>
      </c>
      <c r="C424" t="str">
        <v>Furniture</v>
      </c>
      <c r="D424" t="str">
        <v>Stool</v>
      </c>
      <c r="E424">
        <v>5</v>
      </c>
      <c r="F424">
        <v>7000</v>
      </c>
      <c r="G424" t="str">
        <v>West</v>
      </c>
      <c r="H424" t="str">
        <v>Tunde Bakare</v>
      </c>
      <c r="I424" t="str">
        <v>Transfer</v>
      </c>
      <c r="J424">
        <v>0</v>
      </c>
    </row>
    <row r="425" spans="1:10" x14ac:dyDescent="0.25">
      <c r="A425">
        <v>3073</v>
      </c>
      <c r="B425" s="11">
        <v>45703</v>
      </c>
      <c r="C425" t="str">
        <v>Electronics</v>
      </c>
      <c r="D425" t="str">
        <v>VRHeadset</v>
      </c>
      <c r="E425">
        <v>1</v>
      </c>
      <c r="F425">
        <v>150000</v>
      </c>
      <c r="G425" t="str">
        <v>North</v>
      </c>
      <c r="H425" t="str">
        <v>Abiola Ogun</v>
      </c>
      <c r="I425" t="str">
        <v>Card</v>
      </c>
      <c r="J425">
        <v>0</v>
      </c>
    </row>
    <row r="426" spans="1:10" x14ac:dyDescent="0.25">
      <c r="A426">
        <v>3074</v>
      </c>
      <c r="B426" s="11">
        <v>45703</v>
      </c>
      <c r="C426" t="str">
        <v>Clothing</v>
      </c>
      <c r="D426" t="str">
        <v>TankTop</v>
      </c>
      <c r="E426">
        <v>8</v>
      </c>
      <c r="F426">
        <v>4000</v>
      </c>
      <c r="G426" t="str">
        <v>South</v>
      </c>
      <c r="H426" t="str">
        <v>Chidi Nwosu</v>
      </c>
      <c r="I426" t="str">
        <v>Cash</v>
      </c>
      <c r="J426">
        <v>5</v>
      </c>
    </row>
    <row r="427" spans="1:10" x14ac:dyDescent="0.25">
      <c r="A427">
        <v>3076</v>
      </c>
      <c r="B427" s="11">
        <v>45704</v>
      </c>
      <c r="C427" t="str">
        <v>Electronics</v>
      </c>
      <c r="D427" t="str">
        <v>USBHub</v>
      </c>
      <c r="E427">
        <v>4</v>
      </c>
      <c r="F427">
        <v>6000</v>
      </c>
      <c r="G427" t="str">
        <v>West</v>
      </c>
      <c r="H427" t="str">
        <v>Tunde Bakare</v>
      </c>
      <c r="I427" t="str">
        <v>Card</v>
      </c>
      <c r="J427">
        <v>0</v>
      </c>
    </row>
    <row r="428" spans="1:10" x14ac:dyDescent="0.25">
      <c r="A428">
        <v>3077</v>
      </c>
      <c r="B428" s="11">
        <v>45705</v>
      </c>
      <c r="C428" t="str">
        <v>Clothing</v>
      </c>
      <c r="D428" t="str">
        <v>Sandals</v>
      </c>
      <c r="E428">
        <v>3</v>
      </c>
      <c r="F428">
        <v>12000</v>
      </c>
      <c r="G428" t="str">
        <v>North</v>
      </c>
      <c r="H428" t="str">
        <v>Abiola Ogun</v>
      </c>
      <c r="I428" t="str">
        <v>Cash</v>
      </c>
      <c r="J428">
        <v>5</v>
      </c>
    </row>
    <row r="429" spans="1:10" x14ac:dyDescent="0.25">
      <c r="A429">
        <v>3078</v>
      </c>
      <c r="B429" s="11">
        <v>45705</v>
      </c>
      <c r="C429" t="str">
        <v>Furniture</v>
      </c>
      <c r="D429" t="str">
        <v>KeyHolder</v>
      </c>
      <c r="E429">
        <v>7</v>
      </c>
      <c r="F429">
        <v>3000</v>
      </c>
      <c r="G429" t="str">
        <v>South</v>
      </c>
      <c r="H429" t="str">
        <v>Chidi Nwosu</v>
      </c>
      <c r="I429" t="str">
        <v>Transfer</v>
      </c>
      <c r="J429">
        <v>0</v>
      </c>
    </row>
    <row r="430" spans="1:10" x14ac:dyDescent="0.25">
      <c r="A430">
        <v>3080</v>
      </c>
      <c r="B430" s="11">
        <v>45706</v>
      </c>
      <c r="C430" t="str">
        <v>Clothing</v>
      </c>
      <c r="D430" t="str">
        <v>Watch</v>
      </c>
      <c r="E430">
        <v>1</v>
      </c>
      <c r="F430">
        <v>25000</v>
      </c>
      <c r="G430" t="str">
        <v>West</v>
      </c>
      <c r="H430" t="str">
        <v>Tunde Bakare</v>
      </c>
      <c r="I430" t="str">
        <v>Cash</v>
      </c>
      <c r="J430">
        <v>10</v>
      </c>
    </row>
    <row r="431" spans="1:10" x14ac:dyDescent="0.25">
      <c r="A431">
        <v>3081</v>
      </c>
      <c r="B431" s="11">
        <v>45707</v>
      </c>
      <c r="C431" t="str">
        <v>Furniture</v>
      </c>
      <c r="D431" t="str">
        <v>WallShelf</v>
      </c>
      <c r="E431">
        <v>3</v>
      </c>
      <c r="F431">
        <v>12000</v>
      </c>
      <c r="G431" t="str">
        <v>North</v>
      </c>
      <c r="H431" t="str">
        <v>Abiola Ogun</v>
      </c>
      <c r="I431" t="str">
        <v>Transfer</v>
      </c>
      <c r="J431">
        <v>0</v>
      </c>
    </row>
    <row r="432" spans="1:10" x14ac:dyDescent="0.25">
      <c r="A432">
        <v>3082</v>
      </c>
      <c r="B432" s="11">
        <v>45707</v>
      </c>
      <c r="C432" t="str">
        <v>Electronics</v>
      </c>
      <c r="D432" t="str">
        <v>SmartPlug</v>
      </c>
      <c r="E432">
        <v>4</v>
      </c>
      <c r="F432">
        <v>8000</v>
      </c>
      <c r="G432" t="str">
        <v>South</v>
      </c>
      <c r="H432" t="str">
        <v>Chidi Nwosu</v>
      </c>
      <c r="I432" t="str">
        <v>Card</v>
      </c>
      <c r="J432">
        <v>0</v>
      </c>
    </row>
    <row r="433" spans="1:10" x14ac:dyDescent="0.25">
      <c r="A433">
        <v>3084</v>
      </c>
      <c r="B433" s="11">
        <v>45708</v>
      </c>
      <c r="C433" t="str">
        <v>Furniture</v>
      </c>
      <c r="D433" t="str">
        <v>PetBed</v>
      </c>
      <c r="E433">
        <v>3</v>
      </c>
      <c r="F433">
        <v>10000</v>
      </c>
      <c r="G433" t="str">
        <v>West</v>
      </c>
      <c r="H433" t="str">
        <v>Tunde Bakare</v>
      </c>
      <c r="I433" t="str">
        <v>Transfer</v>
      </c>
      <c r="J433">
        <v>0</v>
      </c>
    </row>
    <row r="434" spans="1:10" x14ac:dyDescent="0.25">
      <c r="A434">
        <v>3085</v>
      </c>
      <c r="B434" s="11">
        <v>45709</v>
      </c>
      <c r="C434" t="str">
        <v>Electronics</v>
      </c>
      <c r="D434" t="str">
        <v>DockingStation</v>
      </c>
      <c r="E434">
        <v>1</v>
      </c>
      <c r="F434">
        <v>25000</v>
      </c>
      <c r="G434" t="str">
        <v>North</v>
      </c>
      <c r="H434" t="str">
        <v>Abiola Ogun</v>
      </c>
      <c r="I434" t="str">
        <v>Card</v>
      </c>
      <c r="J434">
        <v>0</v>
      </c>
    </row>
    <row r="435" spans="1:10" x14ac:dyDescent="0.25">
      <c r="A435">
        <v>3086</v>
      </c>
      <c r="B435" s="11">
        <v>45709</v>
      </c>
      <c r="C435" t="str">
        <v>Clothing</v>
      </c>
      <c r="D435" t="str">
        <v>Pyjamas</v>
      </c>
      <c r="E435">
        <v>4</v>
      </c>
      <c r="F435">
        <v>9000</v>
      </c>
      <c r="G435" t="str">
        <v>South</v>
      </c>
      <c r="H435" t="str">
        <v>Chidi Nwosu</v>
      </c>
      <c r="I435" t="str">
        <v>Cash</v>
      </c>
      <c r="J435">
        <v>10</v>
      </c>
    </row>
    <row r="436" spans="1:10" x14ac:dyDescent="0.25">
      <c r="A436">
        <v>3088</v>
      </c>
      <c r="B436" s="11">
        <v>45710</v>
      </c>
      <c r="C436" t="str">
        <v>Electronics</v>
      </c>
      <c r="D436" t="str">
        <v>ScreenProtector</v>
      </c>
      <c r="E436">
        <v>10</v>
      </c>
      <c r="F436">
        <v>3000</v>
      </c>
      <c r="G436" t="str">
        <v>West</v>
      </c>
      <c r="H436" t="str">
        <v>Tunde Bakare</v>
      </c>
      <c r="I436" t="str">
        <v>Card</v>
      </c>
      <c r="J436">
        <v>5</v>
      </c>
    </row>
    <row r="437" spans="1:10" x14ac:dyDescent="0.25">
      <c r="A437">
        <v>3089</v>
      </c>
      <c r="B437" s="11">
        <v>45711</v>
      </c>
      <c r="C437" t="str">
        <v>Clothing</v>
      </c>
      <c r="D437" t="str">
        <v>Necktie</v>
      </c>
      <c r="E437">
        <v>6</v>
      </c>
      <c r="F437">
        <v>5000</v>
      </c>
      <c r="G437" t="str">
        <v>North</v>
      </c>
      <c r="H437" t="str">
        <v>Abiola Ogun</v>
      </c>
      <c r="I437" t="str">
        <v>Cash</v>
      </c>
      <c r="J437">
        <v>0</v>
      </c>
    </row>
    <row r="438" spans="1:10" x14ac:dyDescent="0.25">
      <c r="A438">
        <v>3090</v>
      </c>
      <c r="B438" s="11">
        <v>45711</v>
      </c>
      <c r="C438" t="str">
        <v>Furniture</v>
      </c>
      <c r="D438" t="str">
        <v>FoldableTable</v>
      </c>
      <c r="E438">
        <v>3</v>
      </c>
      <c r="F438">
        <v>15000</v>
      </c>
      <c r="G438" t="str">
        <v>South</v>
      </c>
      <c r="H438" t="str">
        <v>Chidi Nwosu</v>
      </c>
      <c r="I438" t="str">
        <v>Transfer</v>
      </c>
      <c r="J438">
        <v>0</v>
      </c>
    </row>
    <row r="439" spans="1:10" x14ac:dyDescent="0.25">
      <c r="A439">
        <v>3092</v>
      </c>
      <c r="B439" s="11">
        <v>45712</v>
      </c>
      <c r="C439" t="str">
        <v>Clothing</v>
      </c>
      <c r="D439" t="str">
        <v>Suspenders</v>
      </c>
      <c r="E439">
        <v>3</v>
      </c>
      <c r="F439">
        <v>6000</v>
      </c>
      <c r="G439" t="str">
        <v>West</v>
      </c>
      <c r="H439" t="str">
        <v>Tunde Bakare</v>
      </c>
      <c r="I439" t="str">
        <v>Cash</v>
      </c>
      <c r="J439">
        <v>0</v>
      </c>
    </row>
    <row r="440" spans="1:10" x14ac:dyDescent="0.25">
      <c r="A440">
        <v>3093</v>
      </c>
      <c r="B440" s="11">
        <v>45713</v>
      </c>
      <c r="C440" t="str">
        <v>Furniture</v>
      </c>
      <c r="D440" t="str">
        <v>VanityStool</v>
      </c>
      <c r="E440">
        <v>2</v>
      </c>
      <c r="F440">
        <v>18000</v>
      </c>
      <c r="G440" t="str">
        <v>North</v>
      </c>
      <c r="H440" t="str">
        <v>Abiola Ogun</v>
      </c>
      <c r="I440" t="str">
        <v>Transfer</v>
      </c>
      <c r="J440">
        <v>0</v>
      </c>
    </row>
    <row r="441" spans="1:10" x14ac:dyDescent="0.25">
      <c r="A441">
        <v>3094</v>
      </c>
      <c r="B441" s="11">
        <v>45713</v>
      </c>
      <c r="C441" t="str">
        <v>Electronics</v>
      </c>
      <c r="D441" t="str">
        <v>SmartScale</v>
      </c>
      <c r="E441">
        <v>2</v>
      </c>
      <c r="F441">
        <v>22000</v>
      </c>
      <c r="G441" t="str">
        <v>South</v>
      </c>
      <c r="H441" t="str">
        <v>Chidi Nwosu</v>
      </c>
      <c r="I441" t="str">
        <v>Card</v>
      </c>
      <c r="J441">
        <v>10</v>
      </c>
    </row>
    <row r="442" spans="1:10" x14ac:dyDescent="0.25">
      <c r="A442">
        <v>3096</v>
      </c>
      <c r="B442" s="11">
        <v>45714</v>
      </c>
      <c r="C442" t="str">
        <v>Furniture</v>
      </c>
      <c r="D442" t="str">
        <v>WallArt</v>
      </c>
      <c r="E442">
        <v>4</v>
      </c>
      <c r="F442">
        <v>15000</v>
      </c>
      <c r="G442" t="str">
        <v>West</v>
      </c>
      <c r="H442" t="str">
        <v>Tunde Bakare</v>
      </c>
      <c r="I442" t="str">
        <v>Transfer</v>
      </c>
      <c r="J442">
        <v>5</v>
      </c>
    </row>
    <row r="443" spans="1:10" x14ac:dyDescent="0.25">
      <c r="A443">
        <v>3097</v>
      </c>
      <c r="B443" s="11">
        <v>45715</v>
      </c>
      <c r="C443" t="str">
        <v>Electronics</v>
      </c>
      <c r="D443" t="str">
        <v>CableOrganizer</v>
      </c>
      <c r="E443">
        <v>6</v>
      </c>
      <c r="F443">
        <v>3000</v>
      </c>
      <c r="G443" t="str">
        <v>North</v>
      </c>
      <c r="H443" t="str">
        <v>Abiola Ogun</v>
      </c>
      <c r="I443" t="str">
        <v>Card</v>
      </c>
      <c r="J443">
        <v>0</v>
      </c>
    </row>
    <row r="444" spans="1:10" x14ac:dyDescent="0.25">
      <c r="A444">
        <v>3098</v>
      </c>
      <c r="B444" s="11">
        <v>45715</v>
      </c>
      <c r="C444" t="str">
        <v>Clothing</v>
      </c>
      <c r="D444" t="str">
        <v>Cufflinks</v>
      </c>
      <c r="E444">
        <v>4</v>
      </c>
      <c r="F444">
        <v>8000</v>
      </c>
      <c r="G444" t="str">
        <v>South</v>
      </c>
      <c r="H444" t="str">
        <v>Chidi Nwosu</v>
      </c>
      <c r="I444" t="str">
        <v>Cash</v>
      </c>
      <c r="J444">
        <v>0</v>
      </c>
    </row>
    <row r="445" spans="1:10" x14ac:dyDescent="0.25">
      <c r="A445">
        <v>3100</v>
      </c>
      <c r="B445" s="11">
        <v>45716</v>
      </c>
      <c r="C445" t="str">
        <v>Electronics</v>
      </c>
      <c r="D445" t="str">
        <v>AirPurifier</v>
      </c>
      <c r="E445">
        <v>1</v>
      </c>
      <c r="F445">
        <v>85000</v>
      </c>
      <c r="G445" t="str">
        <v>West</v>
      </c>
      <c r="H445" t="str">
        <v>Tunde Bakare</v>
      </c>
      <c r="I445" t="str">
        <v>Card</v>
      </c>
      <c r="J445">
        <v>0</v>
      </c>
    </row>
    <row r="446" spans="1:10" x14ac:dyDescent="0.25">
      <c r="A446">
        <v>3101</v>
      </c>
      <c r="B446" s="11">
        <v>45669</v>
      </c>
      <c r="C446" t="str">
        <v>Electronics</v>
      </c>
      <c r="D446" t="str">
        <v>BluetoothSpeaker</v>
      </c>
      <c r="E446">
        <v>3</v>
      </c>
      <c r="F446">
        <v>35000</v>
      </c>
      <c r="G446" t="str">
        <v>North</v>
      </c>
      <c r="H446" t="str">
        <v>Abiola Ogun</v>
      </c>
      <c r="I446" t="str">
        <v>Card</v>
      </c>
      <c r="J446">
        <v>10</v>
      </c>
    </row>
    <row r="447" spans="1:10" x14ac:dyDescent="0.25">
      <c r="A447">
        <v>3102</v>
      </c>
      <c r="B447" s="11">
        <v>45670</v>
      </c>
      <c r="C447" t="str">
        <v>Clothing</v>
      </c>
      <c r="D447" t="str">
        <v>MaxiDress</v>
      </c>
      <c r="E447">
        <v>2</v>
      </c>
      <c r="F447">
        <v>28000</v>
      </c>
      <c r="G447" t="str">
        <v>South</v>
      </c>
      <c r="H447" t="str">
        <v>Chidi Nwosu</v>
      </c>
      <c r="I447" t="str">
        <v>Cash</v>
      </c>
      <c r="J447">
        <v>0</v>
      </c>
    </row>
    <row r="448" spans="1:10" x14ac:dyDescent="0.25">
      <c r="A448">
        <v>3104</v>
      </c>
      <c r="B448" s="11">
        <v>45672</v>
      </c>
      <c r="C448" t="str">
        <v>Electronics</v>
      </c>
      <c r="D448" t="str">
        <v>SmartBulb</v>
      </c>
      <c r="E448">
        <v>6</v>
      </c>
      <c r="F448">
        <v>4000</v>
      </c>
      <c r="G448" t="str">
        <v>West</v>
      </c>
      <c r="H448" t="str">
        <v>Tunde Bakare</v>
      </c>
      <c r="I448" t="str">
        <v>Card</v>
      </c>
      <c r="J448">
        <v>0</v>
      </c>
    </row>
    <row r="449" spans="1:10" x14ac:dyDescent="0.25">
      <c r="A449">
        <v>3105</v>
      </c>
      <c r="B449" s="11">
        <v>45673</v>
      </c>
      <c r="C449" t="str">
        <v>Clothing</v>
      </c>
      <c r="D449" t="str">
        <v>Hoodie</v>
      </c>
      <c r="E449">
        <v>3</v>
      </c>
      <c r="F449">
        <v>22000</v>
      </c>
      <c r="G449" t="str">
        <v>North</v>
      </c>
      <c r="H449" t="str">
        <v>Abiola Ogun</v>
      </c>
      <c r="I449" t="str">
        <v>Cash</v>
      </c>
      <c r="J449">
        <v>0</v>
      </c>
    </row>
    <row r="450" spans="1:10" x14ac:dyDescent="0.25">
      <c r="A450">
        <v>3106</v>
      </c>
      <c r="B450" s="11">
        <v>45674</v>
      </c>
      <c r="C450" t="str">
        <v>Furniture</v>
      </c>
      <c r="D450" t="str">
        <v>PatioChair</v>
      </c>
      <c r="E450">
        <v>5</v>
      </c>
      <c r="F450">
        <v>18000</v>
      </c>
      <c r="G450" t="str">
        <v>South</v>
      </c>
      <c r="H450" t="str">
        <v>Chidi Nwosu</v>
      </c>
      <c r="I450" t="str">
        <v>Transfer</v>
      </c>
      <c r="J450">
        <v>10</v>
      </c>
    </row>
    <row r="451" spans="1:10" x14ac:dyDescent="0.25">
      <c r="A451">
        <v>3108</v>
      </c>
      <c r="B451" s="11">
        <v>45676</v>
      </c>
      <c r="C451" t="str">
        <v>Clothing</v>
      </c>
      <c r="D451" t="str">
        <v>Kimono</v>
      </c>
      <c r="E451">
        <v>2</v>
      </c>
      <c r="F451">
        <v>15000</v>
      </c>
      <c r="G451" t="str">
        <v>West</v>
      </c>
      <c r="H451" t="str">
        <v>Tunde Bakare</v>
      </c>
      <c r="I451" t="str">
        <v>Cash</v>
      </c>
      <c r="J451">
        <v>5</v>
      </c>
    </row>
    <row r="452" spans="1:10" x14ac:dyDescent="0.25">
      <c r="A452">
        <v>3109</v>
      </c>
      <c r="B452" s="11">
        <v>45677</v>
      </c>
      <c r="C452" t="str">
        <v>Furniture</v>
      </c>
      <c r="D452" t="str">
        <v>Bookcase</v>
      </c>
      <c r="E452">
        <v>2</v>
      </c>
      <c r="F452">
        <v>55000</v>
      </c>
      <c r="G452" t="str">
        <v>North</v>
      </c>
      <c r="H452" t="str">
        <v>Abiola Ogun</v>
      </c>
      <c r="I452" t="str">
        <v>Transfer</v>
      </c>
      <c r="J452">
        <v>0</v>
      </c>
    </row>
    <row r="453" spans="1:10" x14ac:dyDescent="0.25">
      <c r="A453">
        <v>3110</v>
      </c>
      <c r="B453" s="11">
        <v>45678</v>
      </c>
      <c r="C453" t="str">
        <v>Electronics</v>
      </c>
      <c r="D453" t="str">
        <v>WebcamCover</v>
      </c>
      <c r="E453">
        <v>12</v>
      </c>
      <c r="F453">
        <v>1500</v>
      </c>
      <c r="G453" t="str">
        <v>South</v>
      </c>
      <c r="H453" t="str">
        <v>Chidi Nwosu</v>
      </c>
      <c r="I453" t="str">
        <v>Card</v>
      </c>
      <c r="J453">
        <v>0</v>
      </c>
    </row>
    <row r="454" spans="1:10" x14ac:dyDescent="0.25">
      <c r="A454">
        <v>3112</v>
      </c>
      <c r="B454" s="11">
        <v>45680</v>
      </c>
      <c r="C454" t="str">
        <v>Furniture</v>
      </c>
      <c r="D454" t="str">
        <v>StorageOttoman</v>
      </c>
      <c r="E454">
        <v>2</v>
      </c>
      <c r="F454">
        <v>35000</v>
      </c>
      <c r="G454" t="str">
        <v>West</v>
      </c>
      <c r="H454" t="str">
        <v>Tunde Bakare</v>
      </c>
      <c r="I454" t="str">
        <v>Transfer</v>
      </c>
      <c r="J454">
        <v>0</v>
      </c>
    </row>
    <row r="455" spans="1:10" x14ac:dyDescent="0.25">
      <c r="A455">
        <v>3113</v>
      </c>
      <c r="B455" s="11">
        <v>45681</v>
      </c>
      <c r="C455" t="str">
        <v>Electronics</v>
      </c>
      <c r="D455" t="str">
        <v>GamingMouse</v>
      </c>
      <c r="E455">
        <v>3</v>
      </c>
      <c r="F455">
        <v>25000</v>
      </c>
      <c r="G455" t="str">
        <v>North</v>
      </c>
      <c r="H455" t="str">
        <v>Abiola Ogun</v>
      </c>
      <c r="I455" t="str">
        <v>Card</v>
      </c>
      <c r="J455">
        <v>5</v>
      </c>
    </row>
    <row r="456" spans="1:10" x14ac:dyDescent="0.25">
      <c r="A456">
        <v>3114</v>
      </c>
      <c r="B456" s="11">
        <v>45682</v>
      </c>
      <c r="C456" t="str">
        <v>Clothing</v>
      </c>
      <c r="D456" t="str">
        <v>Blouse</v>
      </c>
      <c r="E456">
        <v>5</v>
      </c>
      <c r="F456">
        <v>12000</v>
      </c>
      <c r="G456" t="str">
        <v>South</v>
      </c>
      <c r="H456" t="str">
        <v>Chidi Nwosu</v>
      </c>
      <c r="I456" t="str">
        <v>Cash</v>
      </c>
      <c r="J456">
        <v>0</v>
      </c>
    </row>
    <row r="457" spans="1:10" x14ac:dyDescent="0.25">
      <c r="A457">
        <v>3116</v>
      </c>
      <c r="B457" s="11">
        <v>45684</v>
      </c>
      <c r="C457" t="str">
        <v>Electronics</v>
      </c>
      <c r="D457" t="str">
        <v>NoiseCancellingHeadphones</v>
      </c>
      <c r="E457">
        <v>2</v>
      </c>
      <c r="F457">
        <v>75000</v>
      </c>
      <c r="G457" t="str">
        <v>West</v>
      </c>
      <c r="H457" t="str">
        <v>Tunde Bakare</v>
      </c>
      <c r="I457" t="str">
        <v>Card</v>
      </c>
      <c r="J457">
        <v>10</v>
      </c>
    </row>
    <row r="458" spans="1:10" x14ac:dyDescent="0.25">
      <c r="A458">
        <v>3117</v>
      </c>
      <c r="B458" s="11">
        <v>45685</v>
      </c>
      <c r="C458" t="str">
        <v>Clothing</v>
      </c>
      <c r="D458" t="str">
        <v>Tracksuit</v>
      </c>
      <c r="E458">
        <v>3</v>
      </c>
      <c r="F458">
        <v>20000</v>
      </c>
      <c r="G458" t="str">
        <v>North</v>
      </c>
      <c r="H458" t="str">
        <v>Abiola Ogun</v>
      </c>
      <c r="I458" t="str">
        <v>Cash</v>
      </c>
      <c r="J458">
        <v>0</v>
      </c>
    </row>
    <row r="459" spans="1:10" x14ac:dyDescent="0.25">
      <c r="A459">
        <v>3118</v>
      </c>
      <c r="B459" s="11">
        <v>45686</v>
      </c>
      <c r="C459" t="str">
        <v>Furniture</v>
      </c>
      <c r="D459" t="str">
        <v>BeanBagCover</v>
      </c>
      <c r="E459">
        <v>5</v>
      </c>
      <c r="F459">
        <v>8000</v>
      </c>
      <c r="G459" t="str">
        <v>South</v>
      </c>
      <c r="H459" t="str">
        <v>Chidi Nwosu</v>
      </c>
      <c r="I459" t="str">
        <v>Transfer</v>
      </c>
      <c r="J459">
        <v>5</v>
      </c>
    </row>
    <row r="460" spans="1:10" x14ac:dyDescent="0.25">
      <c r="A460">
        <v>3120</v>
      </c>
      <c r="B460" s="11">
        <v>45688</v>
      </c>
      <c r="C460" t="str">
        <v>Clothing</v>
      </c>
      <c r="D460" t="str">
        <v>FlannelShirt</v>
      </c>
      <c r="E460">
        <v>3</v>
      </c>
      <c r="F460">
        <v>15000</v>
      </c>
      <c r="G460" t="str">
        <v>West</v>
      </c>
      <c r="H460" t="str">
        <v>Tunde Bakare</v>
      </c>
      <c r="I460" t="str">
        <v>Cash</v>
      </c>
      <c r="J460">
        <v>0</v>
      </c>
    </row>
    <row r="461" spans="1:10" x14ac:dyDescent="0.25">
      <c r="A461">
        <v>3121</v>
      </c>
      <c r="B461" s="11">
        <v>45689</v>
      </c>
      <c r="C461" t="str">
        <v>Furniture</v>
      </c>
      <c r="D461" t="str">
        <v>WallMirror</v>
      </c>
      <c r="E461">
        <v>2</v>
      </c>
      <c r="F461">
        <v>18000</v>
      </c>
      <c r="G461" t="str">
        <v>North</v>
      </c>
      <c r="H461" t="str">
        <v>Abiola Ogun</v>
      </c>
      <c r="I461" t="str">
        <v>Transfer</v>
      </c>
      <c r="J461">
        <v>5</v>
      </c>
    </row>
    <row r="462" spans="1:10" x14ac:dyDescent="0.25">
      <c r="A462">
        <v>3122</v>
      </c>
      <c r="B462" s="11">
        <v>45690</v>
      </c>
      <c r="C462" t="str">
        <v>Electronics</v>
      </c>
      <c r="D462" t="str">
        <v>DeskFan</v>
      </c>
      <c r="E462">
        <v>2</v>
      </c>
      <c r="F462">
        <v>12000</v>
      </c>
      <c r="G462" t="str">
        <v>South</v>
      </c>
      <c r="H462" t="str">
        <v>Chidi Nwosu</v>
      </c>
      <c r="I462" t="str">
        <v>Card</v>
      </c>
      <c r="J462">
        <v>0</v>
      </c>
    </row>
    <row r="463" spans="1:10" x14ac:dyDescent="0.25">
      <c r="A463">
        <v>3124</v>
      </c>
      <c r="B463" s="11">
        <v>45692</v>
      </c>
      <c r="C463" t="str">
        <v>Furniture</v>
      </c>
      <c r="D463" t="str">
        <v>LaundryHamper</v>
      </c>
      <c r="E463">
        <v>3</v>
      </c>
      <c r="F463">
        <v>10000</v>
      </c>
      <c r="G463" t="str">
        <v>West</v>
      </c>
      <c r="H463" t="str">
        <v>Tunde Bakare</v>
      </c>
      <c r="I463" t="str">
        <v>Transfer</v>
      </c>
      <c r="J463">
        <v>10</v>
      </c>
    </row>
    <row r="464" spans="1:10" x14ac:dyDescent="0.25">
      <c r="A464">
        <v>3125</v>
      </c>
      <c r="B464" s="11">
        <v>45693</v>
      </c>
      <c r="C464" t="str">
        <v>Electronics</v>
      </c>
      <c r="D464" t="str">
        <v>USBFan</v>
      </c>
      <c r="E464">
        <v>7</v>
      </c>
      <c r="F464">
        <v>3000</v>
      </c>
      <c r="G464" t="str">
        <v>North</v>
      </c>
      <c r="H464" t="str">
        <v>Abiola Ogun</v>
      </c>
      <c r="I464" t="str">
        <v>Card</v>
      </c>
      <c r="J464">
        <v>0</v>
      </c>
    </row>
    <row r="465" spans="1:10" x14ac:dyDescent="0.25">
      <c r="A465">
        <v>3126</v>
      </c>
      <c r="B465" s="11">
        <v>45694</v>
      </c>
      <c r="C465" t="str">
        <v>Clothing</v>
      </c>
      <c r="D465" t="str">
        <v>PufferJacket</v>
      </c>
      <c r="E465">
        <v>1</v>
      </c>
      <c r="F465">
        <v>55000</v>
      </c>
      <c r="G465" t="str">
        <v>South</v>
      </c>
      <c r="H465" t="str">
        <v>Chidi Nwosu</v>
      </c>
      <c r="I465" t="str">
        <v>Cash</v>
      </c>
      <c r="J465">
        <v>5</v>
      </c>
    </row>
    <row r="466" spans="1:10" x14ac:dyDescent="0.25">
      <c r="A466">
        <v>3128</v>
      </c>
      <c r="B466" s="11">
        <v>45696</v>
      </c>
      <c r="C466" t="str">
        <v>Electronics</v>
      </c>
      <c r="D466" t="str">
        <v>MemoryCard</v>
      </c>
      <c r="E466">
        <v>5</v>
      </c>
      <c r="F466">
        <v>10000</v>
      </c>
      <c r="G466" t="str">
        <v>West</v>
      </c>
      <c r="H466" t="str">
        <v>Tunde Bakare</v>
      </c>
      <c r="I466" t="str">
        <v>Card</v>
      </c>
      <c r="J466">
        <v>0</v>
      </c>
    </row>
    <row r="467" spans="1:10" x14ac:dyDescent="0.25">
      <c r="A467">
        <v>3129</v>
      </c>
      <c r="B467" s="11">
        <v>45697</v>
      </c>
      <c r="C467" t="str">
        <v>Clothing</v>
      </c>
      <c r="D467" t="str">
        <v>Sweatpants</v>
      </c>
      <c r="E467">
        <v>4</v>
      </c>
      <c r="F467">
        <v>12000</v>
      </c>
      <c r="G467" t="str">
        <v>North</v>
      </c>
      <c r="H467" t="str">
        <v>Abiola Ogun</v>
      </c>
      <c r="I467" t="str">
        <v>Cash</v>
      </c>
      <c r="J467">
        <v>5</v>
      </c>
    </row>
    <row r="468" spans="1:10" x14ac:dyDescent="0.25">
      <c r="A468">
        <v>3130</v>
      </c>
      <c r="B468" s="11">
        <v>45698</v>
      </c>
      <c r="C468" t="str">
        <v>Furniture</v>
      </c>
      <c r="D468" t="str">
        <v>Footstool</v>
      </c>
      <c r="E468">
        <v>3</v>
      </c>
      <c r="F468">
        <v>8000</v>
      </c>
      <c r="G468" t="str">
        <v>South</v>
      </c>
      <c r="H468" t="str">
        <v>Chidi Nwosu</v>
      </c>
      <c r="I468" t="str">
        <v>Transfer</v>
      </c>
      <c r="J468">
        <v>0</v>
      </c>
    </row>
    <row r="469" spans="1:10" x14ac:dyDescent="0.25">
      <c r="A469">
        <v>3132</v>
      </c>
      <c r="B469" s="11">
        <v>45700</v>
      </c>
      <c r="C469" t="str">
        <v>Clothing</v>
      </c>
      <c r="D469" t="str">
        <v>Overcoat</v>
      </c>
      <c r="E469">
        <v>1</v>
      </c>
      <c r="F469">
        <v>65000</v>
      </c>
      <c r="G469" t="str">
        <v>West</v>
      </c>
      <c r="H469" t="str">
        <v>Tunde Bakare</v>
      </c>
      <c r="I469" t="str">
        <v>Cash</v>
      </c>
      <c r="J469">
        <v>10</v>
      </c>
    </row>
    <row r="470" spans="1:10" x14ac:dyDescent="0.25">
      <c r="A470">
        <v>3133</v>
      </c>
      <c r="B470" s="11">
        <v>45701</v>
      </c>
      <c r="C470" t="str">
        <v>Furniture</v>
      </c>
      <c r="D470" t="str">
        <v>MagazineHolder</v>
      </c>
      <c r="E470">
        <v>5</v>
      </c>
      <c r="F470">
        <v>7000</v>
      </c>
      <c r="G470" t="str">
        <v>North</v>
      </c>
      <c r="H470" t="str">
        <v>Abiola Ogun</v>
      </c>
      <c r="I470" t="str">
        <v>Transfer</v>
      </c>
      <c r="J470">
        <v>0</v>
      </c>
    </row>
    <row r="471" spans="1:10" x14ac:dyDescent="0.25">
      <c r="A471">
        <v>3134</v>
      </c>
      <c r="B471" s="11">
        <v>45702</v>
      </c>
      <c r="C471" t="str">
        <v>Electronics</v>
      </c>
      <c r="D471" t="str">
        <v>LaptopStand</v>
      </c>
      <c r="E471">
        <v>3</v>
      </c>
      <c r="F471">
        <v>18000</v>
      </c>
      <c r="G471" t="str">
        <v>South</v>
      </c>
      <c r="H471" t="str">
        <v>Chidi Nwosu</v>
      </c>
      <c r="I471" t="str">
        <v>Card</v>
      </c>
      <c r="J471">
        <v>5</v>
      </c>
    </row>
    <row r="472" spans="1:10" x14ac:dyDescent="0.25">
      <c r="A472">
        <v>3136</v>
      </c>
      <c r="B472" s="11">
        <v>45704</v>
      </c>
      <c r="C472" t="str">
        <v>Furniture</v>
      </c>
      <c r="D472" t="str">
        <v>WineRack</v>
      </c>
      <c r="E472">
        <v>2</v>
      </c>
      <c r="F472">
        <v>12000</v>
      </c>
      <c r="G472" t="str">
        <v>West</v>
      </c>
      <c r="H472" t="str">
        <v>Tunde Bakare</v>
      </c>
      <c r="I472" t="str">
        <v>Transfer</v>
      </c>
      <c r="J472">
        <v>0</v>
      </c>
    </row>
    <row r="473" spans="1:10" x14ac:dyDescent="0.25">
      <c r="A473">
        <v>3137</v>
      </c>
      <c r="B473" s="11">
        <v>45705</v>
      </c>
      <c r="C473" t="str">
        <v>Electronics</v>
      </c>
      <c r="D473" t="str">
        <v>SmartSpeaker</v>
      </c>
      <c r="E473">
        <v>2</v>
      </c>
      <c r="F473">
        <v>45000</v>
      </c>
      <c r="G473" t="str">
        <v>North</v>
      </c>
      <c r="H473" t="str">
        <v>Abiola Ogun</v>
      </c>
      <c r="I473" t="str">
        <v>Card</v>
      </c>
      <c r="J473">
        <v>10</v>
      </c>
    </row>
    <row r="474" spans="1:10" x14ac:dyDescent="0.25">
      <c r="A474">
        <v>3138</v>
      </c>
      <c r="B474" s="11">
        <v>45706</v>
      </c>
      <c r="C474" t="str">
        <v>Clothing</v>
      </c>
      <c r="D474" t="str">
        <v>BermudaShorts</v>
      </c>
      <c r="E474">
        <v>6</v>
      </c>
      <c r="F474">
        <v>8000</v>
      </c>
      <c r="G474" t="str">
        <v>South</v>
      </c>
      <c r="H474" t="str">
        <v>Chidi Nwosu</v>
      </c>
      <c r="I474" t="str">
        <v>Cash</v>
      </c>
      <c r="J474">
        <v>0</v>
      </c>
    </row>
    <row r="475" spans="1:10" x14ac:dyDescent="0.25">
      <c r="A475">
        <v>3140</v>
      </c>
      <c r="B475" s="11">
        <v>45708</v>
      </c>
      <c r="C475" t="str">
        <v>Electronics</v>
      </c>
      <c r="D475" t="str">
        <v>ExternalDVDDrive</v>
      </c>
      <c r="E475">
        <v>1</v>
      </c>
      <c r="F475">
        <v>20000</v>
      </c>
      <c r="G475" t="str">
        <v>West</v>
      </c>
      <c r="H475" t="str">
        <v>Tunde Bakare</v>
      </c>
      <c r="I475" t="str">
        <v>Card</v>
      </c>
      <c r="J475">
        <v>0</v>
      </c>
    </row>
    <row r="476" spans="1:10" x14ac:dyDescent="0.25">
      <c r="A476">
        <v>3141</v>
      </c>
      <c r="B476" s="11">
        <v>45709</v>
      </c>
      <c r="C476" t="str">
        <v>Clothing</v>
      </c>
      <c r="D476" t="str">
        <v>DenimSkirt</v>
      </c>
      <c r="E476">
        <v>3</v>
      </c>
      <c r="F476">
        <v>15000</v>
      </c>
      <c r="G476" t="str">
        <v>North</v>
      </c>
      <c r="H476" t="str">
        <v>Abiola Ogun</v>
      </c>
      <c r="I476" t="str">
        <v>Cash</v>
      </c>
      <c r="J476">
        <v>0</v>
      </c>
    </row>
    <row r="477" spans="1:10" x14ac:dyDescent="0.25">
      <c r="A477">
        <v>3142</v>
      </c>
      <c r="B477" s="11">
        <v>45710</v>
      </c>
      <c r="C477" t="str">
        <v>Furniture</v>
      </c>
      <c r="D477" t="str">
        <v>UmbrellaStand</v>
      </c>
      <c r="E477">
        <v>2</v>
      </c>
      <c r="F477">
        <v>10000</v>
      </c>
      <c r="G477" t="str">
        <v>South</v>
      </c>
      <c r="H477" t="str">
        <v>Chidi Nwosu</v>
      </c>
      <c r="I477" t="str">
        <v>Transfer</v>
      </c>
      <c r="J477">
        <v>5</v>
      </c>
    </row>
    <row r="478" spans="1:10" x14ac:dyDescent="0.25">
      <c r="A478">
        <v>3144</v>
      </c>
      <c r="B478" s="11">
        <v>45712</v>
      </c>
      <c r="C478" t="str">
        <v>Clothing</v>
      </c>
      <c r="D478" t="str">
        <v>CardHolder</v>
      </c>
      <c r="E478">
        <v>7</v>
      </c>
      <c r="F478">
        <v>3000</v>
      </c>
      <c r="G478" t="str">
        <v>West</v>
      </c>
      <c r="H478" t="str">
        <v>Tunde Bakare</v>
      </c>
      <c r="I478" t="str">
        <v>Cash</v>
      </c>
      <c r="J478">
        <v>0</v>
      </c>
    </row>
    <row r="479" spans="1:10" x14ac:dyDescent="0.25">
      <c r="A479">
        <v>3145</v>
      </c>
      <c r="B479" s="11">
        <v>45713</v>
      </c>
      <c r="C479" t="str">
        <v>Furniture</v>
      </c>
      <c r="D479" t="str">
        <v>LetterTray</v>
      </c>
      <c r="E479">
        <v>5</v>
      </c>
      <c r="F479">
        <v>4000</v>
      </c>
      <c r="G479" t="str">
        <v>North</v>
      </c>
      <c r="H479" t="str">
        <v>Abiola Ogun</v>
      </c>
      <c r="I479" t="str">
        <v>Transfer</v>
      </c>
      <c r="J479">
        <v>10</v>
      </c>
    </row>
    <row r="480" spans="1:10" x14ac:dyDescent="0.25">
      <c r="A480">
        <v>3146</v>
      </c>
      <c r="B480" s="11">
        <v>45714</v>
      </c>
      <c r="C480" t="str">
        <v>Electronics</v>
      </c>
      <c r="D480" t="str">
        <v>PhoneGrip</v>
      </c>
      <c r="E480">
        <v>10</v>
      </c>
      <c r="F480">
        <v>2000</v>
      </c>
      <c r="G480" t="str">
        <v>South</v>
      </c>
      <c r="H480" t="str">
        <v>Chidi Nwosu</v>
      </c>
      <c r="I480" t="str">
        <v>Card</v>
      </c>
      <c r="J480">
        <v>0</v>
      </c>
    </row>
    <row r="481" spans="1:10" x14ac:dyDescent="0.25">
      <c r="A481">
        <v>3148</v>
      </c>
      <c r="B481" s="11">
        <v>45716</v>
      </c>
      <c r="C481" t="str">
        <v>Furniture</v>
      </c>
      <c r="D481" t="str">
        <v>PlantPot</v>
      </c>
      <c r="E481">
        <v>8</v>
      </c>
      <c r="F481">
        <v>3000</v>
      </c>
      <c r="G481" t="str">
        <v>West</v>
      </c>
      <c r="H481" t="str">
        <v>Tunde Bakare</v>
      </c>
      <c r="I481" t="str">
        <v>Transfer</v>
      </c>
      <c r="J481">
        <v>0</v>
      </c>
    </row>
    <row r="482" spans="1:10" x14ac:dyDescent="0.25">
      <c r="A482">
        <v>3149</v>
      </c>
      <c r="B482" s="11">
        <v>45717</v>
      </c>
      <c r="C482" t="str">
        <v>Electronics</v>
      </c>
      <c r="D482" t="str">
        <v>TabletStand</v>
      </c>
      <c r="E482">
        <v>5</v>
      </c>
      <c r="F482">
        <v>7000</v>
      </c>
      <c r="G482" t="str">
        <v>North</v>
      </c>
      <c r="H482" t="str">
        <v>Abiola Ogun</v>
      </c>
      <c r="I482" t="str">
        <v>Card</v>
      </c>
      <c r="J482">
        <v>0</v>
      </c>
    </row>
    <row r="483" spans="1:10" x14ac:dyDescent="0.25">
      <c r="A483">
        <v>3150</v>
      </c>
      <c r="B483" s="11">
        <v>45717</v>
      </c>
      <c r="C483" t="str">
        <v>Clothing</v>
      </c>
      <c r="D483" t="str">
        <v>FaceMaskPack</v>
      </c>
      <c r="E483">
        <v>12</v>
      </c>
      <c r="F483">
        <v>2000</v>
      </c>
      <c r="G483" t="str">
        <v>South</v>
      </c>
      <c r="H483" t="str">
        <v>Chidi Nwosu</v>
      </c>
      <c r="I483" t="str">
        <v>Cash</v>
      </c>
      <c r="J483">
        <v>5</v>
      </c>
    </row>
    <row r="484" spans="1:10" x14ac:dyDescent="0.25">
      <c r="A484">
        <v>3152</v>
      </c>
      <c r="B484" s="11">
        <v>45669</v>
      </c>
      <c r="C484" t="str">
        <v>Electronics</v>
      </c>
      <c r="D484" t="str">
        <v>StylusPen</v>
      </c>
      <c r="E484">
        <v>4</v>
      </c>
      <c r="F484">
        <v>8000</v>
      </c>
      <c r="G484" t="str">
        <v>West</v>
      </c>
      <c r="H484" t="str">
        <v>Tunde Bakare</v>
      </c>
      <c r="I484" t="str">
        <v>Card</v>
      </c>
      <c r="J484">
        <v>0</v>
      </c>
    </row>
    <row r="485" spans="1:10" x14ac:dyDescent="0.25">
      <c r="A485">
        <v>3153</v>
      </c>
      <c r="B485" s="11">
        <v>45670</v>
      </c>
      <c r="C485" t="str">
        <v>Clothing</v>
      </c>
      <c r="D485" t="str">
        <v>SportsBra</v>
      </c>
      <c r="E485">
        <v>5</v>
      </c>
      <c r="F485">
        <v>7000</v>
      </c>
      <c r="G485" t="str">
        <v>North</v>
      </c>
      <c r="H485" t="str">
        <v>Abiola Ogun</v>
      </c>
      <c r="I485" t="str">
        <v>Cash</v>
      </c>
      <c r="J485">
        <v>5</v>
      </c>
    </row>
    <row r="486" spans="1:10" x14ac:dyDescent="0.25">
      <c r="A486">
        <v>3154</v>
      </c>
      <c r="B486" s="11">
        <v>45671</v>
      </c>
      <c r="C486" t="str">
        <v>Furniture</v>
      </c>
      <c r="D486" t="str">
        <v>JewelryBox</v>
      </c>
      <c r="E486">
        <v>2</v>
      </c>
      <c r="F486">
        <v>12000</v>
      </c>
      <c r="G486" t="str">
        <v>South</v>
      </c>
      <c r="H486" t="str">
        <v>Chidi Nwosu</v>
      </c>
      <c r="I486" t="str">
        <v>Transfer</v>
      </c>
      <c r="J486">
        <v>0</v>
      </c>
    </row>
    <row r="487" spans="1:10" x14ac:dyDescent="0.25">
      <c r="A487">
        <v>3156</v>
      </c>
      <c r="B487" s="11">
        <v>45673</v>
      </c>
      <c r="C487" t="str">
        <v>Clothing</v>
      </c>
      <c r="D487" t="str">
        <v>Sunglasses</v>
      </c>
      <c r="E487">
        <v>4</v>
      </c>
      <c r="F487">
        <v>15000</v>
      </c>
      <c r="G487" t="str">
        <v>West</v>
      </c>
      <c r="H487" t="str">
        <v>Tunde Bakare</v>
      </c>
      <c r="I487" t="str">
        <v>Cash</v>
      </c>
      <c r="J487">
        <v>10</v>
      </c>
    </row>
    <row r="488" spans="1:10" x14ac:dyDescent="0.25">
      <c r="A488">
        <v>3157</v>
      </c>
      <c r="B488" s="11">
        <v>45674</v>
      </c>
      <c r="C488" t="str">
        <v>Furniture</v>
      </c>
      <c r="D488" t="str">
        <v>Cushion</v>
      </c>
      <c r="E488">
        <v>6</v>
      </c>
      <c r="F488">
        <v>6000</v>
      </c>
      <c r="G488" t="str">
        <v>North</v>
      </c>
      <c r="H488" t="str">
        <v>Abiola Ogun</v>
      </c>
      <c r="I488" t="str">
        <v>Transfer</v>
      </c>
      <c r="J488">
        <v>0</v>
      </c>
    </row>
    <row r="489" spans="1:10" x14ac:dyDescent="0.25">
      <c r="A489">
        <v>3158</v>
      </c>
      <c r="B489" s="11">
        <v>45675</v>
      </c>
      <c r="C489" t="str">
        <v>Electronics</v>
      </c>
      <c r="D489" t="str">
        <v>SmartThermostat</v>
      </c>
      <c r="E489">
        <v>1</v>
      </c>
      <c r="F489">
        <v>35000</v>
      </c>
      <c r="G489" t="str">
        <v>South</v>
      </c>
      <c r="H489" t="str">
        <v>Chidi Nwosu</v>
      </c>
      <c r="I489" t="str">
        <v>Card</v>
      </c>
      <c r="J489">
        <v>5</v>
      </c>
    </row>
    <row r="490" spans="1:10" x14ac:dyDescent="0.25">
      <c r="A490">
        <v>3160</v>
      </c>
      <c r="B490" s="11">
        <v>45677</v>
      </c>
      <c r="C490" t="str">
        <v>Furniture</v>
      </c>
      <c r="D490" t="str">
        <v>ThrowBlanket</v>
      </c>
      <c r="E490">
        <v>3</v>
      </c>
      <c r="F490">
        <v>15000</v>
      </c>
      <c r="G490" t="str">
        <v>West</v>
      </c>
      <c r="H490" t="str">
        <v>Tunde Bakare</v>
      </c>
      <c r="I490" t="str">
        <v>Transfer</v>
      </c>
      <c r="J490">
        <v>0</v>
      </c>
    </row>
    <row r="491" spans="1:10" x14ac:dyDescent="0.25">
      <c r="A491">
        <v>3161</v>
      </c>
      <c r="B491" s="11">
        <v>45678</v>
      </c>
      <c r="C491" t="str">
        <v>Electronics</v>
      </c>
      <c r="D491" t="str">
        <v>CarCharger</v>
      </c>
      <c r="E491">
        <v>5</v>
      </c>
      <c r="F491">
        <v>8000</v>
      </c>
      <c r="G491" t="str">
        <v>North</v>
      </c>
      <c r="H491" t="str">
        <v>Abiola Ogun</v>
      </c>
      <c r="I491" t="str">
        <v>Card</v>
      </c>
      <c r="J491">
        <v>5</v>
      </c>
    </row>
    <row r="492" spans="1:10" x14ac:dyDescent="0.25">
      <c r="A492">
        <v>3162</v>
      </c>
      <c r="B492" s="11">
        <v>45679</v>
      </c>
      <c r="C492" t="str">
        <v>Clothing</v>
      </c>
      <c r="D492" t="str">
        <v>Swimsuit</v>
      </c>
      <c r="E492">
        <v>2</v>
      </c>
      <c r="F492">
        <v>12000</v>
      </c>
      <c r="G492" t="str">
        <v>South</v>
      </c>
      <c r="H492" t="str">
        <v>Chidi Nwosu</v>
      </c>
      <c r="I492" t="str">
        <v>Cash</v>
      </c>
      <c r="J492">
        <v>0</v>
      </c>
    </row>
    <row r="493" spans="1:10" x14ac:dyDescent="0.25">
      <c r="A493">
        <v>3164</v>
      </c>
      <c r="B493" s="11">
        <v>45681</v>
      </c>
      <c r="C493" t="str">
        <v>Electronics</v>
      </c>
      <c r="D493" t="str">
        <v>AlarmClock</v>
      </c>
      <c r="E493">
        <v>3</v>
      </c>
      <c r="F493">
        <v>9000</v>
      </c>
      <c r="G493" t="str">
        <v>West</v>
      </c>
      <c r="H493" t="str">
        <v>Tunde Bakare</v>
      </c>
      <c r="I493" t="str">
        <v>Card</v>
      </c>
      <c r="J493">
        <v>10</v>
      </c>
    </row>
    <row r="494" spans="1:10" x14ac:dyDescent="0.25">
      <c r="A494">
        <v>3165</v>
      </c>
      <c r="B494" s="11">
        <v>45682</v>
      </c>
      <c r="C494" t="str">
        <v>Clothing</v>
      </c>
      <c r="D494" t="str">
        <v>Shawl</v>
      </c>
      <c r="E494">
        <v>4</v>
      </c>
      <c r="F494">
        <v>8000</v>
      </c>
      <c r="G494" t="str">
        <v>North</v>
      </c>
      <c r="H494" t="str">
        <v>Abiola Ogun</v>
      </c>
      <c r="I494" t="str">
        <v>Cash</v>
      </c>
      <c r="J494">
        <v>0</v>
      </c>
    </row>
    <row r="495" spans="1:10" x14ac:dyDescent="0.25">
      <c r="A495">
        <v>3166</v>
      </c>
      <c r="B495" s="11">
        <v>45683</v>
      </c>
      <c r="C495" t="str">
        <v>Furniture</v>
      </c>
      <c r="D495" t="str">
        <v>KitchenTrolley</v>
      </c>
      <c r="E495">
        <v>1</v>
      </c>
      <c r="F495">
        <v>45000</v>
      </c>
      <c r="G495" t="str">
        <v>South</v>
      </c>
      <c r="H495" t="str">
        <v>Chidi Nwosu</v>
      </c>
      <c r="I495" t="str">
        <v>Transfer</v>
      </c>
      <c r="J495">
        <v>5</v>
      </c>
    </row>
    <row r="496" spans="1:10" x14ac:dyDescent="0.25">
      <c r="A496">
        <v>3168</v>
      </c>
      <c r="B496" s="11">
        <v>45685</v>
      </c>
      <c r="C496" t="str">
        <v>Clothing</v>
      </c>
      <c r="D496" t="str">
        <v>SlipDress</v>
      </c>
      <c r="E496">
        <v>2</v>
      </c>
      <c r="F496">
        <v>18000</v>
      </c>
      <c r="G496" t="str">
        <v>West</v>
      </c>
      <c r="H496" t="str">
        <v>Tunde Bakare</v>
      </c>
      <c r="I496" t="str">
        <v>Cash</v>
      </c>
      <c r="J496">
        <v>0</v>
      </c>
    </row>
    <row r="497" spans="1:10" x14ac:dyDescent="0.25">
      <c r="A497">
        <v>3169</v>
      </c>
      <c r="B497" s="11">
        <v>45686</v>
      </c>
      <c r="C497" t="str">
        <v>Furniture</v>
      </c>
      <c r="D497" t="str">
        <v>OverbedTable</v>
      </c>
      <c r="E497">
        <v>1</v>
      </c>
      <c r="F497">
        <v>25000</v>
      </c>
      <c r="G497" t="str">
        <v>North</v>
      </c>
      <c r="H497" t="str">
        <v>Abiola Ogun</v>
      </c>
      <c r="I497" t="str">
        <v>Transfer</v>
      </c>
      <c r="J497">
        <v>5</v>
      </c>
    </row>
    <row r="498" spans="1:10" x14ac:dyDescent="0.25">
      <c r="A498">
        <v>3170</v>
      </c>
      <c r="B498" s="11">
        <v>45687</v>
      </c>
      <c r="C498" t="str">
        <v>Electronics</v>
      </c>
      <c r="D498" t="str">
        <v>DigitalClock</v>
      </c>
      <c r="E498">
        <v>4</v>
      </c>
      <c r="F498">
        <v>8000</v>
      </c>
      <c r="G498" t="str">
        <v>South</v>
      </c>
      <c r="H498" t="str">
        <v>Chidi Nwosu</v>
      </c>
      <c r="I498" t="str">
        <v>Card</v>
      </c>
      <c r="J498">
        <v>0</v>
      </c>
    </row>
    <row r="499" spans="1:10" x14ac:dyDescent="0.25">
      <c r="A499">
        <v>3172</v>
      </c>
      <c r="B499" s="11">
        <v>45689</v>
      </c>
      <c r="C499" t="str">
        <v>Furniture</v>
      </c>
      <c r="D499" t="str">
        <v>ClothesRack</v>
      </c>
      <c r="E499">
        <v>2</v>
      </c>
      <c r="F499">
        <v>20000</v>
      </c>
      <c r="G499" t="str">
        <v>West</v>
      </c>
      <c r="H499" t="str">
        <v>Tunde Bakare</v>
      </c>
      <c r="I499" t="str">
        <v>Transfer</v>
      </c>
      <c r="J499">
        <v>10</v>
      </c>
    </row>
    <row r="500" spans="1:10" x14ac:dyDescent="0.25">
      <c r="A500">
        <v>3173</v>
      </c>
      <c r="B500" s="11">
        <v>45690</v>
      </c>
      <c r="C500" t="str">
        <v>Electronics</v>
      </c>
      <c r="D500" t="str">
        <v>VoltageRegulator</v>
      </c>
      <c r="E500">
        <v>2</v>
      </c>
      <c r="F500">
        <v>25000</v>
      </c>
      <c r="G500" t="str">
        <v>North</v>
      </c>
      <c r="H500" t="str">
        <v>Abiola Ogun</v>
      </c>
      <c r="I500" t="str">
        <v>Card</v>
      </c>
      <c r="J500">
        <v>0</v>
      </c>
    </row>
    <row r="501" spans="1:10" x14ac:dyDescent="0.25">
      <c r="A501">
        <v>3174</v>
      </c>
      <c r="B501" s="11">
        <v>45691</v>
      </c>
      <c r="C501" t="str">
        <v>Clothing</v>
      </c>
      <c r="D501" t="str">
        <v>CorsetTop</v>
      </c>
      <c r="E501">
        <v>4</v>
      </c>
      <c r="F501">
        <v>10000</v>
      </c>
      <c r="G501" t="str">
        <v>South</v>
      </c>
      <c r="H501" t="str">
        <v>Chidi Nwosu</v>
      </c>
      <c r="I501" t="str">
        <v>Cash</v>
      </c>
      <c r="J501">
        <v>5</v>
      </c>
    </row>
    <row r="502" spans="1:10" x14ac:dyDescent="0.25">
      <c r="A502">
        <v>3176</v>
      </c>
      <c r="B502" s="11">
        <v>45693</v>
      </c>
      <c r="C502" t="str">
        <v>Electronics</v>
      </c>
      <c r="D502" t="str">
        <v>SelfieStick</v>
      </c>
      <c r="E502">
        <v>5</v>
      </c>
      <c r="F502">
        <v>5000</v>
      </c>
      <c r="G502" t="str">
        <v>West</v>
      </c>
      <c r="H502" t="str">
        <v>Tunde Bakare</v>
      </c>
      <c r="I502" t="str">
        <v>Card</v>
      </c>
      <c r="J502">
        <v>0</v>
      </c>
    </row>
    <row r="503" spans="1:10" x14ac:dyDescent="0.25">
      <c r="A503">
        <v>3177</v>
      </c>
      <c r="B503" s="11">
        <v>45694</v>
      </c>
      <c r="C503" t="str">
        <v>Clothing</v>
      </c>
      <c r="D503" t="str">
        <v>AnkleSocks</v>
      </c>
      <c r="E503">
        <v>8</v>
      </c>
      <c r="F503">
        <v>2000</v>
      </c>
      <c r="G503" t="str">
        <v>North</v>
      </c>
      <c r="H503" t="str">
        <v>Abiola Ogun</v>
      </c>
      <c r="I503" t="str">
        <v>Cash</v>
      </c>
      <c r="J503">
        <v>5</v>
      </c>
    </row>
    <row r="504" spans="1:10" x14ac:dyDescent="0.25">
      <c r="A504">
        <v>3178</v>
      </c>
      <c r="B504" s="11">
        <v>45695</v>
      </c>
      <c r="C504" t="str">
        <v>Furniture</v>
      </c>
      <c r="D504" t="str">
        <v>WallHook</v>
      </c>
      <c r="E504">
        <v>12</v>
      </c>
      <c r="F504">
        <v>1500</v>
      </c>
      <c r="G504" t="str">
        <v>South</v>
      </c>
      <c r="H504" t="str">
        <v>Chidi Nwosu</v>
      </c>
      <c r="I504" t="str">
        <v>Transfer</v>
      </c>
      <c r="J504">
        <v>0</v>
      </c>
    </row>
    <row r="505" spans="1:10" x14ac:dyDescent="0.25">
      <c r="A505">
        <v>3180</v>
      </c>
      <c r="B505" s="11">
        <v>45697</v>
      </c>
      <c r="C505" t="str">
        <v>Clothing</v>
      </c>
      <c r="D505" t="str">
        <v>Headband</v>
      </c>
      <c r="E505">
        <v>8</v>
      </c>
      <c r="F505">
        <v>2000</v>
      </c>
      <c r="G505" t="str">
        <v>West</v>
      </c>
      <c r="H505" t="str">
        <v>Tunde Bakare</v>
      </c>
      <c r="I505" t="str">
        <v>Cash</v>
      </c>
      <c r="J505">
        <v>10</v>
      </c>
    </row>
    <row r="506" spans="1:10" x14ac:dyDescent="0.25">
      <c r="A506">
        <v>3181</v>
      </c>
      <c r="B506" s="11">
        <v>45698</v>
      </c>
      <c r="C506" t="str">
        <v>Furniture</v>
      </c>
      <c r="D506" t="str">
        <v>TrashCan</v>
      </c>
      <c r="E506">
        <v>3</v>
      </c>
      <c r="F506">
        <v>8000</v>
      </c>
      <c r="G506" t="str">
        <v>North</v>
      </c>
      <c r="H506" t="str">
        <v>Abiola Ogun</v>
      </c>
      <c r="I506" t="str">
        <v>Transfer</v>
      </c>
      <c r="J506">
        <v>0</v>
      </c>
    </row>
    <row r="507" spans="1:10" x14ac:dyDescent="0.25">
      <c r="A507">
        <v>3182</v>
      </c>
      <c r="B507" s="11">
        <v>45699</v>
      </c>
      <c r="C507" t="str">
        <v>Electronics</v>
      </c>
      <c r="D507" t="str">
        <v>ExtensionCord</v>
      </c>
      <c r="E507">
        <v>5</v>
      </c>
      <c r="F507">
        <v>7000</v>
      </c>
      <c r="G507" t="str">
        <v>South</v>
      </c>
      <c r="H507" t="str">
        <v>Chidi Nwosu</v>
      </c>
      <c r="I507" t="str">
        <v>Card</v>
      </c>
      <c r="J507">
        <v>5</v>
      </c>
    </row>
    <row r="508" spans="1:10" x14ac:dyDescent="0.25">
      <c r="A508">
        <v>3184</v>
      </c>
      <c r="B508" s="11">
        <v>45701</v>
      </c>
      <c r="C508" t="str">
        <v>Furniture</v>
      </c>
      <c r="D508" t="str">
        <v>FireplaceScreen</v>
      </c>
      <c r="E508">
        <v>1</v>
      </c>
      <c r="F508">
        <v>45000</v>
      </c>
      <c r="G508" t="str">
        <v>West</v>
      </c>
      <c r="H508" t="str">
        <v>Tunde Bakare</v>
      </c>
      <c r="I508" t="str">
        <v>Transfer</v>
      </c>
      <c r="J508">
        <v>0</v>
      </c>
    </row>
    <row r="509" spans="1:10" x14ac:dyDescent="0.25">
      <c r="A509">
        <v>3185</v>
      </c>
      <c r="B509" s="11">
        <v>45702</v>
      </c>
      <c r="C509" t="str">
        <v>Electronics</v>
      </c>
      <c r="D509" t="str">
        <v>AntivirusUSB</v>
      </c>
      <c r="E509">
        <v>2</v>
      </c>
      <c r="F509">
        <v>15000</v>
      </c>
      <c r="G509" t="str">
        <v>North</v>
      </c>
      <c r="H509" t="str">
        <v>Abiola Ogun</v>
      </c>
      <c r="I509" t="str">
        <v>Card</v>
      </c>
      <c r="J509">
        <v>5</v>
      </c>
    </row>
    <row r="510" spans="1:10" x14ac:dyDescent="0.25">
      <c r="A510">
        <v>3186</v>
      </c>
      <c r="B510" s="11">
        <v>45703</v>
      </c>
      <c r="C510" t="str">
        <v>Clothing</v>
      </c>
      <c r="D510" t="str">
        <v>Romper</v>
      </c>
      <c r="E510">
        <v>2</v>
      </c>
      <c r="F510">
        <v>18000</v>
      </c>
      <c r="G510" t="str">
        <v>South</v>
      </c>
      <c r="H510" t="str">
        <v>Chidi Nwosu</v>
      </c>
      <c r="I510" t="str">
        <v>Cash</v>
      </c>
      <c r="J510">
        <v>0</v>
      </c>
    </row>
    <row r="511" spans="1:10" x14ac:dyDescent="0.25">
      <c r="A511">
        <v>3188</v>
      </c>
      <c r="B511" s="11">
        <v>45705</v>
      </c>
      <c r="C511" t="str">
        <v>Electronics</v>
      </c>
      <c r="D511" t="str">
        <v>RouterStand</v>
      </c>
      <c r="E511">
        <v>4</v>
      </c>
      <c r="F511">
        <v>6000</v>
      </c>
      <c r="G511" t="str">
        <v>West</v>
      </c>
      <c r="H511" t="str">
        <v>Tunde Bakare</v>
      </c>
      <c r="I511" t="str">
        <v>Card</v>
      </c>
      <c r="J511">
        <v>10</v>
      </c>
    </row>
    <row r="512" spans="1:10" x14ac:dyDescent="0.25">
      <c r="A512">
        <v>3189</v>
      </c>
      <c r="B512" s="11">
        <v>45706</v>
      </c>
      <c r="C512" t="str">
        <v>Clothing</v>
      </c>
      <c r="D512" t="str">
        <v>FannyPack</v>
      </c>
      <c r="E512">
        <v>4</v>
      </c>
      <c r="F512">
        <v>8000</v>
      </c>
      <c r="G512" t="str">
        <v>North</v>
      </c>
      <c r="H512" t="str">
        <v>Abiola Ogun</v>
      </c>
      <c r="I512" t="str">
        <v>Cash</v>
      </c>
      <c r="J512">
        <v>0</v>
      </c>
    </row>
    <row r="513" spans="1:10" x14ac:dyDescent="0.25">
      <c r="A513">
        <v>3190</v>
      </c>
      <c r="B513" s="11">
        <v>45707</v>
      </c>
      <c r="C513" t="str">
        <v>Furniture</v>
      </c>
      <c r="D513" t="str">
        <v>MakeupMirror</v>
      </c>
      <c r="E513">
        <v>2</v>
      </c>
      <c r="F513">
        <v>12000</v>
      </c>
      <c r="G513" t="str">
        <v>South</v>
      </c>
      <c r="H513" t="str">
        <v>Chidi Nwosu</v>
      </c>
      <c r="I513" t="str">
        <v>Transfer</v>
      </c>
      <c r="J513">
        <v>5</v>
      </c>
    </row>
    <row r="514" spans="1:10" x14ac:dyDescent="0.25">
      <c r="A514">
        <v>3192</v>
      </c>
      <c r="B514" s="11">
        <v>45709</v>
      </c>
      <c r="C514" t="str">
        <v>Clothing</v>
      </c>
      <c r="D514" t="str">
        <v>BaseballCap</v>
      </c>
      <c r="E514">
        <v>5</v>
      </c>
      <c r="F514">
        <v>7000</v>
      </c>
      <c r="G514" t="str">
        <v>West</v>
      </c>
      <c r="H514" t="str">
        <v>Tunde Bakare</v>
      </c>
      <c r="I514" t="str">
        <v>Cash</v>
      </c>
      <c r="J514">
        <v>0</v>
      </c>
    </row>
    <row r="515" spans="1:10" x14ac:dyDescent="0.25">
      <c r="A515">
        <v>3193</v>
      </c>
      <c r="B515" s="11">
        <v>45710</v>
      </c>
      <c r="C515" t="str">
        <v>Furniture</v>
      </c>
      <c r="D515" t="str">
        <v>CoatHook</v>
      </c>
      <c r="E515">
        <v>9</v>
      </c>
      <c r="F515">
        <v>3000</v>
      </c>
      <c r="G515" t="str">
        <v>North</v>
      </c>
      <c r="H515" t="str">
        <v>Abiola Ogun</v>
      </c>
      <c r="I515" t="str">
        <v>Transfer</v>
      </c>
      <c r="J515">
        <v>5</v>
      </c>
    </row>
    <row r="516" spans="1:10" x14ac:dyDescent="0.25">
      <c r="A516">
        <v>3194</v>
      </c>
      <c r="B516" s="11">
        <v>45711</v>
      </c>
      <c r="C516" t="str">
        <v>Electronics</v>
      </c>
      <c r="D516" t="str">
        <v>RechargeableFan</v>
      </c>
      <c r="E516">
        <v>2</v>
      </c>
      <c r="F516">
        <v>18000</v>
      </c>
      <c r="G516" t="str">
        <v>South</v>
      </c>
      <c r="H516" t="str">
        <v>Chidi Nwosu</v>
      </c>
      <c r="I516" t="str">
        <v>Card</v>
      </c>
      <c r="J516">
        <v>0</v>
      </c>
    </row>
    <row r="517" spans="1:10" x14ac:dyDescent="0.25">
      <c r="A517">
        <v>3196</v>
      </c>
      <c r="B517" s="11">
        <v>45713</v>
      </c>
      <c r="C517" t="str">
        <v>Furniture</v>
      </c>
      <c r="D517" t="str">
        <v>TraditionalStool</v>
      </c>
      <c r="E517">
        <v>3</v>
      </c>
      <c r="F517">
        <v>25000</v>
      </c>
      <c r="G517" t="str">
        <v>West</v>
      </c>
      <c r="H517" t="str">
        <v>Tunde Bakare</v>
      </c>
      <c r="I517" t="str">
        <v>Transfer</v>
      </c>
      <c r="J517">
        <v>10</v>
      </c>
    </row>
    <row r="518" spans="1:10" x14ac:dyDescent="0.25">
      <c r="A518">
        <v>3197</v>
      </c>
      <c r="B518" s="11">
        <v>45714</v>
      </c>
      <c r="C518" t="str">
        <v>Electronics</v>
      </c>
      <c r="D518" t="str">
        <v>Kettle</v>
      </c>
      <c r="E518">
        <v>2</v>
      </c>
      <c r="F518">
        <v>15000</v>
      </c>
      <c r="G518" t="str">
        <v>North</v>
      </c>
      <c r="H518" t="str">
        <v>Abiola Ogun</v>
      </c>
      <c r="I518" t="str">
        <v>Card</v>
      </c>
      <c r="J518">
        <v>0</v>
      </c>
    </row>
    <row r="519" spans="1:10" x14ac:dyDescent="0.25">
      <c r="A519">
        <v>3198</v>
      </c>
      <c r="B519" s="11">
        <v>45715</v>
      </c>
      <c r="C519" t="str">
        <v>Clothing</v>
      </c>
      <c r="D519" t="str">
        <v>Hijab</v>
      </c>
      <c r="E519">
        <v>5</v>
      </c>
      <c r="F519">
        <v>8000</v>
      </c>
      <c r="G519" t="str">
        <v>South</v>
      </c>
      <c r="H519" t="str">
        <v>Chidi Nwosu</v>
      </c>
      <c r="I519" t="str">
        <v>Cash</v>
      </c>
      <c r="J519">
        <v>5</v>
      </c>
    </row>
    <row r="520" spans="1:10" x14ac:dyDescent="0.25">
      <c r="A520">
        <v>3200</v>
      </c>
      <c r="B520" s="11">
        <v>45717</v>
      </c>
      <c r="C520" t="str">
        <v>Electronics</v>
      </c>
      <c r="D520" t="str">
        <v>ElectricCooker</v>
      </c>
      <c r="E520">
        <v>1</v>
      </c>
      <c r="F520">
        <v>120000</v>
      </c>
      <c r="G520" t="str">
        <v>West</v>
      </c>
      <c r="H520" t="str">
        <v>Tunde Bakare</v>
      </c>
      <c r="I520" t="str">
        <v>Card</v>
      </c>
      <c r="J520">
        <v>0</v>
      </c>
    </row>
    <row r="521" spans="1:10" x14ac:dyDescent="0.25">
      <c r="A521">
        <v>3201</v>
      </c>
      <c r="B521" s="11">
        <v>45672</v>
      </c>
      <c r="C521" t="str">
        <v>Electronics</v>
      </c>
      <c r="D521" t="str">
        <v>GamingConsole</v>
      </c>
      <c r="E521">
        <v>1</v>
      </c>
      <c r="F521">
        <v>350000</v>
      </c>
      <c r="G521" t="str">
        <v>North</v>
      </c>
      <c r="H521" t="str">
        <v>Abiola Ogun</v>
      </c>
      <c r="I521" t="str">
        <v>Card</v>
      </c>
      <c r="J521">
        <v>5</v>
      </c>
    </row>
    <row r="522" spans="1:10" x14ac:dyDescent="0.25">
      <c r="A522">
        <v>3202</v>
      </c>
      <c r="B522" s="11">
        <v>45673</v>
      </c>
      <c r="C522" t="str">
        <v>Clothing</v>
      </c>
      <c r="D522" t="str">
        <v>DenimJacket</v>
      </c>
      <c r="E522">
        <v>2</v>
      </c>
      <c r="F522">
        <v>25000</v>
      </c>
      <c r="G522" t="str">
        <v>South</v>
      </c>
      <c r="H522" t="str">
        <v>Chidi Nwosu</v>
      </c>
      <c r="I522" t="str">
        <v>Cash</v>
      </c>
      <c r="J522">
        <v>0</v>
      </c>
    </row>
    <row r="523" spans="1:10" x14ac:dyDescent="0.25">
      <c r="A523">
        <v>3204</v>
      </c>
      <c r="B523" s="11">
        <v>45675</v>
      </c>
      <c r="C523" t="str">
        <v>Electronics</v>
      </c>
      <c r="D523" t="str">
        <v>SmartTV</v>
      </c>
      <c r="E523">
        <v>1</v>
      </c>
      <c r="F523">
        <v>250000</v>
      </c>
      <c r="G523" t="str">
        <v>West</v>
      </c>
      <c r="H523" t="str">
        <v>Tunde Bakare</v>
      </c>
      <c r="I523" t="str">
        <v>Card</v>
      </c>
      <c r="J523">
        <v>0</v>
      </c>
    </row>
    <row r="524" spans="1:10" x14ac:dyDescent="0.25">
      <c r="A524">
        <v>3205</v>
      </c>
      <c r="B524" s="11">
        <v>45676</v>
      </c>
      <c r="C524" t="str">
        <v>Clothing</v>
      </c>
      <c r="D524" t="str">
        <v>LeatherJacket</v>
      </c>
      <c r="E524">
        <v>1</v>
      </c>
      <c r="F524">
        <v>75000</v>
      </c>
      <c r="G524" t="str">
        <v>North</v>
      </c>
      <c r="H524" t="str">
        <v>Abiola Ogun</v>
      </c>
      <c r="I524" t="str">
        <v>Cash</v>
      </c>
      <c r="J524">
        <v>5</v>
      </c>
    </row>
    <row r="525" spans="1:10" x14ac:dyDescent="0.25">
      <c r="A525">
        <v>3206</v>
      </c>
      <c r="B525" s="11">
        <v>45677</v>
      </c>
      <c r="C525" t="str">
        <v>Furniture</v>
      </c>
      <c r="D525" t="str">
        <v>ConsoleTable</v>
      </c>
      <c r="E525">
        <v>1</v>
      </c>
      <c r="F525">
        <v>55000</v>
      </c>
      <c r="G525" t="str">
        <v>South</v>
      </c>
      <c r="H525" t="str">
        <v>Chidi Nwosu</v>
      </c>
      <c r="I525" t="str">
        <v>Transfer</v>
      </c>
      <c r="J525">
        <v>0</v>
      </c>
    </row>
    <row r="526" spans="1:10" x14ac:dyDescent="0.25">
      <c r="A526">
        <v>3208</v>
      </c>
      <c r="B526" s="11">
        <v>45679</v>
      </c>
      <c r="C526" t="str">
        <v>Clothing</v>
      </c>
      <c r="D526" t="str">
        <v>CargoPants</v>
      </c>
      <c r="E526">
        <v>3</v>
      </c>
      <c r="F526">
        <v>15000</v>
      </c>
      <c r="G526" t="str">
        <v>West</v>
      </c>
      <c r="H526" t="str">
        <v>Tunde Bakare</v>
      </c>
      <c r="I526" t="str">
        <v>Cash</v>
      </c>
      <c r="J526">
        <v>5</v>
      </c>
    </row>
    <row r="527" spans="1:10" x14ac:dyDescent="0.25">
      <c r="A527">
        <v>3209</v>
      </c>
      <c r="B527" s="11">
        <v>45680</v>
      </c>
      <c r="C527" t="str">
        <v>Furniture</v>
      </c>
      <c r="D527" t="str">
        <v>AdirondackChair</v>
      </c>
      <c r="E527">
        <v>2</v>
      </c>
      <c r="F527">
        <v>45000</v>
      </c>
      <c r="G527" t="str">
        <v>North</v>
      </c>
      <c r="H527" t="str">
        <v>Abiola Ogun</v>
      </c>
      <c r="I527" t="str">
        <v>Transfer</v>
      </c>
      <c r="J527">
        <v>0</v>
      </c>
    </row>
    <row r="528" spans="1:10" x14ac:dyDescent="0.25">
      <c r="A528">
        <v>3210</v>
      </c>
      <c r="B528" s="11">
        <v>45681</v>
      </c>
      <c r="C528" t="str">
        <v>Electronics</v>
      </c>
      <c r="D528" t="str">
        <v>TabletCase</v>
      </c>
      <c r="E528">
        <v>4</v>
      </c>
      <c r="F528">
        <v>8000</v>
      </c>
      <c r="G528" t="str">
        <v>South</v>
      </c>
      <c r="H528" t="str">
        <v>Chidi Nwosu</v>
      </c>
      <c r="I528" t="str">
        <v>Card</v>
      </c>
      <c r="J528">
        <v>0</v>
      </c>
    </row>
    <row r="529" spans="1:10" x14ac:dyDescent="0.25">
      <c r="A529">
        <v>3212</v>
      </c>
      <c r="B529" s="11">
        <v>45683</v>
      </c>
      <c r="C529" t="str">
        <v>Furniture</v>
      </c>
      <c r="D529" t="str">
        <v>HangingChair</v>
      </c>
      <c r="E529">
        <v>1</v>
      </c>
      <c r="F529">
        <v>85000</v>
      </c>
      <c r="G529" t="str">
        <v>West</v>
      </c>
      <c r="H529" t="str">
        <v>Tunde Bakare</v>
      </c>
      <c r="I529" t="str">
        <v>Transfer</v>
      </c>
      <c r="J529">
        <v>0</v>
      </c>
    </row>
    <row r="530" spans="1:10" x14ac:dyDescent="0.25">
      <c r="A530">
        <v>3213</v>
      </c>
      <c r="B530" s="11">
        <v>45684</v>
      </c>
      <c r="C530" t="str">
        <v>Electronics</v>
      </c>
      <c r="D530" t="str">
        <v>LEDStrip</v>
      </c>
      <c r="E530">
        <v>3</v>
      </c>
      <c r="F530">
        <v>5000</v>
      </c>
      <c r="G530" t="str">
        <v>North</v>
      </c>
      <c r="H530" t="str">
        <v>Abiola Ogun</v>
      </c>
      <c r="I530" t="str">
        <v>Card</v>
      </c>
      <c r="J530">
        <v>5</v>
      </c>
    </row>
    <row r="531" spans="1:10" x14ac:dyDescent="0.25">
      <c r="A531">
        <v>3214</v>
      </c>
      <c r="B531" s="11">
        <v>45685</v>
      </c>
      <c r="C531" t="str">
        <v>Clothing</v>
      </c>
      <c r="D531" t="str">
        <v>JeansShorts</v>
      </c>
      <c r="E531">
        <v>5</v>
      </c>
      <c r="F531">
        <v>10000</v>
      </c>
      <c r="G531" t="str">
        <v>South</v>
      </c>
      <c r="H531" t="str">
        <v>Chidi Nwosu</v>
      </c>
      <c r="I531" t="str">
        <v>Cash</v>
      </c>
      <c r="J531">
        <v>0</v>
      </c>
    </row>
    <row r="532" spans="1:10" x14ac:dyDescent="0.25">
      <c r="A532">
        <v>3216</v>
      </c>
      <c r="B532" s="11">
        <v>45687</v>
      </c>
      <c r="C532" t="str">
        <v>Electronics</v>
      </c>
      <c r="D532" t="str">
        <v>WebcamRingLight</v>
      </c>
      <c r="E532">
        <v>2</v>
      </c>
      <c r="F532">
        <v>8000</v>
      </c>
      <c r="G532" t="str">
        <v>West</v>
      </c>
      <c r="H532" t="str">
        <v>Tunde Bakare</v>
      </c>
      <c r="I532" t="str">
        <v>Card</v>
      </c>
      <c r="J532">
        <v>5</v>
      </c>
    </row>
    <row r="533" spans="1:10" x14ac:dyDescent="0.25">
      <c r="A533">
        <v>3217</v>
      </c>
      <c r="B533" s="11">
        <v>45688</v>
      </c>
      <c r="C533" t="str">
        <v>Clothing</v>
      </c>
      <c r="D533" t="str">
        <v>Turtleneck</v>
      </c>
      <c r="E533">
        <v>3</v>
      </c>
      <c r="F533">
        <v>12000</v>
      </c>
      <c r="G533" t="str">
        <v>North</v>
      </c>
      <c r="H533" t="str">
        <v>Abiola Ogun</v>
      </c>
      <c r="I533" t="str">
        <v>Cash</v>
      </c>
      <c r="J533">
        <v>0</v>
      </c>
    </row>
    <row r="534" spans="1:10" x14ac:dyDescent="0.25">
      <c r="A534">
        <v>3218</v>
      </c>
      <c r="B534" s="11">
        <v>45689</v>
      </c>
      <c r="C534" t="str">
        <v>Furniture</v>
      </c>
      <c r="D534" t="str">
        <v>WallPuzzle</v>
      </c>
      <c r="E534">
        <v>2</v>
      </c>
      <c r="F534">
        <v>15000</v>
      </c>
      <c r="G534" t="str">
        <v>South</v>
      </c>
      <c r="H534" t="str">
        <v>Chidi Nwosu</v>
      </c>
      <c r="I534" t="str">
        <v>Transfer</v>
      </c>
      <c r="J534">
        <v>0</v>
      </c>
    </row>
    <row r="535" spans="1:10" x14ac:dyDescent="0.25">
      <c r="A535">
        <v>3220</v>
      </c>
      <c r="B535" s="11">
        <v>45691</v>
      </c>
      <c r="C535" t="str">
        <v>Clothing</v>
      </c>
      <c r="D535" t="str">
        <v>SilkScarf</v>
      </c>
      <c r="E535">
        <v>4</v>
      </c>
      <c r="F535">
        <v>12000</v>
      </c>
      <c r="G535" t="str">
        <v>West</v>
      </c>
      <c r="H535" t="str">
        <v>Tunde Bakare</v>
      </c>
      <c r="I535" t="str">
        <v>Cash</v>
      </c>
      <c r="J535">
        <v>0</v>
      </c>
    </row>
    <row r="536" spans="1:10" x14ac:dyDescent="0.25">
      <c r="A536">
        <v>3221</v>
      </c>
      <c r="B536" s="11">
        <v>45692</v>
      </c>
      <c r="C536" t="str">
        <v>Furniture</v>
      </c>
      <c r="D536" t="str">
        <v>BistroTable</v>
      </c>
      <c r="E536">
        <v>2</v>
      </c>
      <c r="F536">
        <v>35000</v>
      </c>
      <c r="G536" t="str">
        <v>North</v>
      </c>
      <c r="H536" t="str">
        <v>Abiola Ogun</v>
      </c>
      <c r="I536" t="str">
        <v>Transfer</v>
      </c>
      <c r="J536">
        <v>5</v>
      </c>
    </row>
    <row r="537" spans="1:10" x14ac:dyDescent="0.25">
      <c r="A537">
        <v>3222</v>
      </c>
      <c r="B537" s="11">
        <v>45693</v>
      </c>
      <c r="C537" t="str">
        <v>Electronics</v>
      </c>
      <c r="D537" t="str">
        <v>VideoDoorbell</v>
      </c>
      <c r="E537">
        <v>1</v>
      </c>
      <c r="F537">
        <v>45000</v>
      </c>
      <c r="G537" t="str">
        <v>South</v>
      </c>
      <c r="H537" t="str">
        <v>Chidi Nwosu</v>
      </c>
      <c r="I537" t="str">
        <v>Card</v>
      </c>
      <c r="J537">
        <v>0</v>
      </c>
    </row>
    <row r="538" spans="1:10" x14ac:dyDescent="0.25">
      <c r="A538">
        <v>3224</v>
      </c>
      <c r="B538" s="11">
        <v>45695</v>
      </c>
      <c r="C538" t="str">
        <v>Furniture</v>
      </c>
      <c r="D538" t="str">
        <v>FirePit</v>
      </c>
      <c r="E538">
        <v>1</v>
      </c>
      <c r="F538">
        <v>65000</v>
      </c>
      <c r="G538" t="str">
        <v>West</v>
      </c>
      <c r="H538" t="str">
        <v>Tunde Bakare</v>
      </c>
      <c r="I538" t="str">
        <v>Transfer</v>
      </c>
      <c r="J538">
        <v>10</v>
      </c>
    </row>
    <row r="539" spans="1:10" x14ac:dyDescent="0.25">
      <c r="A539">
        <v>3225</v>
      </c>
      <c r="B539" s="11">
        <v>45696</v>
      </c>
      <c r="C539" t="str">
        <v>Electronics</v>
      </c>
      <c r="D539" t="str">
        <v>RobotVacuum</v>
      </c>
      <c r="E539">
        <v>1</v>
      </c>
      <c r="F539">
        <v>120000</v>
      </c>
      <c r="G539" t="str">
        <v>North</v>
      </c>
      <c r="H539" t="str">
        <v>Abiola Ogun</v>
      </c>
      <c r="I539" t="str">
        <v>Card</v>
      </c>
      <c r="J539">
        <v>0</v>
      </c>
    </row>
    <row r="540" spans="1:10" x14ac:dyDescent="0.25">
      <c r="A540">
        <v>3226</v>
      </c>
      <c r="B540" s="11">
        <v>45697</v>
      </c>
      <c r="C540" t="str">
        <v>Clothing</v>
      </c>
      <c r="D540" t="str">
        <v>Bathrobe</v>
      </c>
      <c r="E540">
        <v>3</v>
      </c>
      <c r="F540">
        <v>15000</v>
      </c>
      <c r="G540" t="str">
        <v>South</v>
      </c>
      <c r="H540" t="str">
        <v>Chidi Nwosu</v>
      </c>
      <c r="I540" t="str">
        <v>Cash</v>
      </c>
      <c r="J540">
        <v>5</v>
      </c>
    </row>
    <row r="541" spans="1:10" x14ac:dyDescent="0.25">
      <c r="A541">
        <v>3228</v>
      </c>
      <c r="B541" s="11">
        <v>45699</v>
      </c>
      <c r="C541" t="str">
        <v>Electronics</v>
      </c>
      <c r="D541" t="str">
        <v>CarSpeakers</v>
      </c>
      <c r="E541">
        <v>2</v>
      </c>
      <c r="F541">
        <v>25000</v>
      </c>
      <c r="G541" t="str">
        <v>West</v>
      </c>
      <c r="H541" t="str">
        <v>Tunde Bakare</v>
      </c>
      <c r="I541" t="str">
        <v>Card</v>
      </c>
      <c r="J541">
        <v>0</v>
      </c>
    </row>
    <row r="542" spans="1:10" x14ac:dyDescent="0.25">
      <c r="A542">
        <v>3229</v>
      </c>
      <c r="B542" s="11">
        <v>45700</v>
      </c>
      <c r="C542" t="str">
        <v>Clothing</v>
      </c>
      <c r="D542" t="str">
        <v>FlipFlops</v>
      </c>
      <c r="E542">
        <v>6</v>
      </c>
      <c r="F542">
        <v>5000</v>
      </c>
      <c r="G542" t="str">
        <v>North</v>
      </c>
      <c r="H542" t="str">
        <v>Abiola Ogun</v>
      </c>
      <c r="I542" t="str">
        <v>Cash</v>
      </c>
      <c r="J542">
        <v>5</v>
      </c>
    </row>
    <row r="543" spans="1:10" x14ac:dyDescent="0.25">
      <c r="A543">
        <v>3230</v>
      </c>
      <c r="B543" s="11">
        <v>45701</v>
      </c>
      <c r="C543" t="str">
        <v>Furniture</v>
      </c>
      <c r="D543" t="str">
        <v>DrawerOrganizer</v>
      </c>
      <c r="E543">
        <v>5</v>
      </c>
      <c r="F543">
        <v>4000</v>
      </c>
      <c r="G543" t="str">
        <v>South</v>
      </c>
      <c r="H543" t="str">
        <v>Chidi Nwosu</v>
      </c>
      <c r="I543" t="str">
        <v>Transfer</v>
      </c>
      <c r="J543">
        <v>0</v>
      </c>
    </row>
    <row r="544" spans="1:10" x14ac:dyDescent="0.25">
      <c r="A544">
        <v>3232</v>
      </c>
      <c r="B544" s="11">
        <v>45703</v>
      </c>
      <c r="C544" t="str">
        <v>Clothing</v>
      </c>
      <c r="D544" t="str">
        <v>Poncho</v>
      </c>
      <c r="E544">
        <v>2</v>
      </c>
      <c r="F544">
        <v>12000</v>
      </c>
      <c r="G544" t="str">
        <v>West</v>
      </c>
      <c r="H544" t="str">
        <v>Tunde Bakare</v>
      </c>
      <c r="I544" t="str">
        <v>Cash</v>
      </c>
      <c r="J544">
        <v>10</v>
      </c>
    </row>
    <row r="545" spans="1:10" x14ac:dyDescent="0.25">
      <c r="A545">
        <v>3233</v>
      </c>
      <c r="B545" s="11">
        <v>45704</v>
      </c>
      <c r="C545" t="str">
        <v>Furniture</v>
      </c>
      <c r="D545" t="str">
        <v>WallClock</v>
      </c>
      <c r="E545">
        <v>4</v>
      </c>
      <c r="F545">
        <v>7000</v>
      </c>
      <c r="G545" t="str">
        <v>North</v>
      </c>
      <c r="H545" t="str">
        <v>Abiola Ogun</v>
      </c>
      <c r="I545" t="str">
        <v>Transfer</v>
      </c>
      <c r="J545">
        <v>0</v>
      </c>
    </row>
    <row r="546" spans="1:10" x14ac:dyDescent="0.25">
      <c r="A546">
        <v>3234</v>
      </c>
      <c r="B546" s="11">
        <v>45705</v>
      </c>
      <c r="C546" t="str">
        <v>Electronics</v>
      </c>
      <c r="D546" t="str">
        <v>USBWallOutlet</v>
      </c>
      <c r="E546">
        <v>3</v>
      </c>
      <c r="F546">
        <v>6000</v>
      </c>
      <c r="G546" t="str">
        <v>South</v>
      </c>
      <c r="H546" t="str">
        <v>Chidi Nwosu</v>
      </c>
      <c r="I546" t="str">
        <v>Card</v>
      </c>
      <c r="J546">
        <v>5</v>
      </c>
    </row>
    <row r="547" spans="1:10" x14ac:dyDescent="0.25">
      <c r="A547">
        <v>3236</v>
      </c>
      <c r="B547" s="11">
        <v>45707</v>
      </c>
      <c r="C547" t="str">
        <v>Furniture</v>
      </c>
      <c r="D547" t="str">
        <v>MagazineRack</v>
      </c>
      <c r="E547">
        <v>3</v>
      </c>
      <c r="F547">
        <v>12000</v>
      </c>
      <c r="G547" t="str">
        <v>West</v>
      </c>
      <c r="H547" t="str">
        <v>Tunde Bakare</v>
      </c>
      <c r="I547" t="str">
        <v>Transfer</v>
      </c>
      <c r="J547">
        <v>0</v>
      </c>
    </row>
    <row r="548" spans="1:10" x14ac:dyDescent="0.25">
      <c r="A548">
        <v>3237</v>
      </c>
      <c r="B548" s="11">
        <v>45708</v>
      </c>
      <c r="C548" t="str">
        <v>Electronics</v>
      </c>
      <c r="D548" t="str">
        <v>NoiseMachine</v>
      </c>
      <c r="E548">
        <v>2</v>
      </c>
      <c r="F548">
        <v>25000</v>
      </c>
      <c r="G548" t="str">
        <v>North</v>
      </c>
      <c r="H548" t="str">
        <v>Abiola Ogun</v>
      </c>
      <c r="I548" t="str">
        <v>Card</v>
      </c>
      <c r="J548">
        <v>5</v>
      </c>
    </row>
    <row r="549" spans="1:10" x14ac:dyDescent="0.25">
      <c r="A549">
        <v>3238</v>
      </c>
      <c r="B549" s="11">
        <v>45709</v>
      </c>
      <c r="C549" t="str">
        <v>Clothing</v>
      </c>
      <c r="D549" t="str">
        <v>Kimono</v>
      </c>
      <c r="E549">
        <v>3</v>
      </c>
      <c r="F549">
        <v>18000</v>
      </c>
      <c r="G549" t="str">
        <v>South</v>
      </c>
      <c r="H549" t="str">
        <v>Chidi Nwosu</v>
      </c>
      <c r="I549" t="str">
        <v>Cash</v>
      </c>
      <c r="J549">
        <v>0</v>
      </c>
    </row>
    <row r="550" spans="1:10" x14ac:dyDescent="0.25">
      <c r="A550">
        <v>3240</v>
      </c>
      <c r="B550" s="11">
        <v>45711</v>
      </c>
      <c r="C550" t="str">
        <v>Electronics</v>
      </c>
      <c r="D550" t="str">
        <v>DigitalPictureFrame</v>
      </c>
      <c r="E550">
        <v>2</v>
      </c>
      <c r="F550">
        <v>12000</v>
      </c>
      <c r="G550" t="str">
        <v>West</v>
      </c>
      <c r="H550" t="str">
        <v>Tunde Bakare</v>
      </c>
      <c r="I550" t="str">
        <v>Card</v>
      </c>
      <c r="J550">
        <v>10</v>
      </c>
    </row>
    <row r="551" spans="1:10" x14ac:dyDescent="0.25">
      <c r="A551">
        <v>3241</v>
      </c>
      <c r="B551" s="11">
        <v>45712</v>
      </c>
      <c r="C551" t="str">
        <v>Clothing</v>
      </c>
      <c r="D551" t="str">
        <v>Suspenders</v>
      </c>
      <c r="E551">
        <v>5</v>
      </c>
      <c r="F551">
        <v>6000</v>
      </c>
      <c r="G551" t="str">
        <v>North</v>
      </c>
      <c r="H551" t="str">
        <v>Abiola Ogun</v>
      </c>
      <c r="I551" t="str">
        <v>Cash</v>
      </c>
      <c r="J551">
        <v>0</v>
      </c>
    </row>
    <row r="552" spans="1:10" x14ac:dyDescent="0.25">
      <c r="A552">
        <v>3242</v>
      </c>
      <c r="B552" s="11">
        <v>45713</v>
      </c>
      <c r="C552" t="str">
        <v>Furniture</v>
      </c>
      <c r="D552" t="str">
        <v>BarStool</v>
      </c>
      <c r="E552">
        <v>4</v>
      </c>
      <c r="F552">
        <v>25000</v>
      </c>
      <c r="G552" t="str">
        <v>South</v>
      </c>
      <c r="H552" t="str">
        <v>Chidi Nwosu</v>
      </c>
      <c r="I552" t="str">
        <v>Transfer</v>
      </c>
      <c r="J552">
        <v>5</v>
      </c>
    </row>
    <row r="553" spans="1:10" x14ac:dyDescent="0.25">
      <c r="A553">
        <v>3244</v>
      </c>
      <c r="B553" s="11">
        <v>45715</v>
      </c>
      <c r="C553" t="str">
        <v>Clothing</v>
      </c>
      <c r="D553" t="str">
        <v>NeckGaiter</v>
      </c>
      <c r="E553">
        <v>4</v>
      </c>
      <c r="F553">
        <v>5000</v>
      </c>
      <c r="G553" t="str">
        <v>West</v>
      </c>
      <c r="H553" t="str">
        <v>Tunde Bakare</v>
      </c>
      <c r="I553" t="str">
        <v>Cash</v>
      </c>
      <c r="J553">
        <v>0</v>
      </c>
    </row>
    <row r="554" spans="1:10" x14ac:dyDescent="0.25">
      <c r="A554">
        <v>3245</v>
      </c>
      <c r="B554" s="11">
        <v>45716</v>
      </c>
      <c r="C554" t="str">
        <v>Furniture</v>
      </c>
      <c r="D554" t="str">
        <v>Trunk</v>
      </c>
      <c r="E554">
        <v>1</v>
      </c>
      <c r="F554">
        <v>55000</v>
      </c>
      <c r="G554" t="str">
        <v>North</v>
      </c>
      <c r="H554" t="str">
        <v>Abiola Ogun</v>
      </c>
      <c r="I554" t="str">
        <v>Transfer</v>
      </c>
      <c r="J554">
        <v>5</v>
      </c>
    </row>
  </sheetData>
  <mergeCells count="6">
    <mergeCell ref="A23:I23"/>
    <mergeCell ref="A1:I1"/>
    <mergeCell ref="A150:I150"/>
    <mergeCell ref="A202:J202"/>
    <mergeCell ref="A348:J348"/>
    <mergeCell ref="A369:J3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8FC0-C83E-442A-ADA3-BA67DDF501B8}">
  <dimension ref="A1:J400"/>
  <sheetViews>
    <sheetView topLeftCell="A274" workbookViewId="0">
      <selection activeCell="B71" sqref="B71:B400"/>
    </sheetView>
  </sheetViews>
  <sheetFormatPr defaultRowHeight="15" x14ac:dyDescent="0.25"/>
  <cols>
    <col min="1" max="1" width="8" bestFit="1" customWidth="1"/>
    <col min="2" max="2" width="10.7109375" bestFit="1" customWidth="1"/>
    <col min="3" max="3" width="15.85546875" bestFit="1" customWidth="1"/>
    <col min="4" max="4" width="17.28515625" bestFit="1" customWidth="1"/>
    <col min="5" max="5" width="9.5703125" bestFit="1" customWidth="1"/>
    <col min="6" max="6" width="9.28515625" bestFit="1" customWidth="1"/>
    <col min="7" max="7" width="7.140625" bestFit="1" customWidth="1"/>
    <col min="8" max="8" width="11.85546875" bestFit="1" customWidth="1"/>
    <col min="9" max="9" width="16.140625" bestFit="1" customWidth="1"/>
    <col min="10" max="10" width="8.7109375" bestFit="1" customWidth="1"/>
  </cols>
  <sheetData>
    <row r="1" spans="1:10" x14ac:dyDescent="0.25">
      <c r="A1" s="2" t="s">
        <v>0</v>
      </c>
      <c r="B1" s="10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cm="1">
        <f t="array" ref="A2:J63">_xlfn._xlws.FILTER(deepseek_csv_20260422_7f7afa[], deepseek_csv_20260422_7f7afa[Region]="North", "No Orders Found")</f>
        <v>3001</v>
      </c>
      <c r="B2" s="11">
        <v>45667</v>
      </c>
      <c r="C2" t="str">
        <v>Electronics</v>
      </c>
      <c r="D2" t="str">
        <v>Laptop</v>
      </c>
      <c r="E2">
        <v>3</v>
      </c>
      <c r="F2">
        <v>450000</v>
      </c>
      <c r="G2" t="str">
        <v>North</v>
      </c>
      <c r="H2" t="str">
        <v>Abiola Ogun</v>
      </c>
      <c r="I2" t="str">
        <v>Card</v>
      </c>
      <c r="J2">
        <v>5</v>
      </c>
    </row>
    <row r="3" spans="1:10" x14ac:dyDescent="0.25">
      <c r="A3">
        <v>3005</v>
      </c>
      <c r="B3" s="11">
        <v>45669</v>
      </c>
      <c r="C3" t="str">
        <v>Clothing</v>
      </c>
      <c r="D3" t="str">
        <v>TShirt</v>
      </c>
      <c r="E3">
        <v>8</v>
      </c>
      <c r="F3">
        <v>5000</v>
      </c>
      <c r="G3" t="str">
        <v>North</v>
      </c>
      <c r="H3" t="str">
        <v>Abiola Ogun</v>
      </c>
      <c r="I3" t="str">
        <v>Cash</v>
      </c>
      <c r="J3">
        <v>5</v>
      </c>
    </row>
    <row r="4" spans="1:10" x14ac:dyDescent="0.25">
      <c r="A4">
        <v>3009</v>
      </c>
      <c r="B4" s="11">
        <v>45671</v>
      </c>
      <c r="C4" t="str">
        <v>Furniture</v>
      </c>
      <c r="D4" t="str">
        <v>Bed Frame</v>
      </c>
      <c r="E4">
        <v>1</v>
      </c>
      <c r="F4">
        <v>120000</v>
      </c>
      <c r="G4" t="str">
        <v>North</v>
      </c>
      <c r="H4" t="str">
        <v>Abiola Ogun</v>
      </c>
      <c r="I4" t="str">
        <v>Transfer</v>
      </c>
      <c r="J4">
        <v>15</v>
      </c>
    </row>
    <row r="5" spans="1:10" x14ac:dyDescent="0.25">
      <c r="A5">
        <v>3013</v>
      </c>
      <c r="B5" s="11">
        <v>45673</v>
      </c>
      <c r="C5" t="str">
        <v>Electronics</v>
      </c>
      <c r="D5" t="str">
        <v>Smartwatch</v>
      </c>
      <c r="E5">
        <v>2</v>
      </c>
      <c r="F5">
        <v>35000</v>
      </c>
      <c r="G5" t="str">
        <v>North</v>
      </c>
      <c r="H5" t="str">
        <v>Abiola Ogun</v>
      </c>
      <c r="I5" t="str">
        <v>Card</v>
      </c>
      <c r="J5">
        <v>0</v>
      </c>
    </row>
    <row r="6" spans="1:10" x14ac:dyDescent="0.25">
      <c r="A6">
        <v>3017</v>
      </c>
      <c r="B6" s="11">
        <v>45675</v>
      </c>
      <c r="C6" t="str">
        <v>Clothing</v>
      </c>
      <c r="D6" t="str">
        <v>Dress</v>
      </c>
      <c r="E6">
        <v>3</v>
      </c>
      <c r="F6">
        <v>22000</v>
      </c>
      <c r="G6" t="str">
        <v>North</v>
      </c>
      <c r="H6" t="str">
        <v>Abiola Ogun</v>
      </c>
      <c r="I6" t="str">
        <v>Cash</v>
      </c>
      <c r="J6">
        <v>0</v>
      </c>
    </row>
    <row r="7" spans="1:10" x14ac:dyDescent="0.25">
      <c r="A7">
        <v>3021</v>
      </c>
      <c r="B7" s="11">
        <v>45677</v>
      </c>
      <c r="C7" t="str">
        <v>Furniture</v>
      </c>
      <c r="D7" t="str">
        <v>Sofa Set</v>
      </c>
      <c r="E7">
        <v>1</v>
      </c>
      <c r="F7">
        <v>250000</v>
      </c>
      <c r="G7" t="str">
        <v>North</v>
      </c>
      <c r="H7" t="str">
        <v>Abiola Ogun</v>
      </c>
      <c r="I7" t="str">
        <v>Transfer</v>
      </c>
      <c r="J7">
        <v>0</v>
      </c>
    </row>
    <row r="8" spans="1:10" x14ac:dyDescent="0.25">
      <c r="A8">
        <v>3025</v>
      </c>
      <c r="B8" s="11">
        <v>45679</v>
      </c>
      <c r="C8" t="str">
        <v>Electronics</v>
      </c>
      <c r="D8" t="str">
        <v>Printer</v>
      </c>
      <c r="E8">
        <v>1</v>
      </c>
      <c r="F8">
        <v>65000</v>
      </c>
      <c r="G8" t="str">
        <v>North</v>
      </c>
      <c r="H8" t="str">
        <v>Abiola Ogun</v>
      </c>
      <c r="I8" t="str">
        <v>Card</v>
      </c>
      <c r="J8">
        <v>0</v>
      </c>
    </row>
    <row r="9" spans="1:10" x14ac:dyDescent="0.25">
      <c r="A9">
        <v>3029</v>
      </c>
      <c r="B9" s="11">
        <v>45681</v>
      </c>
      <c r="C9" t="str">
        <v>Clothing</v>
      </c>
      <c r="D9" t="str">
        <v>Skirt</v>
      </c>
      <c r="E9">
        <v>4</v>
      </c>
      <c r="F9">
        <v>12000</v>
      </c>
      <c r="G9" t="str">
        <v>North</v>
      </c>
      <c r="H9" t="str">
        <v>Abiola Ogun</v>
      </c>
      <c r="I9" t="str">
        <v>Cash</v>
      </c>
      <c r="J9">
        <v>5</v>
      </c>
    </row>
    <row r="10" spans="1:10" x14ac:dyDescent="0.25">
      <c r="A10">
        <v>3033</v>
      </c>
      <c r="B10" s="11">
        <v>45683</v>
      </c>
      <c r="C10" t="str">
        <v>Furniture</v>
      </c>
      <c r="D10" t="str">
        <v>Shoe Rack</v>
      </c>
      <c r="E10">
        <v>2</v>
      </c>
      <c r="F10">
        <v>15000</v>
      </c>
      <c r="G10" t="str">
        <v>North</v>
      </c>
      <c r="H10" t="str">
        <v>Abiola Ogun</v>
      </c>
      <c r="I10" t="str">
        <v>Transfer</v>
      </c>
      <c r="J10">
        <v>0</v>
      </c>
    </row>
    <row r="11" spans="1:10" x14ac:dyDescent="0.25">
      <c r="A11">
        <v>3037</v>
      </c>
      <c r="B11" s="11">
        <v>45685</v>
      </c>
      <c r="C11" t="str">
        <v>Electronics</v>
      </c>
      <c r="D11" t="str">
        <v>USBCable</v>
      </c>
      <c r="E11">
        <v>15</v>
      </c>
      <c r="F11">
        <v>2000</v>
      </c>
      <c r="G11" t="str">
        <v>North</v>
      </c>
      <c r="H11" t="str">
        <v>Abiola Ogun</v>
      </c>
      <c r="I11" t="str">
        <v>Card</v>
      </c>
      <c r="J11">
        <v>10</v>
      </c>
    </row>
    <row r="12" spans="1:10" x14ac:dyDescent="0.25">
      <c r="A12">
        <v>3041</v>
      </c>
      <c r="B12" s="11">
        <v>45687</v>
      </c>
      <c r="C12" t="str">
        <v>Clothing</v>
      </c>
      <c r="D12" t="str">
        <v>Scarf</v>
      </c>
      <c r="E12">
        <v>7</v>
      </c>
      <c r="F12">
        <v>3000</v>
      </c>
      <c r="G12" t="str">
        <v>North</v>
      </c>
      <c r="H12" t="str">
        <v>Abiola Ogun</v>
      </c>
      <c r="I12" t="str">
        <v>Cash</v>
      </c>
      <c r="J12">
        <v>0</v>
      </c>
    </row>
    <row r="13" spans="1:10" x14ac:dyDescent="0.25">
      <c r="A13">
        <v>3045</v>
      </c>
      <c r="B13" s="11">
        <v>45689</v>
      </c>
      <c r="C13" t="str">
        <v>Furniture</v>
      </c>
      <c r="D13" t="str">
        <v>MagazineRack</v>
      </c>
      <c r="E13">
        <v>2</v>
      </c>
      <c r="F13">
        <v>10000</v>
      </c>
      <c r="G13" t="str">
        <v>North</v>
      </c>
      <c r="H13" t="str">
        <v>Abiola Ogun</v>
      </c>
      <c r="I13" t="str">
        <v>Transfer</v>
      </c>
      <c r="J13">
        <v>5</v>
      </c>
    </row>
    <row r="14" spans="1:10" x14ac:dyDescent="0.25">
      <c r="A14">
        <v>3049</v>
      </c>
      <c r="B14" s="11">
        <v>45691</v>
      </c>
      <c r="C14" t="str">
        <v>Electronics</v>
      </c>
      <c r="D14" t="str">
        <v>Microphone</v>
      </c>
      <c r="E14">
        <v>2</v>
      </c>
      <c r="F14">
        <v>20000</v>
      </c>
      <c r="G14" t="str">
        <v>North</v>
      </c>
      <c r="H14" t="str">
        <v>Abiola Ogun</v>
      </c>
      <c r="I14" t="str">
        <v>Card</v>
      </c>
      <c r="J14">
        <v>0</v>
      </c>
    </row>
    <row r="15" spans="1:10" x14ac:dyDescent="0.25">
      <c r="A15">
        <v>3053</v>
      </c>
      <c r="B15" s="11">
        <v>45693</v>
      </c>
      <c r="C15" t="str">
        <v>Clothing</v>
      </c>
      <c r="D15" t="str">
        <v>Bracelet</v>
      </c>
      <c r="E15">
        <v>8</v>
      </c>
      <c r="F15">
        <v>5000</v>
      </c>
      <c r="G15" t="str">
        <v>North</v>
      </c>
      <c r="H15" t="str">
        <v>Abiola Ogun</v>
      </c>
      <c r="I15" t="str">
        <v>Cash</v>
      </c>
      <c r="J15">
        <v>10</v>
      </c>
    </row>
    <row r="16" spans="1:10" x14ac:dyDescent="0.25">
      <c r="A16">
        <v>3057</v>
      </c>
      <c r="B16" s="11">
        <v>45695</v>
      </c>
      <c r="C16" t="str">
        <v>Furniture</v>
      </c>
      <c r="D16" t="str">
        <v>PlantStand</v>
      </c>
      <c r="E16">
        <v>3</v>
      </c>
      <c r="F16">
        <v>8000</v>
      </c>
      <c r="G16" t="str">
        <v>North</v>
      </c>
      <c r="H16" t="str">
        <v>Abiola Ogun</v>
      </c>
      <c r="I16" t="str">
        <v>Transfer</v>
      </c>
      <c r="J16">
        <v>0</v>
      </c>
    </row>
    <row r="17" spans="1:10" x14ac:dyDescent="0.25">
      <c r="A17">
        <v>3061</v>
      </c>
      <c r="B17" s="11">
        <v>45697</v>
      </c>
      <c r="C17" t="str">
        <v>Electronics</v>
      </c>
      <c r="D17" t="str">
        <v>SmartLight</v>
      </c>
      <c r="E17">
        <v>5</v>
      </c>
      <c r="F17">
        <v>8000</v>
      </c>
      <c r="G17" t="str">
        <v>North</v>
      </c>
      <c r="H17" t="str">
        <v>Abiola Ogun</v>
      </c>
      <c r="I17" t="str">
        <v>Card</v>
      </c>
      <c r="J17">
        <v>10</v>
      </c>
    </row>
    <row r="18" spans="1:10" x14ac:dyDescent="0.25">
      <c r="A18">
        <v>3065</v>
      </c>
      <c r="B18" s="11">
        <v>45699</v>
      </c>
      <c r="C18" t="str">
        <v>Clothing</v>
      </c>
      <c r="D18" t="str">
        <v>Handbag</v>
      </c>
      <c r="E18">
        <v>1</v>
      </c>
      <c r="F18">
        <v>35000</v>
      </c>
      <c r="G18" t="str">
        <v>North</v>
      </c>
      <c r="H18" t="str">
        <v>Abiola Ogun</v>
      </c>
      <c r="I18" t="str">
        <v>Cash</v>
      </c>
      <c r="J18">
        <v>0</v>
      </c>
    </row>
    <row r="19" spans="1:10" x14ac:dyDescent="0.25">
      <c r="A19">
        <v>3069</v>
      </c>
      <c r="B19" s="11">
        <v>45701</v>
      </c>
      <c r="C19" t="str">
        <v>Furniture</v>
      </c>
      <c r="D19" t="str">
        <v>LaundryBasket</v>
      </c>
      <c r="E19">
        <v>3</v>
      </c>
      <c r="F19">
        <v>8000</v>
      </c>
      <c r="G19" t="str">
        <v>North</v>
      </c>
      <c r="H19" t="str">
        <v>Abiola Ogun</v>
      </c>
      <c r="I19" t="str">
        <v>Transfer</v>
      </c>
      <c r="J19">
        <v>0</v>
      </c>
    </row>
    <row r="20" spans="1:10" x14ac:dyDescent="0.25">
      <c r="A20">
        <v>3073</v>
      </c>
      <c r="B20" s="11">
        <v>45703</v>
      </c>
      <c r="C20" t="str">
        <v>Electronics</v>
      </c>
      <c r="D20" t="str">
        <v>VRHeadset</v>
      </c>
      <c r="E20">
        <v>1</v>
      </c>
      <c r="F20">
        <v>150000</v>
      </c>
      <c r="G20" t="str">
        <v>North</v>
      </c>
      <c r="H20" t="str">
        <v>Abiola Ogun</v>
      </c>
      <c r="I20" t="str">
        <v>Card</v>
      </c>
      <c r="J20">
        <v>0</v>
      </c>
    </row>
    <row r="21" spans="1:10" x14ac:dyDescent="0.25">
      <c r="A21">
        <v>3077</v>
      </c>
      <c r="B21" s="11">
        <v>45705</v>
      </c>
      <c r="C21" t="str">
        <v>Clothing</v>
      </c>
      <c r="D21" t="str">
        <v>Sandals</v>
      </c>
      <c r="E21">
        <v>3</v>
      </c>
      <c r="F21">
        <v>12000</v>
      </c>
      <c r="G21" t="str">
        <v>North</v>
      </c>
      <c r="H21" t="str">
        <v>Abiola Ogun</v>
      </c>
      <c r="I21" t="str">
        <v>Cash</v>
      </c>
      <c r="J21">
        <v>5</v>
      </c>
    </row>
    <row r="22" spans="1:10" x14ac:dyDescent="0.25">
      <c r="A22">
        <v>3081</v>
      </c>
      <c r="B22" s="11">
        <v>45707</v>
      </c>
      <c r="C22" t="str">
        <v>Furniture</v>
      </c>
      <c r="D22" t="str">
        <v>WallShelf</v>
      </c>
      <c r="E22">
        <v>3</v>
      </c>
      <c r="F22">
        <v>12000</v>
      </c>
      <c r="G22" t="str">
        <v>North</v>
      </c>
      <c r="H22" t="str">
        <v>Abiola Ogun</v>
      </c>
      <c r="I22" t="str">
        <v>Transfer</v>
      </c>
      <c r="J22">
        <v>0</v>
      </c>
    </row>
    <row r="23" spans="1:10" x14ac:dyDescent="0.25">
      <c r="A23">
        <v>3085</v>
      </c>
      <c r="B23" s="11">
        <v>45709</v>
      </c>
      <c r="C23" t="str">
        <v>Electronics</v>
      </c>
      <c r="D23" t="str">
        <v>DockingStation</v>
      </c>
      <c r="E23">
        <v>1</v>
      </c>
      <c r="F23">
        <v>25000</v>
      </c>
      <c r="G23" t="str">
        <v>North</v>
      </c>
      <c r="H23" t="str">
        <v>Abiola Ogun</v>
      </c>
      <c r="I23" t="str">
        <v>Card</v>
      </c>
      <c r="J23">
        <v>0</v>
      </c>
    </row>
    <row r="24" spans="1:10" x14ac:dyDescent="0.25">
      <c r="A24">
        <v>3089</v>
      </c>
      <c r="B24" s="11">
        <v>45711</v>
      </c>
      <c r="C24" t="str">
        <v>Clothing</v>
      </c>
      <c r="D24" t="str">
        <v>Necktie</v>
      </c>
      <c r="E24">
        <v>6</v>
      </c>
      <c r="F24">
        <v>5000</v>
      </c>
      <c r="G24" t="str">
        <v>North</v>
      </c>
      <c r="H24" t="str">
        <v>Abiola Ogun</v>
      </c>
      <c r="I24" t="str">
        <v>Cash</v>
      </c>
      <c r="J24">
        <v>0</v>
      </c>
    </row>
    <row r="25" spans="1:10" x14ac:dyDescent="0.25">
      <c r="A25">
        <v>3093</v>
      </c>
      <c r="B25" s="11">
        <v>45713</v>
      </c>
      <c r="C25" t="str">
        <v>Furniture</v>
      </c>
      <c r="D25" t="str">
        <v>VanityStool</v>
      </c>
      <c r="E25">
        <v>2</v>
      </c>
      <c r="F25">
        <v>18000</v>
      </c>
      <c r="G25" t="str">
        <v>North</v>
      </c>
      <c r="H25" t="str">
        <v>Abiola Ogun</v>
      </c>
      <c r="I25" t="str">
        <v>Transfer</v>
      </c>
      <c r="J25">
        <v>0</v>
      </c>
    </row>
    <row r="26" spans="1:10" x14ac:dyDescent="0.25">
      <c r="A26">
        <v>3097</v>
      </c>
      <c r="B26" s="11">
        <v>45715</v>
      </c>
      <c r="C26" t="str">
        <v>Electronics</v>
      </c>
      <c r="D26" t="str">
        <v>CableOrganizer</v>
      </c>
      <c r="E26">
        <v>6</v>
      </c>
      <c r="F26">
        <v>3000</v>
      </c>
      <c r="G26" t="str">
        <v>North</v>
      </c>
      <c r="H26" t="str">
        <v>Abiola Ogun</v>
      </c>
      <c r="I26" t="str">
        <v>Card</v>
      </c>
      <c r="J26">
        <v>0</v>
      </c>
    </row>
    <row r="27" spans="1:10" x14ac:dyDescent="0.25">
      <c r="A27">
        <v>3101</v>
      </c>
      <c r="B27" s="11">
        <v>45669</v>
      </c>
      <c r="C27" t="str">
        <v>Electronics</v>
      </c>
      <c r="D27" t="str">
        <v>BluetoothSpeaker</v>
      </c>
      <c r="E27">
        <v>3</v>
      </c>
      <c r="F27">
        <v>35000</v>
      </c>
      <c r="G27" t="str">
        <v>North</v>
      </c>
      <c r="H27" t="str">
        <v>Abiola Ogun</v>
      </c>
      <c r="I27" t="str">
        <v>Card</v>
      </c>
      <c r="J27">
        <v>10</v>
      </c>
    </row>
    <row r="28" spans="1:10" x14ac:dyDescent="0.25">
      <c r="A28">
        <v>3105</v>
      </c>
      <c r="B28" s="11">
        <v>45673</v>
      </c>
      <c r="C28" t="str">
        <v>Clothing</v>
      </c>
      <c r="D28" t="str">
        <v>Hoodie</v>
      </c>
      <c r="E28">
        <v>3</v>
      </c>
      <c r="F28">
        <v>22000</v>
      </c>
      <c r="G28" t="str">
        <v>North</v>
      </c>
      <c r="H28" t="str">
        <v>Abiola Ogun</v>
      </c>
      <c r="I28" t="str">
        <v>Cash</v>
      </c>
      <c r="J28">
        <v>0</v>
      </c>
    </row>
    <row r="29" spans="1:10" x14ac:dyDescent="0.25">
      <c r="A29">
        <v>3109</v>
      </c>
      <c r="B29" s="11">
        <v>45677</v>
      </c>
      <c r="C29" t="str">
        <v>Furniture</v>
      </c>
      <c r="D29" t="str">
        <v>Bookcase</v>
      </c>
      <c r="E29">
        <v>2</v>
      </c>
      <c r="F29">
        <v>55000</v>
      </c>
      <c r="G29" t="str">
        <v>North</v>
      </c>
      <c r="H29" t="str">
        <v>Abiola Ogun</v>
      </c>
      <c r="I29" t="str">
        <v>Transfer</v>
      </c>
      <c r="J29">
        <v>0</v>
      </c>
    </row>
    <row r="30" spans="1:10" x14ac:dyDescent="0.25">
      <c r="A30">
        <v>3113</v>
      </c>
      <c r="B30" s="11">
        <v>45681</v>
      </c>
      <c r="C30" t="str">
        <v>Electronics</v>
      </c>
      <c r="D30" t="str">
        <v>GamingMouse</v>
      </c>
      <c r="E30">
        <v>3</v>
      </c>
      <c r="F30">
        <v>25000</v>
      </c>
      <c r="G30" t="str">
        <v>North</v>
      </c>
      <c r="H30" t="str">
        <v>Abiola Ogun</v>
      </c>
      <c r="I30" t="str">
        <v>Card</v>
      </c>
      <c r="J30">
        <v>5</v>
      </c>
    </row>
    <row r="31" spans="1:10" x14ac:dyDescent="0.25">
      <c r="A31">
        <v>3117</v>
      </c>
      <c r="B31" s="11">
        <v>45685</v>
      </c>
      <c r="C31" t="str">
        <v>Clothing</v>
      </c>
      <c r="D31" t="str">
        <v>Tracksuit</v>
      </c>
      <c r="E31">
        <v>3</v>
      </c>
      <c r="F31">
        <v>20000</v>
      </c>
      <c r="G31" t="str">
        <v>North</v>
      </c>
      <c r="H31" t="str">
        <v>Abiola Ogun</v>
      </c>
      <c r="I31" t="str">
        <v>Cash</v>
      </c>
      <c r="J31">
        <v>0</v>
      </c>
    </row>
    <row r="32" spans="1:10" x14ac:dyDescent="0.25">
      <c r="A32">
        <v>3121</v>
      </c>
      <c r="B32" s="11">
        <v>45689</v>
      </c>
      <c r="C32" t="str">
        <v>Furniture</v>
      </c>
      <c r="D32" t="str">
        <v>WallMirror</v>
      </c>
      <c r="E32">
        <v>2</v>
      </c>
      <c r="F32">
        <v>18000</v>
      </c>
      <c r="G32" t="str">
        <v>North</v>
      </c>
      <c r="H32" t="str">
        <v>Abiola Ogun</v>
      </c>
      <c r="I32" t="str">
        <v>Transfer</v>
      </c>
      <c r="J32">
        <v>5</v>
      </c>
    </row>
    <row r="33" spans="1:10" x14ac:dyDescent="0.25">
      <c r="A33">
        <v>3125</v>
      </c>
      <c r="B33" s="11">
        <v>45693</v>
      </c>
      <c r="C33" t="str">
        <v>Electronics</v>
      </c>
      <c r="D33" t="str">
        <v>USBFan</v>
      </c>
      <c r="E33">
        <v>7</v>
      </c>
      <c r="F33">
        <v>3000</v>
      </c>
      <c r="G33" t="str">
        <v>North</v>
      </c>
      <c r="H33" t="str">
        <v>Abiola Ogun</v>
      </c>
      <c r="I33" t="str">
        <v>Card</v>
      </c>
      <c r="J33">
        <v>0</v>
      </c>
    </row>
    <row r="34" spans="1:10" x14ac:dyDescent="0.25">
      <c r="A34">
        <v>3129</v>
      </c>
      <c r="B34" s="11">
        <v>45697</v>
      </c>
      <c r="C34" t="str">
        <v>Clothing</v>
      </c>
      <c r="D34" t="str">
        <v>Sweatpants</v>
      </c>
      <c r="E34">
        <v>4</v>
      </c>
      <c r="F34">
        <v>12000</v>
      </c>
      <c r="G34" t="str">
        <v>North</v>
      </c>
      <c r="H34" t="str">
        <v>Abiola Ogun</v>
      </c>
      <c r="I34" t="str">
        <v>Cash</v>
      </c>
      <c r="J34">
        <v>5</v>
      </c>
    </row>
    <row r="35" spans="1:10" x14ac:dyDescent="0.25">
      <c r="A35">
        <v>3133</v>
      </c>
      <c r="B35" s="11">
        <v>45701</v>
      </c>
      <c r="C35" t="str">
        <v>Furniture</v>
      </c>
      <c r="D35" t="str">
        <v>MagazineHolder</v>
      </c>
      <c r="E35">
        <v>5</v>
      </c>
      <c r="F35">
        <v>7000</v>
      </c>
      <c r="G35" t="str">
        <v>North</v>
      </c>
      <c r="H35" t="str">
        <v>Abiola Ogun</v>
      </c>
      <c r="I35" t="str">
        <v>Transfer</v>
      </c>
      <c r="J35">
        <v>0</v>
      </c>
    </row>
    <row r="36" spans="1:10" x14ac:dyDescent="0.25">
      <c r="A36">
        <v>3137</v>
      </c>
      <c r="B36" s="11">
        <v>45705</v>
      </c>
      <c r="C36" t="str">
        <v>Electronics</v>
      </c>
      <c r="D36" t="str">
        <v>SmartSpeaker</v>
      </c>
      <c r="E36">
        <v>2</v>
      </c>
      <c r="F36">
        <v>45000</v>
      </c>
      <c r="G36" t="str">
        <v>North</v>
      </c>
      <c r="H36" t="str">
        <v>Abiola Ogun</v>
      </c>
      <c r="I36" t="str">
        <v>Card</v>
      </c>
      <c r="J36">
        <v>10</v>
      </c>
    </row>
    <row r="37" spans="1:10" x14ac:dyDescent="0.25">
      <c r="A37">
        <v>3141</v>
      </c>
      <c r="B37" s="11">
        <v>45709</v>
      </c>
      <c r="C37" t="str">
        <v>Clothing</v>
      </c>
      <c r="D37" t="str">
        <v>DenimSkirt</v>
      </c>
      <c r="E37">
        <v>3</v>
      </c>
      <c r="F37">
        <v>15000</v>
      </c>
      <c r="G37" t="str">
        <v>North</v>
      </c>
      <c r="H37" t="str">
        <v>Abiola Ogun</v>
      </c>
      <c r="I37" t="str">
        <v>Cash</v>
      </c>
      <c r="J37">
        <v>0</v>
      </c>
    </row>
    <row r="38" spans="1:10" x14ac:dyDescent="0.25">
      <c r="A38">
        <v>3145</v>
      </c>
      <c r="B38" s="11">
        <v>45713</v>
      </c>
      <c r="C38" t="str">
        <v>Furniture</v>
      </c>
      <c r="D38" t="str">
        <v>LetterTray</v>
      </c>
      <c r="E38">
        <v>5</v>
      </c>
      <c r="F38">
        <v>4000</v>
      </c>
      <c r="G38" t="str">
        <v>North</v>
      </c>
      <c r="H38" t="str">
        <v>Abiola Ogun</v>
      </c>
      <c r="I38" t="str">
        <v>Transfer</v>
      </c>
      <c r="J38">
        <v>10</v>
      </c>
    </row>
    <row r="39" spans="1:10" x14ac:dyDescent="0.25">
      <c r="A39">
        <v>3149</v>
      </c>
      <c r="B39" s="11">
        <v>45717</v>
      </c>
      <c r="C39" t="str">
        <v>Electronics</v>
      </c>
      <c r="D39" t="str">
        <v>TabletStand</v>
      </c>
      <c r="E39">
        <v>5</v>
      </c>
      <c r="F39">
        <v>7000</v>
      </c>
      <c r="G39" t="str">
        <v>North</v>
      </c>
      <c r="H39" t="str">
        <v>Abiola Ogun</v>
      </c>
      <c r="I39" t="str">
        <v>Card</v>
      </c>
      <c r="J39">
        <v>0</v>
      </c>
    </row>
    <row r="40" spans="1:10" x14ac:dyDescent="0.25">
      <c r="A40">
        <v>3153</v>
      </c>
      <c r="B40" s="11">
        <v>45670</v>
      </c>
      <c r="C40" t="str">
        <v>Clothing</v>
      </c>
      <c r="D40" t="str">
        <v>SportsBra</v>
      </c>
      <c r="E40">
        <v>5</v>
      </c>
      <c r="F40">
        <v>7000</v>
      </c>
      <c r="G40" t="str">
        <v>North</v>
      </c>
      <c r="H40" t="str">
        <v>Abiola Ogun</v>
      </c>
      <c r="I40" t="str">
        <v>Cash</v>
      </c>
      <c r="J40">
        <v>5</v>
      </c>
    </row>
    <row r="41" spans="1:10" x14ac:dyDescent="0.25">
      <c r="A41">
        <v>3157</v>
      </c>
      <c r="B41" s="11">
        <v>45674</v>
      </c>
      <c r="C41" t="str">
        <v>Furniture</v>
      </c>
      <c r="D41" t="str">
        <v>Cushion</v>
      </c>
      <c r="E41">
        <v>6</v>
      </c>
      <c r="F41">
        <v>6000</v>
      </c>
      <c r="G41" t="str">
        <v>North</v>
      </c>
      <c r="H41" t="str">
        <v>Abiola Ogun</v>
      </c>
      <c r="I41" t="str">
        <v>Transfer</v>
      </c>
      <c r="J41">
        <v>0</v>
      </c>
    </row>
    <row r="42" spans="1:10" x14ac:dyDescent="0.25">
      <c r="A42">
        <v>3161</v>
      </c>
      <c r="B42" s="11">
        <v>45678</v>
      </c>
      <c r="C42" t="str">
        <v>Electronics</v>
      </c>
      <c r="D42" t="str">
        <v>CarCharger</v>
      </c>
      <c r="E42">
        <v>5</v>
      </c>
      <c r="F42">
        <v>8000</v>
      </c>
      <c r="G42" t="str">
        <v>North</v>
      </c>
      <c r="H42" t="str">
        <v>Abiola Ogun</v>
      </c>
      <c r="I42" t="str">
        <v>Card</v>
      </c>
      <c r="J42">
        <v>5</v>
      </c>
    </row>
    <row r="43" spans="1:10" x14ac:dyDescent="0.25">
      <c r="A43">
        <v>3165</v>
      </c>
      <c r="B43" s="11">
        <v>45682</v>
      </c>
      <c r="C43" t="str">
        <v>Clothing</v>
      </c>
      <c r="D43" t="str">
        <v>Shawl</v>
      </c>
      <c r="E43">
        <v>4</v>
      </c>
      <c r="F43">
        <v>8000</v>
      </c>
      <c r="G43" t="str">
        <v>North</v>
      </c>
      <c r="H43" t="str">
        <v>Abiola Ogun</v>
      </c>
      <c r="I43" t="str">
        <v>Cash</v>
      </c>
      <c r="J43">
        <v>0</v>
      </c>
    </row>
    <row r="44" spans="1:10" x14ac:dyDescent="0.25">
      <c r="A44">
        <v>3169</v>
      </c>
      <c r="B44" s="11">
        <v>45686</v>
      </c>
      <c r="C44" t="str">
        <v>Furniture</v>
      </c>
      <c r="D44" t="str">
        <v>OverbedTable</v>
      </c>
      <c r="E44">
        <v>1</v>
      </c>
      <c r="F44">
        <v>25000</v>
      </c>
      <c r="G44" t="str">
        <v>North</v>
      </c>
      <c r="H44" t="str">
        <v>Abiola Ogun</v>
      </c>
      <c r="I44" t="str">
        <v>Transfer</v>
      </c>
      <c r="J44">
        <v>5</v>
      </c>
    </row>
    <row r="45" spans="1:10" x14ac:dyDescent="0.25">
      <c r="A45">
        <v>3173</v>
      </c>
      <c r="B45" s="11">
        <v>45690</v>
      </c>
      <c r="C45" t="str">
        <v>Electronics</v>
      </c>
      <c r="D45" t="str">
        <v>VoltageRegulator</v>
      </c>
      <c r="E45">
        <v>2</v>
      </c>
      <c r="F45">
        <v>25000</v>
      </c>
      <c r="G45" t="str">
        <v>North</v>
      </c>
      <c r="H45" t="str">
        <v>Abiola Ogun</v>
      </c>
      <c r="I45" t="str">
        <v>Card</v>
      </c>
      <c r="J45">
        <v>0</v>
      </c>
    </row>
    <row r="46" spans="1:10" x14ac:dyDescent="0.25">
      <c r="A46">
        <v>3177</v>
      </c>
      <c r="B46" s="11">
        <v>45694</v>
      </c>
      <c r="C46" t="str">
        <v>Clothing</v>
      </c>
      <c r="D46" t="str">
        <v>AnkleSocks</v>
      </c>
      <c r="E46">
        <v>8</v>
      </c>
      <c r="F46">
        <v>2000</v>
      </c>
      <c r="G46" t="str">
        <v>North</v>
      </c>
      <c r="H46" t="str">
        <v>Abiola Ogun</v>
      </c>
      <c r="I46" t="str">
        <v>Cash</v>
      </c>
      <c r="J46">
        <v>5</v>
      </c>
    </row>
    <row r="47" spans="1:10" x14ac:dyDescent="0.25">
      <c r="A47">
        <v>3181</v>
      </c>
      <c r="B47" s="11">
        <v>45698</v>
      </c>
      <c r="C47" t="str">
        <v>Furniture</v>
      </c>
      <c r="D47" t="str">
        <v>TrashCan</v>
      </c>
      <c r="E47">
        <v>3</v>
      </c>
      <c r="F47">
        <v>8000</v>
      </c>
      <c r="G47" t="str">
        <v>North</v>
      </c>
      <c r="H47" t="str">
        <v>Abiola Ogun</v>
      </c>
      <c r="I47" t="str">
        <v>Transfer</v>
      </c>
      <c r="J47">
        <v>0</v>
      </c>
    </row>
    <row r="48" spans="1:10" x14ac:dyDescent="0.25">
      <c r="A48">
        <v>3185</v>
      </c>
      <c r="B48" s="11">
        <v>45702</v>
      </c>
      <c r="C48" t="str">
        <v>Electronics</v>
      </c>
      <c r="D48" t="str">
        <v>AntivirusUSB</v>
      </c>
      <c r="E48">
        <v>2</v>
      </c>
      <c r="F48">
        <v>15000</v>
      </c>
      <c r="G48" t="str">
        <v>North</v>
      </c>
      <c r="H48" t="str">
        <v>Abiola Ogun</v>
      </c>
      <c r="I48" t="str">
        <v>Card</v>
      </c>
      <c r="J48">
        <v>5</v>
      </c>
    </row>
    <row r="49" spans="1:10" x14ac:dyDescent="0.25">
      <c r="A49">
        <v>3189</v>
      </c>
      <c r="B49" s="11">
        <v>45706</v>
      </c>
      <c r="C49" t="str">
        <v>Clothing</v>
      </c>
      <c r="D49" t="str">
        <v>FannyPack</v>
      </c>
      <c r="E49">
        <v>4</v>
      </c>
      <c r="F49">
        <v>8000</v>
      </c>
      <c r="G49" t="str">
        <v>North</v>
      </c>
      <c r="H49" t="str">
        <v>Abiola Ogun</v>
      </c>
      <c r="I49" t="str">
        <v>Cash</v>
      </c>
      <c r="J49">
        <v>0</v>
      </c>
    </row>
    <row r="50" spans="1:10" x14ac:dyDescent="0.25">
      <c r="A50">
        <v>3193</v>
      </c>
      <c r="B50" s="11">
        <v>45710</v>
      </c>
      <c r="C50" t="str">
        <v>Furniture</v>
      </c>
      <c r="D50" t="str">
        <v>CoatHook</v>
      </c>
      <c r="E50">
        <v>9</v>
      </c>
      <c r="F50">
        <v>3000</v>
      </c>
      <c r="G50" t="str">
        <v>North</v>
      </c>
      <c r="H50" t="str">
        <v>Abiola Ogun</v>
      </c>
      <c r="I50" t="str">
        <v>Transfer</v>
      </c>
      <c r="J50">
        <v>5</v>
      </c>
    </row>
    <row r="51" spans="1:10" x14ac:dyDescent="0.25">
      <c r="A51">
        <v>3197</v>
      </c>
      <c r="B51" s="11">
        <v>45714</v>
      </c>
      <c r="C51" t="str">
        <v>Electronics</v>
      </c>
      <c r="D51" t="str">
        <v>Kettle</v>
      </c>
      <c r="E51">
        <v>2</v>
      </c>
      <c r="F51">
        <v>15000</v>
      </c>
      <c r="G51" t="str">
        <v>North</v>
      </c>
      <c r="H51" t="str">
        <v>Abiola Ogun</v>
      </c>
      <c r="I51" t="str">
        <v>Card</v>
      </c>
      <c r="J51">
        <v>0</v>
      </c>
    </row>
    <row r="52" spans="1:10" x14ac:dyDescent="0.25">
      <c r="A52">
        <v>3201</v>
      </c>
      <c r="B52" s="11">
        <v>45672</v>
      </c>
      <c r="C52" t="str">
        <v>Electronics</v>
      </c>
      <c r="D52" t="str">
        <v>GamingConsole</v>
      </c>
      <c r="E52">
        <v>1</v>
      </c>
      <c r="F52">
        <v>350000</v>
      </c>
      <c r="G52" t="str">
        <v>North</v>
      </c>
      <c r="H52" t="str">
        <v>Abiola Ogun</v>
      </c>
      <c r="I52" t="str">
        <v>Card</v>
      </c>
      <c r="J52">
        <v>5</v>
      </c>
    </row>
    <row r="53" spans="1:10" x14ac:dyDescent="0.25">
      <c r="A53">
        <v>3205</v>
      </c>
      <c r="B53" s="11">
        <v>45676</v>
      </c>
      <c r="C53" t="str">
        <v>Clothing</v>
      </c>
      <c r="D53" t="str">
        <v>LeatherJacket</v>
      </c>
      <c r="E53">
        <v>1</v>
      </c>
      <c r="F53">
        <v>75000</v>
      </c>
      <c r="G53" t="str">
        <v>North</v>
      </c>
      <c r="H53" t="str">
        <v>Abiola Ogun</v>
      </c>
      <c r="I53" t="str">
        <v>Cash</v>
      </c>
      <c r="J53">
        <v>5</v>
      </c>
    </row>
    <row r="54" spans="1:10" x14ac:dyDescent="0.25">
      <c r="A54">
        <v>3209</v>
      </c>
      <c r="B54" s="11">
        <v>45680</v>
      </c>
      <c r="C54" t="str">
        <v>Furniture</v>
      </c>
      <c r="D54" t="str">
        <v>AdirondackChair</v>
      </c>
      <c r="E54">
        <v>2</v>
      </c>
      <c r="F54">
        <v>45000</v>
      </c>
      <c r="G54" t="str">
        <v>North</v>
      </c>
      <c r="H54" t="str">
        <v>Abiola Ogun</v>
      </c>
      <c r="I54" t="str">
        <v>Transfer</v>
      </c>
      <c r="J54">
        <v>0</v>
      </c>
    </row>
    <row r="55" spans="1:10" x14ac:dyDescent="0.25">
      <c r="A55">
        <v>3213</v>
      </c>
      <c r="B55" s="11">
        <v>45684</v>
      </c>
      <c r="C55" t="str">
        <v>Electronics</v>
      </c>
      <c r="D55" t="str">
        <v>LEDStrip</v>
      </c>
      <c r="E55">
        <v>3</v>
      </c>
      <c r="F55">
        <v>5000</v>
      </c>
      <c r="G55" t="str">
        <v>North</v>
      </c>
      <c r="H55" t="str">
        <v>Abiola Ogun</v>
      </c>
      <c r="I55" t="str">
        <v>Card</v>
      </c>
      <c r="J55">
        <v>5</v>
      </c>
    </row>
    <row r="56" spans="1:10" x14ac:dyDescent="0.25">
      <c r="A56">
        <v>3217</v>
      </c>
      <c r="B56" s="11">
        <v>45688</v>
      </c>
      <c r="C56" t="str">
        <v>Clothing</v>
      </c>
      <c r="D56" t="str">
        <v>Turtleneck</v>
      </c>
      <c r="E56">
        <v>3</v>
      </c>
      <c r="F56">
        <v>12000</v>
      </c>
      <c r="G56" t="str">
        <v>North</v>
      </c>
      <c r="H56" t="str">
        <v>Abiola Ogun</v>
      </c>
      <c r="I56" t="str">
        <v>Cash</v>
      </c>
      <c r="J56">
        <v>0</v>
      </c>
    </row>
    <row r="57" spans="1:10" x14ac:dyDescent="0.25">
      <c r="A57">
        <v>3221</v>
      </c>
      <c r="B57" s="11">
        <v>45692</v>
      </c>
      <c r="C57" t="str">
        <v>Furniture</v>
      </c>
      <c r="D57" t="str">
        <v>BistroTable</v>
      </c>
      <c r="E57">
        <v>2</v>
      </c>
      <c r="F57">
        <v>35000</v>
      </c>
      <c r="G57" t="str">
        <v>North</v>
      </c>
      <c r="H57" t="str">
        <v>Abiola Ogun</v>
      </c>
      <c r="I57" t="str">
        <v>Transfer</v>
      </c>
      <c r="J57">
        <v>5</v>
      </c>
    </row>
    <row r="58" spans="1:10" x14ac:dyDescent="0.25">
      <c r="A58">
        <v>3225</v>
      </c>
      <c r="B58" s="11">
        <v>45696</v>
      </c>
      <c r="C58" t="str">
        <v>Electronics</v>
      </c>
      <c r="D58" t="str">
        <v>RobotVacuum</v>
      </c>
      <c r="E58">
        <v>1</v>
      </c>
      <c r="F58">
        <v>120000</v>
      </c>
      <c r="G58" t="str">
        <v>North</v>
      </c>
      <c r="H58" t="str">
        <v>Abiola Ogun</v>
      </c>
      <c r="I58" t="str">
        <v>Card</v>
      </c>
      <c r="J58">
        <v>0</v>
      </c>
    </row>
    <row r="59" spans="1:10" x14ac:dyDescent="0.25">
      <c r="A59">
        <v>3229</v>
      </c>
      <c r="B59" s="11">
        <v>45700</v>
      </c>
      <c r="C59" t="str">
        <v>Clothing</v>
      </c>
      <c r="D59" t="str">
        <v>FlipFlops</v>
      </c>
      <c r="E59">
        <v>6</v>
      </c>
      <c r="F59">
        <v>5000</v>
      </c>
      <c r="G59" t="str">
        <v>North</v>
      </c>
      <c r="H59" t="str">
        <v>Abiola Ogun</v>
      </c>
      <c r="I59" t="str">
        <v>Cash</v>
      </c>
      <c r="J59">
        <v>5</v>
      </c>
    </row>
    <row r="60" spans="1:10" x14ac:dyDescent="0.25">
      <c r="A60">
        <v>3233</v>
      </c>
      <c r="B60" s="11">
        <v>45704</v>
      </c>
      <c r="C60" t="str">
        <v>Furniture</v>
      </c>
      <c r="D60" t="str">
        <v>WallClock</v>
      </c>
      <c r="E60">
        <v>4</v>
      </c>
      <c r="F60">
        <v>7000</v>
      </c>
      <c r="G60" t="str">
        <v>North</v>
      </c>
      <c r="H60" t="str">
        <v>Abiola Ogun</v>
      </c>
      <c r="I60" t="str">
        <v>Transfer</v>
      </c>
      <c r="J60">
        <v>0</v>
      </c>
    </row>
    <row r="61" spans="1:10" x14ac:dyDescent="0.25">
      <c r="A61">
        <v>3237</v>
      </c>
      <c r="B61" s="11">
        <v>45708</v>
      </c>
      <c r="C61" t="str">
        <v>Electronics</v>
      </c>
      <c r="D61" t="str">
        <v>NoiseMachine</v>
      </c>
      <c r="E61">
        <v>2</v>
      </c>
      <c r="F61">
        <v>25000</v>
      </c>
      <c r="G61" t="str">
        <v>North</v>
      </c>
      <c r="H61" t="str">
        <v>Abiola Ogun</v>
      </c>
      <c r="I61" t="str">
        <v>Card</v>
      </c>
      <c r="J61">
        <v>5</v>
      </c>
    </row>
    <row r="62" spans="1:10" x14ac:dyDescent="0.25">
      <c r="A62">
        <v>3241</v>
      </c>
      <c r="B62" s="11">
        <v>45712</v>
      </c>
      <c r="C62" t="str">
        <v>Clothing</v>
      </c>
      <c r="D62" t="str">
        <v>Suspenders</v>
      </c>
      <c r="E62">
        <v>5</v>
      </c>
      <c r="F62">
        <v>6000</v>
      </c>
      <c r="G62" t="str">
        <v>North</v>
      </c>
      <c r="H62" t="str">
        <v>Abiola Ogun</v>
      </c>
      <c r="I62" t="str">
        <v>Cash</v>
      </c>
      <c r="J62">
        <v>0</v>
      </c>
    </row>
    <row r="63" spans="1:10" x14ac:dyDescent="0.25">
      <c r="A63">
        <v>3245</v>
      </c>
      <c r="B63" s="11">
        <v>45716</v>
      </c>
      <c r="C63" t="str">
        <v>Furniture</v>
      </c>
      <c r="D63" t="str">
        <v>Trunk</v>
      </c>
      <c r="E63">
        <v>1</v>
      </c>
      <c r="F63">
        <v>55000</v>
      </c>
      <c r="G63" t="str">
        <v>North</v>
      </c>
      <c r="H63" t="str">
        <v>Abiola Ogun</v>
      </c>
      <c r="I63" t="str">
        <v>Transfer</v>
      </c>
      <c r="J63">
        <v>5</v>
      </c>
    </row>
    <row r="70" spans="1:10" x14ac:dyDescent="0.25">
      <c r="A70" s="9" t="s">
        <v>268</v>
      </c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25">
      <c r="A71" s="2" t="s">
        <v>0</v>
      </c>
      <c r="B71" s="10" t="s">
        <v>1</v>
      </c>
      <c r="C71" s="3" t="s">
        <v>2</v>
      </c>
      <c r="D71" s="3" t="s">
        <v>3</v>
      </c>
      <c r="E71" s="3" t="s">
        <v>4</v>
      </c>
      <c r="F71" s="6" t="s">
        <v>5</v>
      </c>
      <c r="G71" s="3" t="s">
        <v>6</v>
      </c>
      <c r="H71" s="3" t="s">
        <v>7</v>
      </c>
      <c r="I71" s="3" t="s">
        <v>8</v>
      </c>
      <c r="J71" s="4" t="s">
        <v>9</v>
      </c>
    </row>
    <row r="72" spans="1:10" x14ac:dyDescent="0.25">
      <c r="A72" cm="1">
        <f t="array" ref="A72:J233">_xlfn._xlws.FILTER(deepseek_csv_20260422_7f7afa[],deepseek_csv_20260422_7f7afa[ProductCategory]&lt;&gt;"Electronics")</f>
        <v>3002</v>
      </c>
      <c r="B72" s="11">
        <v>45667</v>
      </c>
      <c r="C72" t="str">
        <v>Clothing</v>
      </c>
      <c r="D72" t="str">
        <v>Jeans</v>
      </c>
      <c r="E72">
        <v>5</v>
      </c>
      <c r="F72">
        <v>15000</v>
      </c>
      <c r="G72" t="str">
        <v>South</v>
      </c>
      <c r="H72" t="str">
        <v>Chidi Nwosu</v>
      </c>
      <c r="I72" t="str">
        <v>Cash</v>
      </c>
      <c r="J72">
        <v>0</v>
      </c>
    </row>
    <row r="73" spans="1:10" x14ac:dyDescent="0.25">
      <c r="A73">
        <v>3003</v>
      </c>
      <c r="B73" s="11">
        <v>45668</v>
      </c>
      <c r="C73" t="str">
        <v>Furniture</v>
      </c>
      <c r="D73" t="str">
        <v>Office Chair</v>
      </c>
      <c r="E73">
        <v>2</v>
      </c>
      <c r="F73">
        <v>75000</v>
      </c>
      <c r="G73" t="str">
        <v>East</v>
      </c>
      <c r="H73" t="str">
        <v>Femi Adebayo</v>
      </c>
      <c r="I73" t="str">
        <v>Transfer</v>
      </c>
      <c r="J73">
        <v>10</v>
      </c>
    </row>
    <row r="74" spans="1:10" x14ac:dyDescent="0.25">
      <c r="A74">
        <v>3005</v>
      </c>
      <c r="B74" s="11">
        <v>45669</v>
      </c>
      <c r="C74" t="str">
        <v>Clothing</v>
      </c>
      <c r="D74" t="str">
        <v>TShirt</v>
      </c>
      <c r="E74">
        <v>8</v>
      </c>
      <c r="F74">
        <v>5000</v>
      </c>
      <c r="G74" t="str">
        <v>North</v>
      </c>
      <c r="H74" t="str">
        <v>Abiola Ogun</v>
      </c>
      <c r="I74" t="str">
        <v>Cash</v>
      </c>
      <c r="J74">
        <v>5</v>
      </c>
    </row>
    <row r="75" spans="1:10" x14ac:dyDescent="0.25">
      <c r="A75">
        <v>3006</v>
      </c>
      <c r="B75" s="11">
        <v>45669</v>
      </c>
      <c r="C75" t="str">
        <v>Furniture</v>
      </c>
      <c r="D75" t="str">
        <v>Dining Table</v>
      </c>
      <c r="E75">
        <v>1</v>
      </c>
      <c r="F75">
        <v>150000</v>
      </c>
      <c r="G75" t="str">
        <v>South</v>
      </c>
      <c r="H75" t="str">
        <v>Chidi Nwosu</v>
      </c>
      <c r="I75" t="str">
        <v>Transfer</v>
      </c>
      <c r="J75">
        <v>0</v>
      </c>
    </row>
    <row r="76" spans="1:10" x14ac:dyDescent="0.25">
      <c r="A76">
        <v>3008</v>
      </c>
      <c r="B76" s="11">
        <v>45670</v>
      </c>
      <c r="C76" t="str">
        <v>Clothing</v>
      </c>
      <c r="D76" t="str">
        <v>Jacket</v>
      </c>
      <c r="E76">
        <v>2</v>
      </c>
      <c r="F76">
        <v>35000</v>
      </c>
      <c r="G76" t="str">
        <v>West</v>
      </c>
      <c r="H76" t="str">
        <v>Tunde Bakare</v>
      </c>
      <c r="I76" t="str">
        <v>Cash</v>
      </c>
      <c r="J76">
        <v>0</v>
      </c>
    </row>
    <row r="77" spans="1:10" x14ac:dyDescent="0.25">
      <c r="A77">
        <v>3009</v>
      </c>
      <c r="B77" s="11">
        <v>45671</v>
      </c>
      <c r="C77" t="str">
        <v>Furniture</v>
      </c>
      <c r="D77" t="str">
        <v>Bed Frame</v>
      </c>
      <c r="E77">
        <v>1</v>
      </c>
      <c r="F77">
        <v>120000</v>
      </c>
      <c r="G77" t="str">
        <v>North</v>
      </c>
      <c r="H77" t="str">
        <v>Abiola Ogun</v>
      </c>
      <c r="I77" t="str">
        <v>Transfer</v>
      </c>
      <c r="J77">
        <v>15</v>
      </c>
    </row>
    <row r="78" spans="1:10" x14ac:dyDescent="0.25">
      <c r="A78">
        <v>3011</v>
      </c>
      <c r="B78" s="11">
        <v>45672</v>
      </c>
      <c r="C78" t="str">
        <v>Clothing</v>
      </c>
      <c r="D78" t="str">
        <v>Sneakers</v>
      </c>
      <c r="E78">
        <v>3</v>
      </c>
      <c r="F78">
        <v>25000</v>
      </c>
      <c r="G78" t="str">
        <v>East</v>
      </c>
      <c r="H78" t="str">
        <v>Femi Adebayo</v>
      </c>
      <c r="I78" t="str">
        <v>Cash</v>
      </c>
      <c r="J78">
        <v>0</v>
      </c>
    </row>
    <row r="79" spans="1:10" x14ac:dyDescent="0.25">
      <c r="A79">
        <v>3012</v>
      </c>
      <c r="B79" s="11">
        <v>45672</v>
      </c>
      <c r="C79" t="str">
        <v>Furniture</v>
      </c>
      <c r="D79" t="str">
        <v>Bookshelf</v>
      </c>
      <c r="E79">
        <v>2</v>
      </c>
      <c r="F79">
        <v>45000</v>
      </c>
      <c r="G79" t="str">
        <v>West</v>
      </c>
      <c r="H79" t="str">
        <v>Tunde Bakare</v>
      </c>
      <c r="I79" t="str">
        <v>Transfer</v>
      </c>
      <c r="J79">
        <v>0</v>
      </c>
    </row>
    <row r="80" spans="1:10" x14ac:dyDescent="0.25">
      <c r="A80">
        <v>3014</v>
      </c>
      <c r="B80" s="11">
        <v>45673</v>
      </c>
      <c r="C80" t="str">
        <v>Clothing</v>
      </c>
      <c r="D80" t="str">
        <v>Hat</v>
      </c>
      <c r="E80">
        <v>5</v>
      </c>
      <c r="F80">
        <v>8000</v>
      </c>
      <c r="G80" t="str">
        <v>South</v>
      </c>
      <c r="H80" t="str">
        <v>Chidi Nwosu</v>
      </c>
      <c r="I80" t="str">
        <v>Cash</v>
      </c>
      <c r="J80">
        <v>5</v>
      </c>
    </row>
    <row r="81" spans="1:10" x14ac:dyDescent="0.25">
      <c r="A81">
        <v>3015</v>
      </c>
      <c r="B81" s="11">
        <v>45674</v>
      </c>
      <c r="C81" t="str">
        <v>Furniture</v>
      </c>
      <c r="D81" t="str">
        <v>Office Desk</v>
      </c>
      <c r="E81">
        <v>1</v>
      </c>
      <c r="F81">
        <v>85000</v>
      </c>
      <c r="G81" t="str">
        <v>East</v>
      </c>
      <c r="H81" t="str">
        <v>Femi Adebayo</v>
      </c>
      <c r="I81" t="str">
        <v>Transfer</v>
      </c>
      <c r="J81">
        <v>0</v>
      </c>
    </row>
    <row r="82" spans="1:10" x14ac:dyDescent="0.25">
      <c r="A82">
        <v>3017</v>
      </c>
      <c r="B82" s="11">
        <v>45675</v>
      </c>
      <c r="C82" t="str">
        <v>Clothing</v>
      </c>
      <c r="D82" t="str">
        <v>Dress</v>
      </c>
      <c r="E82">
        <v>3</v>
      </c>
      <c r="F82">
        <v>22000</v>
      </c>
      <c r="G82" t="str">
        <v>North</v>
      </c>
      <c r="H82" t="str">
        <v>Abiola Ogun</v>
      </c>
      <c r="I82" t="str">
        <v>Cash</v>
      </c>
      <c r="J82">
        <v>0</v>
      </c>
    </row>
    <row r="83" spans="1:10" x14ac:dyDescent="0.25">
      <c r="A83">
        <v>3018</v>
      </c>
      <c r="B83" s="11">
        <v>45675</v>
      </c>
      <c r="C83" t="str">
        <v>Furniture</v>
      </c>
      <c r="D83" t="str">
        <v>Wardrobe</v>
      </c>
      <c r="E83">
        <v>1</v>
      </c>
      <c r="F83">
        <v>180000</v>
      </c>
      <c r="G83" t="str">
        <v>South</v>
      </c>
      <c r="H83" t="str">
        <v>Chidi Nwosu</v>
      </c>
      <c r="I83" t="str">
        <v>Transfer</v>
      </c>
      <c r="J83">
        <v>0</v>
      </c>
    </row>
    <row r="84" spans="1:10" x14ac:dyDescent="0.25">
      <c r="A84">
        <v>3020</v>
      </c>
      <c r="B84" s="11">
        <v>45676</v>
      </c>
      <c r="C84" t="str">
        <v>Clothing</v>
      </c>
      <c r="D84" t="str">
        <v>Shorts</v>
      </c>
      <c r="E84">
        <v>6</v>
      </c>
      <c r="F84">
        <v>7000</v>
      </c>
      <c r="G84" t="str">
        <v>West</v>
      </c>
      <c r="H84" t="str">
        <v>Tunde Bakare</v>
      </c>
      <c r="I84" t="str">
        <v>Cash</v>
      </c>
      <c r="J84">
        <v>0</v>
      </c>
    </row>
    <row r="85" spans="1:10" x14ac:dyDescent="0.25">
      <c r="A85">
        <v>3021</v>
      </c>
      <c r="B85" s="11">
        <v>45677</v>
      </c>
      <c r="C85" t="str">
        <v>Furniture</v>
      </c>
      <c r="D85" t="str">
        <v>Sofa Set</v>
      </c>
      <c r="E85">
        <v>1</v>
      </c>
      <c r="F85">
        <v>250000</v>
      </c>
      <c r="G85" t="str">
        <v>North</v>
      </c>
      <c r="H85" t="str">
        <v>Abiola Ogun</v>
      </c>
      <c r="I85" t="str">
        <v>Transfer</v>
      </c>
      <c r="J85">
        <v>0</v>
      </c>
    </row>
    <row r="86" spans="1:10" x14ac:dyDescent="0.25">
      <c r="A86">
        <v>3023</v>
      </c>
      <c r="B86" s="11">
        <v>45678</v>
      </c>
      <c r="C86" t="str">
        <v>Clothing</v>
      </c>
      <c r="D86" t="str">
        <v>Sweater</v>
      </c>
      <c r="E86">
        <v>3</v>
      </c>
      <c r="F86">
        <v>18000</v>
      </c>
      <c r="G86" t="str">
        <v>East</v>
      </c>
      <c r="H86" t="str">
        <v>Femi Adebayo</v>
      </c>
      <c r="I86" t="str">
        <v>Cash</v>
      </c>
      <c r="J86">
        <v>0</v>
      </c>
    </row>
    <row r="87" spans="1:10" x14ac:dyDescent="0.25">
      <c r="A87">
        <v>3024</v>
      </c>
      <c r="B87" s="11">
        <v>45678</v>
      </c>
      <c r="C87" t="str">
        <v>Furniture</v>
      </c>
      <c r="D87" t="str">
        <v>Nightstand</v>
      </c>
      <c r="E87">
        <v>3</v>
      </c>
      <c r="F87">
        <v>25000</v>
      </c>
      <c r="G87" t="str">
        <v>West</v>
      </c>
      <c r="H87" t="str">
        <v>Tunde Bakare</v>
      </c>
      <c r="I87" t="str">
        <v>Transfer</v>
      </c>
      <c r="J87">
        <v>5</v>
      </c>
    </row>
    <row r="88" spans="1:10" x14ac:dyDescent="0.25">
      <c r="A88">
        <v>3026</v>
      </c>
      <c r="B88" s="11">
        <v>45679</v>
      </c>
      <c r="C88" t="str">
        <v>Clothing</v>
      </c>
      <c r="D88" t="str">
        <v>Blazer</v>
      </c>
      <c r="E88">
        <v>1</v>
      </c>
      <c r="F88">
        <v>40000</v>
      </c>
      <c r="G88" t="str">
        <v>South</v>
      </c>
      <c r="H88" t="str">
        <v>Chidi Nwosu</v>
      </c>
      <c r="I88" t="str">
        <v>Cash</v>
      </c>
      <c r="J88">
        <v>15</v>
      </c>
    </row>
    <row r="89" spans="1:10" x14ac:dyDescent="0.25">
      <c r="A89">
        <v>3027</v>
      </c>
      <c r="B89" s="11">
        <v>45680</v>
      </c>
      <c r="C89" t="str">
        <v>Furniture</v>
      </c>
      <c r="D89" t="str">
        <v>Coffee Table</v>
      </c>
      <c r="E89">
        <v>2</v>
      </c>
      <c r="F89">
        <v>55000</v>
      </c>
      <c r="G89" t="str">
        <v>East</v>
      </c>
      <c r="H89" t="str">
        <v>Femi Adebayo</v>
      </c>
      <c r="I89" t="str">
        <v>Transfer</v>
      </c>
      <c r="J89">
        <v>0</v>
      </c>
    </row>
    <row r="90" spans="1:10" x14ac:dyDescent="0.25">
      <c r="A90">
        <v>3029</v>
      </c>
      <c r="B90" s="11">
        <v>45681</v>
      </c>
      <c r="C90" t="str">
        <v>Clothing</v>
      </c>
      <c r="D90" t="str">
        <v>Skirt</v>
      </c>
      <c r="E90">
        <v>4</v>
      </c>
      <c r="F90">
        <v>12000</v>
      </c>
      <c r="G90" t="str">
        <v>North</v>
      </c>
      <c r="H90" t="str">
        <v>Abiola Ogun</v>
      </c>
      <c r="I90" t="str">
        <v>Cash</v>
      </c>
      <c r="J90">
        <v>5</v>
      </c>
    </row>
    <row r="91" spans="1:10" x14ac:dyDescent="0.25">
      <c r="A91">
        <v>3030</v>
      </c>
      <c r="B91" s="11">
        <v>45681</v>
      </c>
      <c r="C91" t="str">
        <v>Furniture</v>
      </c>
      <c r="D91" t="str">
        <v>Drawer Unit</v>
      </c>
      <c r="E91">
        <v>2</v>
      </c>
      <c r="F91">
        <v>40000</v>
      </c>
      <c r="G91" t="str">
        <v>South</v>
      </c>
      <c r="H91" t="str">
        <v>Chidi Nwosu</v>
      </c>
      <c r="I91" t="str">
        <v>Transfer</v>
      </c>
      <c r="J91">
        <v>0</v>
      </c>
    </row>
    <row r="92" spans="1:10" x14ac:dyDescent="0.25">
      <c r="A92">
        <v>3032</v>
      </c>
      <c r="B92" s="11">
        <v>45682</v>
      </c>
      <c r="C92" t="str">
        <v>Clothing</v>
      </c>
      <c r="D92" t="str">
        <v>Cardigan</v>
      </c>
      <c r="E92">
        <v>3</v>
      </c>
      <c r="F92">
        <v>15000</v>
      </c>
      <c r="G92" t="str">
        <v>West</v>
      </c>
      <c r="H92" t="str">
        <v>Tunde Bakare</v>
      </c>
      <c r="I92" t="str">
        <v>Cash</v>
      </c>
      <c r="J92">
        <v>10</v>
      </c>
    </row>
    <row r="93" spans="1:10" x14ac:dyDescent="0.25">
      <c r="A93">
        <v>3033</v>
      </c>
      <c r="B93" s="11">
        <v>45683</v>
      </c>
      <c r="C93" t="str">
        <v>Furniture</v>
      </c>
      <c r="D93" t="str">
        <v>Shoe Rack</v>
      </c>
      <c r="E93">
        <v>2</v>
      </c>
      <c r="F93">
        <v>15000</v>
      </c>
      <c r="G93" t="str">
        <v>North</v>
      </c>
      <c r="H93" t="str">
        <v>Abiola Ogun</v>
      </c>
      <c r="I93" t="str">
        <v>Transfer</v>
      </c>
      <c r="J93">
        <v>0</v>
      </c>
    </row>
    <row r="94" spans="1:10" x14ac:dyDescent="0.25">
      <c r="A94">
        <v>3035</v>
      </c>
      <c r="B94" s="11">
        <v>45684</v>
      </c>
      <c r="C94" t="str">
        <v>Clothing</v>
      </c>
      <c r="D94" t="str">
        <v>Leggings</v>
      </c>
      <c r="E94">
        <v>6</v>
      </c>
      <c r="F94">
        <v>8000</v>
      </c>
      <c r="G94" t="str">
        <v>East</v>
      </c>
      <c r="H94" t="str">
        <v>Femi Adebayo</v>
      </c>
      <c r="I94" t="str">
        <v>Cash</v>
      </c>
      <c r="J94">
        <v>5</v>
      </c>
    </row>
    <row r="95" spans="1:10" x14ac:dyDescent="0.25">
      <c r="A95">
        <v>3036</v>
      </c>
      <c r="B95" s="11">
        <v>45684</v>
      </c>
      <c r="C95" t="str">
        <v>Furniture</v>
      </c>
      <c r="D95" t="str">
        <v>Desk Lamp</v>
      </c>
      <c r="E95">
        <v>3</v>
      </c>
      <c r="F95">
        <v>12000</v>
      </c>
      <c r="G95" t="str">
        <v>West</v>
      </c>
      <c r="H95" t="str">
        <v>Tunde Bakare</v>
      </c>
      <c r="I95" t="str">
        <v>Transfer</v>
      </c>
      <c r="J95">
        <v>0</v>
      </c>
    </row>
    <row r="96" spans="1:10" x14ac:dyDescent="0.25">
      <c r="A96">
        <v>3038</v>
      </c>
      <c r="B96" s="11">
        <v>45685</v>
      </c>
      <c r="C96" t="str">
        <v>Clothing</v>
      </c>
      <c r="D96" t="str">
        <v>Vest</v>
      </c>
      <c r="E96">
        <v>5</v>
      </c>
      <c r="F96">
        <v>5000</v>
      </c>
      <c r="G96" t="str">
        <v>South</v>
      </c>
      <c r="H96" t="str">
        <v>Chidi Nwosu</v>
      </c>
      <c r="I96" t="str">
        <v>Cash</v>
      </c>
      <c r="J96">
        <v>0</v>
      </c>
    </row>
    <row r="97" spans="1:10" x14ac:dyDescent="0.25">
      <c r="A97">
        <v>3039</v>
      </c>
      <c r="B97" s="11">
        <v>45686</v>
      </c>
      <c r="C97" t="str">
        <v>Furniture</v>
      </c>
      <c r="D97" t="str">
        <v>Mirror</v>
      </c>
      <c r="E97">
        <v>2</v>
      </c>
      <c r="F97">
        <v>25000</v>
      </c>
      <c r="G97" t="str">
        <v>East</v>
      </c>
      <c r="H97" t="str">
        <v>Femi Adebayo</v>
      </c>
      <c r="I97" t="str">
        <v>Transfer</v>
      </c>
      <c r="J97">
        <v>0</v>
      </c>
    </row>
    <row r="98" spans="1:10" x14ac:dyDescent="0.25">
      <c r="A98">
        <v>3041</v>
      </c>
      <c r="B98" s="11">
        <v>45687</v>
      </c>
      <c r="C98" t="str">
        <v>Clothing</v>
      </c>
      <c r="D98" t="str">
        <v>Scarf</v>
      </c>
      <c r="E98">
        <v>7</v>
      </c>
      <c r="F98">
        <v>3000</v>
      </c>
      <c r="G98" t="str">
        <v>North</v>
      </c>
      <c r="H98" t="str">
        <v>Abiola Ogun</v>
      </c>
      <c r="I98" t="str">
        <v>Cash</v>
      </c>
      <c r="J98">
        <v>0</v>
      </c>
    </row>
    <row r="99" spans="1:10" x14ac:dyDescent="0.25">
      <c r="A99">
        <v>3042</v>
      </c>
      <c r="B99" s="11">
        <v>45687</v>
      </c>
      <c r="C99" t="str">
        <v>Furniture</v>
      </c>
      <c r="D99" t="str">
        <v>CoatRack</v>
      </c>
      <c r="E99">
        <v>2</v>
      </c>
      <c r="F99">
        <v>18000</v>
      </c>
      <c r="G99" t="str">
        <v>South</v>
      </c>
      <c r="H99" t="str">
        <v>Chidi Nwosu</v>
      </c>
      <c r="I99" t="str">
        <v>Transfer</v>
      </c>
      <c r="J99">
        <v>0</v>
      </c>
    </row>
    <row r="100" spans="1:10" x14ac:dyDescent="0.25">
      <c r="A100">
        <v>3044</v>
      </c>
      <c r="B100" s="11">
        <v>45688</v>
      </c>
      <c r="C100" t="str">
        <v>Clothing</v>
      </c>
      <c r="D100" t="str">
        <v>Gloves</v>
      </c>
      <c r="E100">
        <v>6</v>
      </c>
      <c r="F100">
        <v>4000</v>
      </c>
      <c r="G100" t="str">
        <v>West</v>
      </c>
      <c r="H100" t="str">
        <v>Tunde Bakare</v>
      </c>
      <c r="I100" t="str">
        <v>Cash</v>
      </c>
      <c r="J100">
        <v>0</v>
      </c>
    </row>
    <row r="101" spans="1:10" x14ac:dyDescent="0.25">
      <c r="A101">
        <v>3045</v>
      </c>
      <c r="B101" s="11">
        <v>45689</v>
      </c>
      <c r="C101" t="str">
        <v>Furniture</v>
      </c>
      <c r="D101" t="str">
        <v>MagazineRack</v>
      </c>
      <c r="E101">
        <v>2</v>
      </c>
      <c r="F101">
        <v>10000</v>
      </c>
      <c r="G101" t="str">
        <v>North</v>
      </c>
      <c r="H101" t="str">
        <v>Abiola Ogun</v>
      </c>
      <c r="I101" t="str">
        <v>Transfer</v>
      </c>
      <c r="J101">
        <v>5</v>
      </c>
    </row>
    <row r="102" spans="1:10" x14ac:dyDescent="0.25">
      <c r="A102">
        <v>3047</v>
      </c>
      <c r="B102" s="11">
        <v>45690</v>
      </c>
      <c r="C102" t="str">
        <v>Clothing</v>
      </c>
      <c r="D102" t="str">
        <v>Belt</v>
      </c>
      <c r="E102">
        <v>6</v>
      </c>
      <c r="F102">
        <v>6000</v>
      </c>
      <c r="G102" t="str">
        <v>East</v>
      </c>
      <c r="H102" t="str">
        <v>Femi Adebayo</v>
      </c>
      <c r="I102" t="str">
        <v>Cash</v>
      </c>
      <c r="J102">
        <v>0</v>
      </c>
    </row>
    <row r="103" spans="1:10" x14ac:dyDescent="0.25">
      <c r="A103">
        <v>3048</v>
      </c>
      <c r="B103" s="11">
        <v>45690</v>
      </c>
      <c r="C103" t="str">
        <v>Furniture</v>
      </c>
      <c r="D103" t="str">
        <v>FilingCabinet</v>
      </c>
      <c r="E103">
        <v>1</v>
      </c>
      <c r="F103">
        <v>35000</v>
      </c>
      <c r="G103" t="str">
        <v>West</v>
      </c>
      <c r="H103" t="str">
        <v>Tunde Bakare</v>
      </c>
      <c r="I103" t="str">
        <v>Transfer</v>
      </c>
      <c r="J103">
        <v>10</v>
      </c>
    </row>
    <row r="104" spans="1:10" x14ac:dyDescent="0.25">
      <c r="A104">
        <v>3050</v>
      </c>
      <c r="B104" s="11">
        <v>45691</v>
      </c>
      <c r="C104" t="str">
        <v>Clothing</v>
      </c>
      <c r="D104" t="str">
        <v>Slippers</v>
      </c>
      <c r="E104">
        <v>5</v>
      </c>
      <c r="F104">
        <v>7000</v>
      </c>
      <c r="G104" t="str">
        <v>South</v>
      </c>
      <c r="H104" t="str">
        <v>Chidi Nwosu</v>
      </c>
      <c r="I104" t="str">
        <v>Cash</v>
      </c>
      <c r="J104">
        <v>0</v>
      </c>
    </row>
    <row r="105" spans="1:10" x14ac:dyDescent="0.25">
      <c r="A105">
        <v>3051</v>
      </c>
      <c r="B105" s="11">
        <v>45692</v>
      </c>
      <c r="C105" t="str">
        <v>Furniture</v>
      </c>
      <c r="D105" t="str">
        <v>BeanBag</v>
      </c>
      <c r="E105">
        <v>3</v>
      </c>
      <c r="F105">
        <v>25000</v>
      </c>
      <c r="G105" t="str">
        <v>East</v>
      </c>
      <c r="H105" t="str">
        <v>Femi Adebayo</v>
      </c>
      <c r="I105" t="str">
        <v>Transfer</v>
      </c>
      <c r="J105">
        <v>5</v>
      </c>
    </row>
    <row r="106" spans="1:10" x14ac:dyDescent="0.25">
      <c r="A106">
        <v>3053</v>
      </c>
      <c r="B106" s="11">
        <v>45693</v>
      </c>
      <c r="C106" t="str">
        <v>Clothing</v>
      </c>
      <c r="D106" t="str">
        <v>Bracelet</v>
      </c>
      <c r="E106">
        <v>8</v>
      </c>
      <c r="F106">
        <v>5000</v>
      </c>
      <c r="G106" t="str">
        <v>North</v>
      </c>
      <c r="H106" t="str">
        <v>Abiola Ogun</v>
      </c>
      <c r="I106" t="str">
        <v>Cash</v>
      </c>
      <c r="J106">
        <v>10</v>
      </c>
    </row>
    <row r="107" spans="1:10" x14ac:dyDescent="0.25">
      <c r="A107">
        <v>3054</v>
      </c>
      <c r="B107" s="11">
        <v>45693</v>
      </c>
      <c r="C107" t="str">
        <v>Furniture</v>
      </c>
      <c r="D107" t="str">
        <v>WallClock</v>
      </c>
      <c r="E107">
        <v>3</v>
      </c>
      <c r="F107">
        <v>12000</v>
      </c>
      <c r="G107" t="str">
        <v>South</v>
      </c>
      <c r="H107" t="str">
        <v>Chidi Nwosu</v>
      </c>
      <c r="I107" t="str">
        <v>Transfer</v>
      </c>
      <c r="J107">
        <v>0</v>
      </c>
    </row>
    <row r="108" spans="1:10" x14ac:dyDescent="0.25">
      <c r="A108">
        <v>3056</v>
      </c>
      <c r="B108" s="11">
        <v>45694</v>
      </c>
      <c r="C108" t="str">
        <v>Clothing</v>
      </c>
      <c r="D108" t="str">
        <v>Socks</v>
      </c>
      <c r="E108">
        <v>12</v>
      </c>
      <c r="F108">
        <v>2000</v>
      </c>
      <c r="G108" t="str">
        <v>West</v>
      </c>
      <c r="H108" t="str">
        <v>Tunde Bakare</v>
      </c>
      <c r="I108" t="str">
        <v>Cash</v>
      </c>
      <c r="J108">
        <v>5</v>
      </c>
    </row>
    <row r="109" spans="1:10" x14ac:dyDescent="0.25">
      <c r="A109">
        <v>3057</v>
      </c>
      <c r="B109" s="11">
        <v>45695</v>
      </c>
      <c r="C109" t="str">
        <v>Furniture</v>
      </c>
      <c r="D109" t="str">
        <v>PlantStand</v>
      </c>
      <c r="E109">
        <v>3</v>
      </c>
      <c r="F109">
        <v>8000</v>
      </c>
      <c r="G109" t="str">
        <v>North</v>
      </c>
      <c r="H109" t="str">
        <v>Abiola Ogun</v>
      </c>
      <c r="I109" t="str">
        <v>Transfer</v>
      </c>
      <c r="J109">
        <v>0</v>
      </c>
    </row>
    <row r="110" spans="1:10" x14ac:dyDescent="0.25">
      <c r="A110">
        <v>3059</v>
      </c>
      <c r="B110" s="11">
        <v>45696</v>
      </c>
      <c r="C110" t="str">
        <v>Clothing</v>
      </c>
      <c r="D110" t="str">
        <v>Necklace</v>
      </c>
      <c r="E110">
        <v>6</v>
      </c>
      <c r="F110">
        <v>8000</v>
      </c>
      <c r="G110" t="str">
        <v>East</v>
      </c>
      <c r="H110" t="str">
        <v>Femi Adebayo</v>
      </c>
      <c r="I110" t="str">
        <v>Cash</v>
      </c>
      <c r="J110">
        <v>5</v>
      </c>
    </row>
    <row r="111" spans="1:10" x14ac:dyDescent="0.25">
      <c r="A111">
        <v>3060</v>
      </c>
      <c r="B111" s="11">
        <v>45696</v>
      </c>
      <c r="C111" t="str">
        <v>Furniture</v>
      </c>
      <c r="D111" t="str">
        <v>BarStool</v>
      </c>
      <c r="E111">
        <v>4</v>
      </c>
      <c r="F111">
        <v>20000</v>
      </c>
      <c r="G111" t="str">
        <v>West</v>
      </c>
      <c r="H111" t="str">
        <v>Tunde Bakare</v>
      </c>
      <c r="I111" t="str">
        <v>Transfer</v>
      </c>
      <c r="J111">
        <v>0</v>
      </c>
    </row>
    <row r="112" spans="1:10" x14ac:dyDescent="0.25">
      <c r="A112">
        <v>3062</v>
      </c>
      <c r="B112" s="11">
        <v>45697</v>
      </c>
      <c r="C112" t="str">
        <v>Clothing</v>
      </c>
      <c r="D112" t="str">
        <v>Cap</v>
      </c>
      <c r="E112">
        <v>8</v>
      </c>
      <c r="F112">
        <v>4000</v>
      </c>
      <c r="G112" t="str">
        <v>South</v>
      </c>
      <c r="H112" t="str">
        <v>Chidi Nwosu</v>
      </c>
      <c r="I112" t="str">
        <v>Cash</v>
      </c>
      <c r="J112">
        <v>0</v>
      </c>
    </row>
    <row r="113" spans="1:10" x14ac:dyDescent="0.25">
      <c r="A113">
        <v>3063</v>
      </c>
      <c r="B113" s="11">
        <v>45698</v>
      </c>
      <c r="C113" t="str">
        <v>Furniture</v>
      </c>
      <c r="D113" t="str">
        <v>Rug</v>
      </c>
      <c r="E113">
        <v>2</v>
      </c>
      <c r="F113">
        <v>45000</v>
      </c>
      <c r="G113" t="str">
        <v>East</v>
      </c>
      <c r="H113" t="str">
        <v>Femi Adebayo</v>
      </c>
      <c r="I113" t="str">
        <v>Transfer</v>
      </c>
      <c r="J113">
        <v>0</v>
      </c>
    </row>
    <row r="114" spans="1:10" x14ac:dyDescent="0.25">
      <c r="A114">
        <v>3065</v>
      </c>
      <c r="B114" s="11">
        <v>45699</v>
      </c>
      <c r="C114" t="str">
        <v>Clothing</v>
      </c>
      <c r="D114" t="str">
        <v>Handbag</v>
      </c>
      <c r="E114">
        <v>1</v>
      </c>
      <c r="F114">
        <v>35000</v>
      </c>
      <c r="G114" t="str">
        <v>North</v>
      </c>
      <c r="H114" t="str">
        <v>Abiola Ogun</v>
      </c>
      <c r="I114" t="str">
        <v>Cash</v>
      </c>
      <c r="J114">
        <v>0</v>
      </c>
    </row>
    <row r="115" spans="1:10" x14ac:dyDescent="0.25">
      <c r="A115">
        <v>3066</v>
      </c>
      <c r="B115" s="11">
        <v>45699</v>
      </c>
      <c r="C115" t="str">
        <v>Furniture</v>
      </c>
      <c r="D115" t="str">
        <v>TVStand</v>
      </c>
      <c r="E115">
        <v>1</v>
      </c>
      <c r="F115">
        <v>65000</v>
      </c>
      <c r="G115" t="str">
        <v>South</v>
      </c>
      <c r="H115" t="str">
        <v>Chidi Nwosu</v>
      </c>
      <c r="I115" t="str">
        <v>Transfer</v>
      </c>
      <c r="J115">
        <v>15</v>
      </c>
    </row>
    <row r="116" spans="1:10" x14ac:dyDescent="0.25">
      <c r="A116">
        <v>3068</v>
      </c>
      <c r="B116" s="11">
        <v>45700</v>
      </c>
      <c r="C116" t="str">
        <v>Clothing</v>
      </c>
      <c r="D116" t="str">
        <v>PoloShirt</v>
      </c>
      <c r="E116">
        <v>4</v>
      </c>
      <c r="F116">
        <v>10000</v>
      </c>
      <c r="G116" t="str">
        <v>West</v>
      </c>
      <c r="H116" t="str">
        <v>Tunde Bakare</v>
      </c>
      <c r="I116" t="str">
        <v>Cash</v>
      </c>
      <c r="J116">
        <v>5</v>
      </c>
    </row>
    <row r="117" spans="1:10" x14ac:dyDescent="0.25">
      <c r="A117">
        <v>3069</v>
      </c>
      <c r="B117" s="11">
        <v>45701</v>
      </c>
      <c r="C117" t="str">
        <v>Furniture</v>
      </c>
      <c r="D117" t="str">
        <v>LaundryBasket</v>
      </c>
      <c r="E117">
        <v>3</v>
      </c>
      <c r="F117">
        <v>8000</v>
      </c>
      <c r="G117" t="str">
        <v>North</v>
      </c>
      <c r="H117" t="str">
        <v>Abiola Ogun</v>
      </c>
      <c r="I117" t="str">
        <v>Transfer</v>
      </c>
      <c r="J117">
        <v>0</v>
      </c>
    </row>
    <row r="118" spans="1:10" x14ac:dyDescent="0.25">
      <c r="A118">
        <v>3071</v>
      </c>
      <c r="B118" s="11">
        <v>45702</v>
      </c>
      <c r="C118" t="str">
        <v>Clothing</v>
      </c>
      <c r="D118" t="str">
        <v>FlipFlops</v>
      </c>
      <c r="E118">
        <v>7</v>
      </c>
      <c r="F118">
        <v>5000</v>
      </c>
      <c r="G118" t="str">
        <v>East</v>
      </c>
      <c r="H118" t="str">
        <v>Femi Adebayo</v>
      </c>
      <c r="I118" t="str">
        <v>Cash</v>
      </c>
      <c r="J118">
        <v>10</v>
      </c>
    </row>
    <row r="119" spans="1:10" x14ac:dyDescent="0.25">
      <c r="A119">
        <v>3072</v>
      </c>
      <c r="B119" s="11">
        <v>45702</v>
      </c>
      <c r="C119" t="str">
        <v>Furniture</v>
      </c>
      <c r="D119" t="str">
        <v>Stool</v>
      </c>
      <c r="E119">
        <v>5</v>
      </c>
      <c r="F119">
        <v>7000</v>
      </c>
      <c r="G119" t="str">
        <v>West</v>
      </c>
      <c r="H119" t="str">
        <v>Tunde Bakare</v>
      </c>
      <c r="I119" t="str">
        <v>Transfer</v>
      </c>
      <c r="J119">
        <v>0</v>
      </c>
    </row>
    <row r="120" spans="1:10" x14ac:dyDescent="0.25">
      <c r="A120">
        <v>3074</v>
      </c>
      <c r="B120" s="11">
        <v>45703</v>
      </c>
      <c r="C120" t="str">
        <v>Clothing</v>
      </c>
      <c r="D120" t="str">
        <v>TankTop</v>
      </c>
      <c r="E120">
        <v>8</v>
      </c>
      <c r="F120">
        <v>4000</v>
      </c>
      <c r="G120" t="str">
        <v>South</v>
      </c>
      <c r="H120" t="str">
        <v>Chidi Nwosu</v>
      </c>
      <c r="I120" t="str">
        <v>Cash</v>
      </c>
      <c r="J120">
        <v>5</v>
      </c>
    </row>
    <row r="121" spans="1:10" x14ac:dyDescent="0.25">
      <c r="A121">
        <v>3075</v>
      </c>
      <c r="B121" s="11">
        <v>45704</v>
      </c>
      <c r="C121" t="str">
        <v>Furniture</v>
      </c>
      <c r="D121" t="str">
        <v>Curtains</v>
      </c>
      <c r="E121">
        <v>3</v>
      </c>
      <c r="F121">
        <v>20000</v>
      </c>
      <c r="G121" t="str">
        <v>East</v>
      </c>
      <c r="H121" t="str">
        <v>Femi Adebayo</v>
      </c>
      <c r="I121" t="str">
        <v>Transfer</v>
      </c>
      <c r="J121">
        <v>0</v>
      </c>
    </row>
    <row r="122" spans="1:10" x14ac:dyDescent="0.25">
      <c r="A122">
        <v>3077</v>
      </c>
      <c r="B122" s="11">
        <v>45705</v>
      </c>
      <c r="C122" t="str">
        <v>Clothing</v>
      </c>
      <c r="D122" t="str">
        <v>Sandals</v>
      </c>
      <c r="E122">
        <v>3</v>
      </c>
      <c r="F122">
        <v>12000</v>
      </c>
      <c r="G122" t="str">
        <v>North</v>
      </c>
      <c r="H122" t="str">
        <v>Abiola Ogun</v>
      </c>
      <c r="I122" t="str">
        <v>Cash</v>
      </c>
      <c r="J122">
        <v>5</v>
      </c>
    </row>
    <row r="123" spans="1:10" x14ac:dyDescent="0.25">
      <c r="A123">
        <v>3078</v>
      </c>
      <c r="B123" s="11">
        <v>45705</v>
      </c>
      <c r="C123" t="str">
        <v>Furniture</v>
      </c>
      <c r="D123" t="str">
        <v>KeyHolder</v>
      </c>
      <c r="E123">
        <v>7</v>
      </c>
      <c r="F123">
        <v>3000</v>
      </c>
      <c r="G123" t="str">
        <v>South</v>
      </c>
      <c r="H123" t="str">
        <v>Chidi Nwosu</v>
      </c>
      <c r="I123" t="str">
        <v>Transfer</v>
      </c>
      <c r="J123">
        <v>0</v>
      </c>
    </row>
    <row r="124" spans="1:10" x14ac:dyDescent="0.25">
      <c r="A124">
        <v>3080</v>
      </c>
      <c r="B124" s="11">
        <v>45706</v>
      </c>
      <c r="C124" t="str">
        <v>Clothing</v>
      </c>
      <c r="D124" t="str">
        <v>Watch</v>
      </c>
      <c r="E124">
        <v>1</v>
      </c>
      <c r="F124">
        <v>25000</v>
      </c>
      <c r="G124" t="str">
        <v>West</v>
      </c>
      <c r="H124" t="str">
        <v>Tunde Bakare</v>
      </c>
      <c r="I124" t="str">
        <v>Cash</v>
      </c>
      <c r="J124">
        <v>10</v>
      </c>
    </row>
    <row r="125" spans="1:10" x14ac:dyDescent="0.25">
      <c r="A125">
        <v>3081</v>
      </c>
      <c r="B125" s="11">
        <v>45707</v>
      </c>
      <c r="C125" t="str">
        <v>Furniture</v>
      </c>
      <c r="D125" t="str">
        <v>WallShelf</v>
      </c>
      <c r="E125">
        <v>3</v>
      </c>
      <c r="F125">
        <v>12000</v>
      </c>
      <c r="G125" t="str">
        <v>North</v>
      </c>
      <c r="H125" t="str">
        <v>Abiola Ogun</v>
      </c>
      <c r="I125" t="str">
        <v>Transfer</v>
      </c>
      <c r="J125">
        <v>0</v>
      </c>
    </row>
    <row r="126" spans="1:10" x14ac:dyDescent="0.25">
      <c r="A126">
        <v>3083</v>
      </c>
      <c r="B126" s="11">
        <v>45708</v>
      </c>
      <c r="C126" t="str">
        <v>Clothing</v>
      </c>
      <c r="D126" t="str">
        <v>Raincoat</v>
      </c>
      <c r="E126">
        <v>1</v>
      </c>
      <c r="F126">
        <v>18000</v>
      </c>
      <c r="G126" t="str">
        <v>East</v>
      </c>
      <c r="H126" t="str">
        <v>Femi Adebayo</v>
      </c>
      <c r="I126" t="str">
        <v>Cash</v>
      </c>
      <c r="J126">
        <v>5</v>
      </c>
    </row>
    <row r="127" spans="1:10" x14ac:dyDescent="0.25">
      <c r="A127">
        <v>3084</v>
      </c>
      <c r="B127" s="11">
        <v>45708</v>
      </c>
      <c r="C127" t="str">
        <v>Furniture</v>
      </c>
      <c r="D127" t="str">
        <v>PetBed</v>
      </c>
      <c r="E127">
        <v>3</v>
      </c>
      <c r="F127">
        <v>10000</v>
      </c>
      <c r="G127" t="str">
        <v>West</v>
      </c>
      <c r="H127" t="str">
        <v>Tunde Bakare</v>
      </c>
      <c r="I127" t="str">
        <v>Transfer</v>
      </c>
      <c r="J127">
        <v>0</v>
      </c>
    </row>
    <row r="128" spans="1:10" x14ac:dyDescent="0.25">
      <c r="A128">
        <v>3086</v>
      </c>
      <c r="B128" s="11">
        <v>45709</v>
      </c>
      <c r="C128" t="str">
        <v>Clothing</v>
      </c>
      <c r="D128" t="str">
        <v>Pyjamas</v>
      </c>
      <c r="E128">
        <v>4</v>
      </c>
      <c r="F128">
        <v>9000</v>
      </c>
      <c r="G128" t="str">
        <v>South</v>
      </c>
      <c r="H128" t="str">
        <v>Chidi Nwosu</v>
      </c>
      <c r="I128" t="str">
        <v>Cash</v>
      </c>
      <c r="J128">
        <v>10</v>
      </c>
    </row>
    <row r="129" spans="1:10" x14ac:dyDescent="0.25">
      <c r="A129">
        <v>3087</v>
      </c>
      <c r="B129" s="11">
        <v>45710</v>
      </c>
      <c r="C129" t="str">
        <v>Furniture</v>
      </c>
      <c r="D129" t="str">
        <v>TVRemoteHolder</v>
      </c>
      <c r="E129">
        <v>8</v>
      </c>
      <c r="F129">
        <v>2000</v>
      </c>
      <c r="G129" t="str">
        <v>East</v>
      </c>
      <c r="H129" t="str">
        <v>Femi Adebayo</v>
      </c>
      <c r="I129" t="str">
        <v>Transfer</v>
      </c>
      <c r="J129">
        <v>0</v>
      </c>
    </row>
    <row r="130" spans="1:10" x14ac:dyDescent="0.25">
      <c r="A130">
        <v>3089</v>
      </c>
      <c r="B130" s="11">
        <v>45711</v>
      </c>
      <c r="C130" t="str">
        <v>Clothing</v>
      </c>
      <c r="D130" t="str">
        <v>Necktie</v>
      </c>
      <c r="E130">
        <v>6</v>
      </c>
      <c r="F130">
        <v>5000</v>
      </c>
      <c r="G130" t="str">
        <v>North</v>
      </c>
      <c r="H130" t="str">
        <v>Abiola Ogun</v>
      </c>
      <c r="I130" t="str">
        <v>Cash</v>
      </c>
      <c r="J130">
        <v>0</v>
      </c>
    </row>
    <row r="131" spans="1:10" x14ac:dyDescent="0.25">
      <c r="A131">
        <v>3090</v>
      </c>
      <c r="B131" s="11">
        <v>45711</v>
      </c>
      <c r="C131" t="str">
        <v>Furniture</v>
      </c>
      <c r="D131" t="str">
        <v>FoldableTable</v>
      </c>
      <c r="E131">
        <v>3</v>
      </c>
      <c r="F131">
        <v>15000</v>
      </c>
      <c r="G131" t="str">
        <v>South</v>
      </c>
      <c r="H131" t="str">
        <v>Chidi Nwosu</v>
      </c>
      <c r="I131" t="str">
        <v>Transfer</v>
      </c>
      <c r="J131">
        <v>0</v>
      </c>
    </row>
    <row r="132" spans="1:10" x14ac:dyDescent="0.25">
      <c r="A132">
        <v>3092</v>
      </c>
      <c r="B132" s="11">
        <v>45712</v>
      </c>
      <c r="C132" t="str">
        <v>Clothing</v>
      </c>
      <c r="D132" t="str">
        <v>Suspenders</v>
      </c>
      <c r="E132">
        <v>3</v>
      </c>
      <c r="F132">
        <v>6000</v>
      </c>
      <c r="G132" t="str">
        <v>West</v>
      </c>
      <c r="H132" t="str">
        <v>Tunde Bakare</v>
      </c>
      <c r="I132" t="str">
        <v>Cash</v>
      </c>
      <c r="J132">
        <v>0</v>
      </c>
    </row>
    <row r="133" spans="1:10" x14ac:dyDescent="0.25">
      <c r="A133">
        <v>3093</v>
      </c>
      <c r="B133" s="11">
        <v>45713</v>
      </c>
      <c r="C133" t="str">
        <v>Furniture</v>
      </c>
      <c r="D133" t="str">
        <v>VanityStool</v>
      </c>
      <c r="E133">
        <v>2</v>
      </c>
      <c r="F133">
        <v>18000</v>
      </c>
      <c r="G133" t="str">
        <v>North</v>
      </c>
      <c r="H133" t="str">
        <v>Abiola Ogun</v>
      </c>
      <c r="I133" t="str">
        <v>Transfer</v>
      </c>
      <c r="J133">
        <v>0</v>
      </c>
    </row>
    <row r="134" spans="1:10" x14ac:dyDescent="0.25">
      <c r="A134">
        <v>3095</v>
      </c>
      <c r="B134" s="11">
        <v>45714</v>
      </c>
      <c r="C134" t="str">
        <v>Clothing</v>
      </c>
      <c r="D134" t="str">
        <v>Kaftan</v>
      </c>
      <c r="E134">
        <v>3</v>
      </c>
      <c r="F134">
        <v>25000</v>
      </c>
      <c r="G134" t="str">
        <v>East</v>
      </c>
      <c r="H134" t="str">
        <v>Femi Adebayo</v>
      </c>
      <c r="I134" t="str">
        <v>Cash</v>
      </c>
      <c r="J134">
        <v>0</v>
      </c>
    </row>
    <row r="135" spans="1:10" x14ac:dyDescent="0.25">
      <c r="A135">
        <v>3096</v>
      </c>
      <c r="B135" s="11">
        <v>45714</v>
      </c>
      <c r="C135" t="str">
        <v>Furniture</v>
      </c>
      <c r="D135" t="str">
        <v>WallArt</v>
      </c>
      <c r="E135">
        <v>4</v>
      </c>
      <c r="F135">
        <v>15000</v>
      </c>
      <c r="G135" t="str">
        <v>West</v>
      </c>
      <c r="H135" t="str">
        <v>Tunde Bakare</v>
      </c>
      <c r="I135" t="str">
        <v>Transfer</v>
      </c>
      <c r="J135">
        <v>5</v>
      </c>
    </row>
    <row r="136" spans="1:10" x14ac:dyDescent="0.25">
      <c r="A136">
        <v>3098</v>
      </c>
      <c r="B136" s="11">
        <v>45715</v>
      </c>
      <c r="C136" t="str">
        <v>Clothing</v>
      </c>
      <c r="D136" t="str">
        <v>Cufflinks</v>
      </c>
      <c r="E136">
        <v>4</v>
      </c>
      <c r="F136">
        <v>8000</v>
      </c>
      <c r="G136" t="str">
        <v>South</v>
      </c>
      <c r="H136" t="str">
        <v>Chidi Nwosu</v>
      </c>
      <c r="I136" t="str">
        <v>Cash</v>
      </c>
      <c r="J136">
        <v>0</v>
      </c>
    </row>
    <row r="137" spans="1:10" x14ac:dyDescent="0.25">
      <c r="A137">
        <v>3099</v>
      </c>
      <c r="B137" s="11">
        <v>45716</v>
      </c>
      <c r="C137" t="str">
        <v>Furniture</v>
      </c>
      <c r="D137" t="str">
        <v>FloorLamp</v>
      </c>
      <c r="E137">
        <v>2</v>
      </c>
      <c r="F137">
        <v>25000</v>
      </c>
      <c r="G137" t="str">
        <v>East</v>
      </c>
      <c r="H137" t="str">
        <v>Femi Adebayo</v>
      </c>
      <c r="I137" t="str">
        <v>Transfer</v>
      </c>
      <c r="J137">
        <v>5</v>
      </c>
    </row>
    <row r="138" spans="1:10" x14ac:dyDescent="0.25">
      <c r="A138">
        <v>3102</v>
      </c>
      <c r="B138" s="11">
        <v>45670</v>
      </c>
      <c r="C138" t="str">
        <v>Clothing</v>
      </c>
      <c r="D138" t="str">
        <v>MaxiDress</v>
      </c>
      <c r="E138">
        <v>2</v>
      </c>
      <c r="F138">
        <v>28000</v>
      </c>
      <c r="G138" t="str">
        <v>South</v>
      </c>
      <c r="H138" t="str">
        <v>Chidi Nwosu</v>
      </c>
      <c r="I138" t="str">
        <v>Cash</v>
      </c>
      <c r="J138">
        <v>0</v>
      </c>
    </row>
    <row r="139" spans="1:10" x14ac:dyDescent="0.25">
      <c r="A139">
        <v>3103</v>
      </c>
      <c r="B139" s="11">
        <v>45671</v>
      </c>
      <c r="C139" t="str">
        <v>Furniture</v>
      </c>
      <c r="D139" t="str">
        <v>OfficeStool</v>
      </c>
      <c r="E139">
        <v>4</v>
      </c>
      <c r="F139">
        <v>12000</v>
      </c>
      <c r="G139" t="str">
        <v>East</v>
      </c>
      <c r="H139" t="str">
        <v>Femi Adebayo</v>
      </c>
      <c r="I139" t="str">
        <v>Transfer</v>
      </c>
      <c r="J139">
        <v>5</v>
      </c>
    </row>
    <row r="140" spans="1:10" x14ac:dyDescent="0.25">
      <c r="A140">
        <v>3105</v>
      </c>
      <c r="B140" s="11">
        <v>45673</v>
      </c>
      <c r="C140" t="str">
        <v>Clothing</v>
      </c>
      <c r="D140" t="str">
        <v>Hoodie</v>
      </c>
      <c r="E140">
        <v>3</v>
      </c>
      <c r="F140">
        <v>22000</v>
      </c>
      <c r="G140" t="str">
        <v>North</v>
      </c>
      <c r="H140" t="str">
        <v>Abiola Ogun</v>
      </c>
      <c r="I140" t="str">
        <v>Cash</v>
      </c>
      <c r="J140">
        <v>0</v>
      </c>
    </row>
    <row r="141" spans="1:10" x14ac:dyDescent="0.25">
      <c r="A141">
        <v>3106</v>
      </c>
      <c r="B141" s="11">
        <v>45674</v>
      </c>
      <c r="C141" t="str">
        <v>Furniture</v>
      </c>
      <c r="D141" t="str">
        <v>PatioChair</v>
      </c>
      <c r="E141">
        <v>5</v>
      </c>
      <c r="F141">
        <v>18000</v>
      </c>
      <c r="G141" t="str">
        <v>South</v>
      </c>
      <c r="H141" t="str">
        <v>Chidi Nwosu</v>
      </c>
      <c r="I141" t="str">
        <v>Transfer</v>
      </c>
      <c r="J141">
        <v>10</v>
      </c>
    </row>
    <row r="142" spans="1:10" x14ac:dyDescent="0.25">
      <c r="A142">
        <v>3108</v>
      </c>
      <c r="B142" s="11">
        <v>45676</v>
      </c>
      <c r="C142" t="str">
        <v>Clothing</v>
      </c>
      <c r="D142" t="str">
        <v>Kimono</v>
      </c>
      <c r="E142">
        <v>2</v>
      </c>
      <c r="F142">
        <v>15000</v>
      </c>
      <c r="G142" t="str">
        <v>West</v>
      </c>
      <c r="H142" t="str">
        <v>Tunde Bakare</v>
      </c>
      <c r="I142" t="str">
        <v>Cash</v>
      </c>
      <c r="J142">
        <v>5</v>
      </c>
    </row>
    <row r="143" spans="1:10" x14ac:dyDescent="0.25">
      <c r="A143">
        <v>3109</v>
      </c>
      <c r="B143" s="11">
        <v>45677</v>
      </c>
      <c r="C143" t="str">
        <v>Furniture</v>
      </c>
      <c r="D143" t="str">
        <v>Bookcase</v>
      </c>
      <c r="E143">
        <v>2</v>
      </c>
      <c r="F143">
        <v>55000</v>
      </c>
      <c r="G143" t="str">
        <v>North</v>
      </c>
      <c r="H143" t="str">
        <v>Abiola Ogun</v>
      </c>
      <c r="I143" t="str">
        <v>Transfer</v>
      </c>
      <c r="J143">
        <v>0</v>
      </c>
    </row>
    <row r="144" spans="1:10" x14ac:dyDescent="0.25">
      <c r="A144">
        <v>3111</v>
      </c>
      <c r="B144" s="11">
        <v>45679</v>
      </c>
      <c r="C144" t="str">
        <v>Clothing</v>
      </c>
      <c r="D144" t="str">
        <v>BomberJacket</v>
      </c>
      <c r="E144">
        <v>2</v>
      </c>
      <c r="F144">
        <v>45000</v>
      </c>
      <c r="G144" t="str">
        <v>East</v>
      </c>
      <c r="H144" t="str">
        <v>Femi Adebayo</v>
      </c>
      <c r="I144" t="str">
        <v>Cash</v>
      </c>
      <c r="J144">
        <v>10</v>
      </c>
    </row>
    <row r="145" spans="1:10" x14ac:dyDescent="0.25">
      <c r="A145">
        <v>3112</v>
      </c>
      <c r="B145" s="11">
        <v>45680</v>
      </c>
      <c r="C145" t="str">
        <v>Furniture</v>
      </c>
      <c r="D145" t="str">
        <v>StorageOttoman</v>
      </c>
      <c r="E145">
        <v>2</v>
      </c>
      <c r="F145">
        <v>35000</v>
      </c>
      <c r="G145" t="str">
        <v>West</v>
      </c>
      <c r="H145" t="str">
        <v>Tunde Bakare</v>
      </c>
      <c r="I145" t="str">
        <v>Transfer</v>
      </c>
      <c r="J145">
        <v>0</v>
      </c>
    </row>
    <row r="146" spans="1:10" x14ac:dyDescent="0.25">
      <c r="A146">
        <v>3114</v>
      </c>
      <c r="B146" s="11">
        <v>45682</v>
      </c>
      <c r="C146" t="str">
        <v>Clothing</v>
      </c>
      <c r="D146" t="str">
        <v>Blouse</v>
      </c>
      <c r="E146">
        <v>5</v>
      </c>
      <c r="F146">
        <v>12000</v>
      </c>
      <c r="G146" t="str">
        <v>South</v>
      </c>
      <c r="H146" t="str">
        <v>Chidi Nwosu</v>
      </c>
      <c r="I146" t="str">
        <v>Cash</v>
      </c>
      <c r="J146">
        <v>0</v>
      </c>
    </row>
    <row r="147" spans="1:10" x14ac:dyDescent="0.25">
      <c r="A147">
        <v>3115</v>
      </c>
      <c r="B147" s="11">
        <v>45683</v>
      </c>
      <c r="C147" t="str">
        <v>Furniture</v>
      </c>
      <c r="D147" t="str">
        <v>Futon</v>
      </c>
      <c r="E147">
        <v>2</v>
      </c>
      <c r="F147">
        <v>65000</v>
      </c>
      <c r="G147" t="str">
        <v>East</v>
      </c>
      <c r="H147" t="str">
        <v>Femi Adebayo</v>
      </c>
      <c r="I147" t="str">
        <v>Transfer</v>
      </c>
      <c r="J147">
        <v>0</v>
      </c>
    </row>
    <row r="148" spans="1:10" x14ac:dyDescent="0.25">
      <c r="A148">
        <v>3117</v>
      </c>
      <c r="B148" s="11">
        <v>45685</v>
      </c>
      <c r="C148" t="str">
        <v>Clothing</v>
      </c>
      <c r="D148" t="str">
        <v>Tracksuit</v>
      </c>
      <c r="E148">
        <v>3</v>
      </c>
      <c r="F148">
        <v>20000</v>
      </c>
      <c r="G148" t="str">
        <v>North</v>
      </c>
      <c r="H148" t="str">
        <v>Abiola Ogun</v>
      </c>
      <c r="I148" t="str">
        <v>Cash</v>
      </c>
      <c r="J148">
        <v>0</v>
      </c>
    </row>
    <row r="149" spans="1:10" x14ac:dyDescent="0.25">
      <c r="A149">
        <v>3118</v>
      </c>
      <c r="B149" s="11">
        <v>45686</v>
      </c>
      <c r="C149" t="str">
        <v>Furniture</v>
      </c>
      <c r="D149" t="str">
        <v>BeanBagCover</v>
      </c>
      <c r="E149">
        <v>5</v>
      </c>
      <c r="F149">
        <v>8000</v>
      </c>
      <c r="G149" t="str">
        <v>South</v>
      </c>
      <c r="H149" t="str">
        <v>Chidi Nwosu</v>
      </c>
      <c r="I149" t="str">
        <v>Transfer</v>
      </c>
      <c r="J149">
        <v>5</v>
      </c>
    </row>
    <row r="150" spans="1:10" x14ac:dyDescent="0.25">
      <c r="A150">
        <v>3120</v>
      </c>
      <c r="B150" s="11">
        <v>45688</v>
      </c>
      <c r="C150" t="str">
        <v>Clothing</v>
      </c>
      <c r="D150" t="str">
        <v>FlannelShirt</v>
      </c>
      <c r="E150">
        <v>3</v>
      </c>
      <c r="F150">
        <v>15000</v>
      </c>
      <c r="G150" t="str">
        <v>West</v>
      </c>
      <c r="H150" t="str">
        <v>Tunde Bakare</v>
      </c>
      <c r="I150" t="str">
        <v>Cash</v>
      </c>
      <c r="J150">
        <v>0</v>
      </c>
    </row>
    <row r="151" spans="1:10" x14ac:dyDescent="0.25">
      <c r="A151">
        <v>3121</v>
      </c>
      <c r="B151" s="11">
        <v>45689</v>
      </c>
      <c r="C151" t="str">
        <v>Furniture</v>
      </c>
      <c r="D151" t="str">
        <v>WallMirror</v>
      </c>
      <c r="E151">
        <v>2</v>
      </c>
      <c r="F151">
        <v>18000</v>
      </c>
      <c r="G151" t="str">
        <v>North</v>
      </c>
      <c r="H151" t="str">
        <v>Abiola Ogun</v>
      </c>
      <c r="I151" t="str">
        <v>Transfer</v>
      </c>
      <c r="J151">
        <v>5</v>
      </c>
    </row>
    <row r="152" spans="1:10" x14ac:dyDescent="0.25">
      <c r="A152">
        <v>3123</v>
      </c>
      <c r="B152" s="11">
        <v>45691</v>
      </c>
      <c r="C152" t="str">
        <v>Clothing</v>
      </c>
      <c r="D152" t="str">
        <v>Chinos</v>
      </c>
      <c r="E152">
        <v>4</v>
      </c>
      <c r="F152">
        <v>18000</v>
      </c>
      <c r="G152" t="str">
        <v>East</v>
      </c>
      <c r="H152" t="str">
        <v>Femi Adebayo</v>
      </c>
      <c r="I152" t="str">
        <v>Cash</v>
      </c>
      <c r="J152">
        <v>0</v>
      </c>
    </row>
    <row r="153" spans="1:10" x14ac:dyDescent="0.25">
      <c r="A153">
        <v>3124</v>
      </c>
      <c r="B153" s="11">
        <v>45692</v>
      </c>
      <c r="C153" t="str">
        <v>Furniture</v>
      </c>
      <c r="D153" t="str">
        <v>LaundryHamper</v>
      </c>
      <c r="E153">
        <v>3</v>
      </c>
      <c r="F153">
        <v>10000</v>
      </c>
      <c r="G153" t="str">
        <v>West</v>
      </c>
      <c r="H153" t="str">
        <v>Tunde Bakare</v>
      </c>
      <c r="I153" t="str">
        <v>Transfer</v>
      </c>
      <c r="J153">
        <v>10</v>
      </c>
    </row>
    <row r="154" spans="1:10" x14ac:dyDescent="0.25">
      <c r="A154">
        <v>3126</v>
      </c>
      <c r="B154" s="11">
        <v>45694</v>
      </c>
      <c r="C154" t="str">
        <v>Clothing</v>
      </c>
      <c r="D154" t="str">
        <v>PufferJacket</v>
      </c>
      <c r="E154">
        <v>1</v>
      </c>
      <c r="F154">
        <v>55000</v>
      </c>
      <c r="G154" t="str">
        <v>South</v>
      </c>
      <c r="H154" t="str">
        <v>Chidi Nwosu</v>
      </c>
      <c r="I154" t="str">
        <v>Cash</v>
      </c>
      <c r="J154">
        <v>5</v>
      </c>
    </row>
    <row r="155" spans="1:10" x14ac:dyDescent="0.25">
      <c r="A155">
        <v>3127</v>
      </c>
      <c r="B155" s="11">
        <v>45695</v>
      </c>
      <c r="C155" t="str">
        <v>Furniture</v>
      </c>
      <c r="D155" t="str">
        <v>CornerShelf</v>
      </c>
      <c r="E155">
        <v>2</v>
      </c>
      <c r="F155">
        <v>22000</v>
      </c>
      <c r="G155" t="str">
        <v>East</v>
      </c>
      <c r="H155" t="str">
        <v>Femi Adebayo</v>
      </c>
      <c r="I155" t="str">
        <v>Transfer</v>
      </c>
      <c r="J155">
        <v>0</v>
      </c>
    </row>
    <row r="156" spans="1:10" x14ac:dyDescent="0.25">
      <c r="A156">
        <v>3129</v>
      </c>
      <c r="B156" s="11">
        <v>45697</v>
      </c>
      <c r="C156" t="str">
        <v>Clothing</v>
      </c>
      <c r="D156" t="str">
        <v>Sweatpants</v>
      </c>
      <c r="E156">
        <v>4</v>
      </c>
      <c r="F156">
        <v>12000</v>
      </c>
      <c r="G156" t="str">
        <v>North</v>
      </c>
      <c r="H156" t="str">
        <v>Abiola Ogun</v>
      </c>
      <c r="I156" t="str">
        <v>Cash</v>
      </c>
      <c r="J156">
        <v>5</v>
      </c>
    </row>
    <row r="157" spans="1:10" x14ac:dyDescent="0.25">
      <c r="A157">
        <v>3130</v>
      </c>
      <c r="B157" s="11">
        <v>45698</v>
      </c>
      <c r="C157" t="str">
        <v>Furniture</v>
      </c>
      <c r="D157" t="str">
        <v>Footstool</v>
      </c>
      <c r="E157">
        <v>3</v>
      </c>
      <c r="F157">
        <v>8000</v>
      </c>
      <c r="G157" t="str">
        <v>South</v>
      </c>
      <c r="H157" t="str">
        <v>Chidi Nwosu</v>
      </c>
      <c r="I157" t="str">
        <v>Transfer</v>
      </c>
      <c r="J157">
        <v>0</v>
      </c>
    </row>
    <row r="158" spans="1:10" x14ac:dyDescent="0.25">
      <c r="A158">
        <v>3132</v>
      </c>
      <c r="B158" s="11">
        <v>45700</v>
      </c>
      <c r="C158" t="str">
        <v>Clothing</v>
      </c>
      <c r="D158" t="str">
        <v>Overcoat</v>
      </c>
      <c r="E158">
        <v>1</v>
      </c>
      <c r="F158">
        <v>65000</v>
      </c>
      <c r="G158" t="str">
        <v>West</v>
      </c>
      <c r="H158" t="str">
        <v>Tunde Bakare</v>
      </c>
      <c r="I158" t="str">
        <v>Cash</v>
      </c>
      <c r="J158">
        <v>10</v>
      </c>
    </row>
    <row r="159" spans="1:10" x14ac:dyDescent="0.25">
      <c r="A159">
        <v>3133</v>
      </c>
      <c r="B159" s="11">
        <v>45701</v>
      </c>
      <c r="C159" t="str">
        <v>Furniture</v>
      </c>
      <c r="D159" t="str">
        <v>MagazineHolder</v>
      </c>
      <c r="E159">
        <v>5</v>
      </c>
      <c r="F159">
        <v>7000</v>
      </c>
      <c r="G159" t="str">
        <v>North</v>
      </c>
      <c r="H159" t="str">
        <v>Abiola Ogun</v>
      </c>
      <c r="I159" t="str">
        <v>Transfer</v>
      </c>
      <c r="J159">
        <v>0</v>
      </c>
    </row>
    <row r="160" spans="1:10" x14ac:dyDescent="0.25">
      <c r="A160">
        <v>3135</v>
      </c>
      <c r="B160" s="11">
        <v>45703</v>
      </c>
      <c r="C160" t="str">
        <v>Clothing</v>
      </c>
      <c r="D160" t="str">
        <v>CropTop</v>
      </c>
      <c r="E160">
        <v>6</v>
      </c>
      <c r="F160">
        <v>6000</v>
      </c>
      <c r="G160" t="str">
        <v>East</v>
      </c>
      <c r="H160" t="str">
        <v>Femi Adebayo</v>
      </c>
      <c r="I160" t="str">
        <v>Cash</v>
      </c>
      <c r="J160">
        <v>0</v>
      </c>
    </row>
    <row r="161" spans="1:10" x14ac:dyDescent="0.25">
      <c r="A161">
        <v>3136</v>
      </c>
      <c r="B161" s="11">
        <v>45704</v>
      </c>
      <c r="C161" t="str">
        <v>Furniture</v>
      </c>
      <c r="D161" t="str">
        <v>WineRack</v>
      </c>
      <c r="E161">
        <v>2</v>
      </c>
      <c r="F161">
        <v>12000</v>
      </c>
      <c r="G161" t="str">
        <v>West</v>
      </c>
      <c r="H161" t="str">
        <v>Tunde Bakare</v>
      </c>
      <c r="I161" t="str">
        <v>Transfer</v>
      </c>
      <c r="J161">
        <v>0</v>
      </c>
    </row>
    <row r="162" spans="1:10" x14ac:dyDescent="0.25">
      <c r="A162">
        <v>3138</v>
      </c>
      <c r="B162" s="11">
        <v>45706</v>
      </c>
      <c r="C162" t="str">
        <v>Clothing</v>
      </c>
      <c r="D162" t="str">
        <v>BermudaShorts</v>
      </c>
      <c r="E162">
        <v>6</v>
      </c>
      <c r="F162">
        <v>8000</v>
      </c>
      <c r="G162" t="str">
        <v>South</v>
      </c>
      <c r="H162" t="str">
        <v>Chidi Nwosu</v>
      </c>
      <c r="I162" t="str">
        <v>Cash</v>
      </c>
      <c r="J162">
        <v>0</v>
      </c>
    </row>
    <row r="163" spans="1:10" x14ac:dyDescent="0.25">
      <c r="A163">
        <v>3139</v>
      </c>
      <c r="B163" s="11">
        <v>45707</v>
      </c>
      <c r="C163" t="str">
        <v>Furniture</v>
      </c>
      <c r="D163" t="str">
        <v>ShowerCaddy</v>
      </c>
      <c r="E163">
        <v>5</v>
      </c>
      <c r="F163">
        <v>5000</v>
      </c>
      <c r="G163" t="str">
        <v>East</v>
      </c>
      <c r="H163" t="str">
        <v>Femi Adebayo</v>
      </c>
      <c r="I163" t="str">
        <v>Transfer</v>
      </c>
      <c r="J163">
        <v>5</v>
      </c>
    </row>
    <row r="164" spans="1:10" x14ac:dyDescent="0.25">
      <c r="A164">
        <v>3141</v>
      </c>
      <c r="B164" s="11">
        <v>45709</v>
      </c>
      <c r="C164" t="str">
        <v>Clothing</v>
      </c>
      <c r="D164" t="str">
        <v>DenimSkirt</v>
      </c>
      <c r="E164">
        <v>3</v>
      </c>
      <c r="F164">
        <v>15000</v>
      </c>
      <c r="G164" t="str">
        <v>North</v>
      </c>
      <c r="H164" t="str">
        <v>Abiola Ogun</v>
      </c>
      <c r="I164" t="str">
        <v>Cash</v>
      </c>
      <c r="J164">
        <v>0</v>
      </c>
    </row>
    <row r="165" spans="1:10" x14ac:dyDescent="0.25">
      <c r="A165">
        <v>3142</v>
      </c>
      <c r="B165" s="11">
        <v>45710</v>
      </c>
      <c r="C165" t="str">
        <v>Furniture</v>
      </c>
      <c r="D165" t="str">
        <v>UmbrellaStand</v>
      </c>
      <c r="E165">
        <v>2</v>
      </c>
      <c r="F165">
        <v>10000</v>
      </c>
      <c r="G165" t="str">
        <v>South</v>
      </c>
      <c r="H165" t="str">
        <v>Chidi Nwosu</v>
      </c>
      <c r="I165" t="str">
        <v>Transfer</v>
      </c>
      <c r="J165">
        <v>5</v>
      </c>
    </row>
    <row r="166" spans="1:10" x14ac:dyDescent="0.25">
      <c r="A166">
        <v>3144</v>
      </c>
      <c r="B166" s="11">
        <v>45712</v>
      </c>
      <c r="C166" t="str">
        <v>Clothing</v>
      </c>
      <c r="D166" t="str">
        <v>CardHolder</v>
      </c>
      <c r="E166">
        <v>7</v>
      </c>
      <c r="F166">
        <v>3000</v>
      </c>
      <c r="G166" t="str">
        <v>West</v>
      </c>
      <c r="H166" t="str">
        <v>Tunde Bakare</v>
      </c>
      <c r="I166" t="str">
        <v>Cash</v>
      </c>
      <c r="J166">
        <v>0</v>
      </c>
    </row>
    <row r="167" spans="1:10" x14ac:dyDescent="0.25">
      <c r="A167">
        <v>3145</v>
      </c>
      <c r="B167" s="11">
        <v>45713</v>
      </c>
      <c r="C167" t="str">
        <v>Furniture</v>
      </c>
      <c r="D167" t="str">
        <v>LetterTray</v>
      </c>
      <c r="E167">
        <v>5</v>
      </c>
      <c r="F167">
        <v>4000</v>
      </c>
      <c r="G167" t="str">
        <v>North</v>
      </c>
      <c r="H167" t="str">
        <v>Abiola Ogun</v>
      </c>
      <c r="I167" t="str">
        <v>Transfer</v>
      </c>
      <c r="J167">
        <v>10</v>
      </c>
    </row>
    <row r="168" spans="1:10" x14ac:dyDescent="0.25">
      <c r="A168">
        <v>3147</v>
      </c>
      <c r="B168" s="11">
        <v>45715</v>
      </c>
      <c r="C168" t="str">
        <v>Clothing</v>
      </c>
      <c r="D168" t="str">
        <v>BowTie</v>
      </c>
      <c r="E168">
        <v>6</v>
      </c>
      <c r="F168">
        <v>5000</v>
      </c>
      <c r="G168" t="str">
        <v>East</v>
      </c>
      <c r="H168" t="str">
        <v>Femi Adebayo</v>
      </c>
      <c r="I168" t="str">
        <v>Cash</v>
      </c>
      <c r="J168">
        <v>5</v>
      </c>
    </row>
    <row r="169" spans="1:10" x14ac:dyDescent="0.25">
      <c r="A169">
        <v>3148</v>
      </c>
      <c r="B169" s="11">
        <v>45716</v>
      </c>
      <c r="C169" t="str">
        <v>Furniture</v>
      </c>
      <c r="D169" t="str">
        <v>PlantPot</v>
      </c>
      <c r="E169">
        <v>8</v>
      </c>
      <c r="F169">
        <v>3000</v>
      </c>
      <c r="G169" t="str">
        <v>West</v>
      </c>
      <c r="H169" t="str">
        <v>Tunde Bakare</v>
      </c>
      <c r="I169" t="str">
        <v>Transfer</v>
      </c>
      <c r="J169">
        <v>0</v>
      </c>
    </row>
    <row r="170" spans="1:10" x14ac:dyDescent="0.25">
      <c r="A170">
        <v>3150</v>
      </c>
      <c r="B170" s="11">
        <v>45717</v>
      </c>
      <c r="C170" t="str">
        <v>Clothing</v>
      </c>
      <c r="D170" t="str">
        <v>FaceMaskPack</v>
      </c>
      <c r="E170">
        <v>12</v>
      </c>
      <c r="F170">
        <v>2000</v>
      </c>
      <c r="G170" t="str">
        <v>South</v>
      </c>
      <c r="H170" t="str">
        <v>Chidi Nwosu</v>
      </c>
      <c r="I170" t="str">
        <v>Cash</v>
      </c>
      <c r="J170">
        <v>5</v>
      </c>
    </row>
    <row r="171" spans="1:10" x14ac:dyDescent="0.25">
      <c r="A171">
        <v>3151</v>
      </c>
      <c r="B171" s="11">
        <v>45668</v>
      </c>
      <c r="C171" t="str">
        <v>Furniture</v>
      </c>
      <c r="D171" t="str">
        <v>PictureFrame</v>
      </c>
      <c r="E171">
        <v>6</v>
      </c>
      <c r="F171">
        <v>5000</v>
      </c>
      <c r="G171" t="str">
        <v>East</v>
      </c>
      <c r="H171" t="str">
        <v>Femi Adebayo</v>
      </c>
      <c r="I171" t="str">
        <v>Transfer</v>
      </c>
      <c r="J171">
        <v>0</v>
      </c>
    </row>
    <row r="172" spans="1:10" x14ac:dyDescent="0.25">
      <c r="A172">
        <v>3153</v>
      </c>
      <c r="B172" s="11">
        <v>45670</v>
      </c>
      <c r="C172" t="str">
        <v>Clothing</v>
      </c>
      <c r="D172" t="str">
        <v>SportsBra</v>
      </c>
      <c r="E172">
        <v>5</v>
      </c>
      <c r="F172">
        <v>7000</v>
      </c>
      <c r="G172" t="str">
        <v>North</v>
      </c>
      <c r="H172" t="str">
        <v>Abiola Ogun</v>
      </c>
      <c r="I172" t="str">
        <v>Cash</v>
      </c>
      <c r="J172">
        <v>5</v>
      </c>
    </row>
    <row r="173" spans="1:10" x14ac:dyDescent="0.25">
      <c r="A173">
        <v>3154</v>
      </c>
      <c r="B173" s="11">
        <v>45671</v>
      </c>
      <c r="C173" t="str">
        <v>Furniture</v>
      </c>
      <c r="D173" t="str">
        <v>JewelryBox</v>
      </c>
      <c r="E173">
        <v>2</v>
      </c>
      <c r="F173">
        <v>12000</v>
      </c>
      <c r="G173" t="str">
        <v>South</v>
      </c>
      <c r="H173" t="str">
        <v>Chidi Nwosu</v>
      </c>
      <c r="I173" t="str">
        <v>Transfer</v>
      </c>
      <c r="J173">
        <v>0</v>
      </c>
    </row>
    <row r="174" spans="1:10" x14ac:dyDescent="0.25">
      <c r="A174">
        <v>3156</v>
      </c>
      <c r="B174" s="11">
        <v>45673</v>
      </c>
      <c r="C174" t="str">
        <v>Clothing</v>
      </c>
      <c r="D174" t="str">
        <v>Sunglasses</v>
      </c>
      <c r="E174">
        <v>4</v>
      </c>
      <c r="F174">
        <v>15000</v>
      </c>
      <c r="G174" t="str">
        <v>West</v>
      </c>
      <c r="H174" t="str">
        <v>Tunde Bakare</v>
      </c>
      <c r="I174" t="str">
        <v>Cash</v>
      </c>
      <c r="J174">
        <v>10</v>
      </c>
    </row>
    <row r="175" spans="1:10" x14ac:dyDescent="0.25">
      <c r="A175">
        <v>3157</v>
      </c>
      <c r="B175" s="11">
        <v>45674</v>
      </c>
      <c r="C175" t="str">
        <v>Furniture</v>
      </c>
      <c r="D175" t="str">
        <v>Cushion</v>
      </c>
      <c r="E175">
        <v>6</v>
      </c>
      <c r="F175">
        <v>6000</v>
      </c>
      <c r="G175" t="str">
        <v>North</v>
      </c>
      <c r="H175" t="str">
        <v>Abiola Ogun</v>
      </c>
      <c r="I175" t="str">
        <v>Transfer</v>
      </c>
      <c r="J175">
        <v>0</v>
      </c>
    </row>
    <row r="176" spans="1:10" x14ac:dyDescent="0.25">
      <c r="A176">
        <v>3159</v>
      </c>
      <c r="B176" s="11">
        <v>45676</v>
      </c>
      <c r="C176" t="str">
        <v>Clothing</v>
      </c>
      <c r="D176" t="str">
        <v>WaistBag</v>
      </c>
      <c r="E176">
        <v>3</v>
      </c>
      <c r="F176">
        <v>10000</v>
      </c>
      <c r="G176" t="str">
        <v>East</v>
      </c>
      <c r="H176" t="str">
        <v>Femi Adebayo</v>
      </c>
      <c r="I176" t="str">
        <v>Cash</v>
      </c>
      <c r="J176">
        <v>0</v>
      </c>
    </row>
    <row r="177" spans="1:10" x14ac:dyDescent="0.25">
      <c r="A177">
        <v>3160</v>
      </c>
      <c r="B177" s="11">
        <v>45677</v>
      </c>
      <c r="C177" t="str">
        <v>Furniture</v>
      </c>
      <c r="D177" t="str">
        <v>ThrowBlanket</v>
      </c>
      <c r="E177">
        <v>3</v>
      </c>
      <c r="F177">
        <v>15000</v>
      </c>
      <c r="G177" t="str">
        <v>West</v>
      </c>
      <c r="H177" t="str">
        <v>Tunde Bakare</v>
      </c>
      <c r="I177" t="str">
        <v>Transfer</v>
      </c>
      <c r="J177">
        <v>0</v>
      </c>
    </row>
    <row r="178" spans="1:10" x14ac:dyDescent="0.25">
      <c r="A178">
        <v>3162</v>
      </c>
      <c r="B178" s="11">
        <v>45679</v>
      </c>
      <c r="C178" t="str">
        <v>Clothing</v>
      </c>
      <c r="D178" t="str">
        <v>Swimsuit</v>
      </c>
      <c r="E178">
        <v>2</v>
      </c>
      <c r="F178">
        <v>12000</v>
      </c>
      <c r="G178" t="str">
        <v>South</v>
      </c>
      <c r="H178" t="str">
        <v>Chidi Nwosu</v>
      </c>
      <c r="I178" t="str">
        <v>Cash</v>
      </c>
      <c r="J178">
        <v>0</v>
      </c>
    </row>
    <row r="179" spans="1:10" x14ac:dyDescent="0.25">
      <c r="A179">
        <v>3163</v>
      </c>
      <c r="B179" s="11">
        <v>45680</v>
      </c>
      <c r="C179" t="str">
        <v>Furniture</v>
      </c>
      <c r="D179" t="str">
        <v>BathMat</v>
      </c>
      <c r="E179">
        <v>6</v>
      </c>
      <c r="F179">
        <v>4000</v>
      </c>
      <c r="G179" t="str">
        <v>East</v>
      </c>
      <c r="H179" t="str">
        <v>Femi Adebayo</v>
      </c>
      <c r="I179" t="str">
        <v>Transfer</v>
      </c>
      <c r="J179">
        <v>0</v>
      </c>
    </row>
    <row r="180" spans="1:10" x14ac:dyDescent="0.25">
      <c r="A180">
        <v>3165</v>
      </c>
      <c r="B180" s="11">
        <v>45682</v>
      </c>
      <c r="C180" t="str">
        <v>Clothing</v>
      </c>
      <c r="D180" t="str">
        <v>Shawl</v>
      </c>
      <c r="E180">
        <v>4</v>
      </c>
      <c r="F180">
        <v>8000</v>
      </c>
      <c r="G180" t="str">
        <v>North</v>
      </c>
      <c r="H180" t="str">
        <v>Abiola Ogun</v>
      </c>
      <c r="I180" t="str">
        <v>Cash</v>
      </c>
      <c r="J180">
        <v>0</v>
      </c>
    </row>
    <row r="181" spans="1:10" x14ac:dyDescent="0.25">
      <c r="A181">
        <v>3166</v>
      </c>
      <c r="B181" s="11">
        <v>45683</v>
      </c>
      <c r="C181" t="str">
        <v>Furniture</v>
      </c>
      <c r="D181" t="str">
        <v>KitchenTrolley</v>
      </c>
      <c r="E181">
        <v>1</v>
      </c>
      <c r="F181">
        <v>45000</v>
      </c>
      <c r="G181" t="str">
        <v>South</v>
      </c>
      <c r="H181" t="str">
        <v>Chidi Nwosu</v>
      </c>
      <c r="I181" t="str">
        <v>Transfer</v>
      </c>
      <c r="J181">
        <v>5</v>
      </c>
    </row>
    <row r="182" spans="1:10" x14ac:dyDescent="0.25">
      <c r="A182">
        <v>3168</v>
      </c>
      <c r="B182" s="11">
        <v>45685</v>
      </c>
      <c r="C182" t="str">
        <v>Clothing</v>
      </c>
      <c r="D182" t="str">
        <v>SlipDress</v>
      </c>
      <c r="E182">
        <v>2</v>
      </c>
      <c r="F182">
        <v>18000</v>
      </c>
      <c r="G182" t="str">
        <v>West</v>
      </c>
      <c r="H182" t="str">
        <v>Tunde Bakare</v>
      </c>
      <c r="I182" t="str">
        <v>Cash</v>
      </c>
      <c r="J182">
        <v>0</v>
      </c>
    </row>
    <row r="183" spans="1:10" x14ac:dyDescent="0.25">
      <c r="A183">
        <v>3169</v>
      </c>
      <c r="B183" s="11">
        <v>45686</v>
      </c>
      <c r="C183" t="str">
        <v>Furniture</v>
      </c>
      <c r="D183" t="str">
        <v>OverbedTable</v>
      </c>
      <c r="E183">
        <v>1</v>
      </c>
      <c r="F183">
        <v>25000</v>
      </c>
      <c r="G183" t="str">
        <v>North</v>
      </c>
      <c r="H183" t="str">
        <v>Abiola Ogun</v>
      </c>
      <c r="I183" t="str">
        <v>Transfer</v>
      </c>
      <c r="J183">
        <v>5</v>
      </c>
    </row>
    <row r="184" spans="1:10" x14ac:dyDescent="0.25">
      <c r="A184">
        <v>3171</v>
      </c>
      <c r="B184" s="11">
        <v>45688</v>
      </c>
      <c r="C184" t="str">
        <v>Clothing</v>
      </c>
      <c r="D184" t="str">
        <v>LegWarmers</v>
      </c>
      <c r="E184">
        <v>5</v>
      </c>
      <c r="F184">
        <v>5000</v>
      </c>
      <c r="G184" t="str">
        <v>East</v>
      </c>
      <c r="H184" t="str">
        <v>Femi Adebayo</v>
      </c>
      <c r="I184" t="str">
        <v>Cash</v>
      </c>
      <c r="J184">
        <v>0</v>
      </c>
    </row>
    <row r="185" spans="1:10" x14ac:dyDescent="0.25">
      <c r="A185">
        <v>3172</v>
      </c>
      <c r="B185" s="11">
        <v>45689</v>
      </c>
      <c r="C185" t="str">
        <v>Furniture</v>
      </c>
      <c r="D185" t="str">
        <v>ClothesRack</v>
      </c>
      <c r="E185">
        <v>2</v>
      </c>
      <c r="F185">
        <v>20000</v>
      </c>
      <c r="G185" t="str">
        <v>West</v>
      </c>
      <c r="H185" t="str">
        <v>Tunde Bakare</v>
      </c>
      <c r="I185" t="str">
        <v>Transfer</v>
      </c>
      <c r="J185">
        <v>10</v>
      </c>
    </row>
    <row r="186" spans="1:10" x14ac:dyDescent="0.25">
      <c r="A186">
        <v>3174</v>
      </c>
      <c r="B186" s="11">
        <v>45691</v>
      </c>
      <c r="C186" t="str">
        <v>Clothing</v>
      </c>
      <c r="D186" t="str">
        <v>CorsetTop</v>
      </c>
      <c r="E186">
        <v>4</v>
      </c>
      <c r="F186">
        <v>10000</v>
      </c>
      <c r="G186" t="str">
        <v>South</v>
      </c>
      <c r="H186" t="str">
        <v>Chidi Nwosu</v>
      </c>
      <c r="I186" t="str">
        <v>Cash</v>
      </c>
      <c r="J186">
        <v>5</v>
      </c>
    </row>
    <row r="187" spans="1:10" x14ac:dyDescent="0.25">
      <c r="A187">
        <v>3175</v>
      </c>
      <c r="B187" s="11">
        <v>45692</v>
      </c>
      <c r="C187" t="str">
        <v>Furniture</v>
      </c>
      <c r="D187" t="str">
        <v>VanityTable</v>
      </c>
      <c r="E187">
        <v>1</v>
      </c>
      <c r="F187">
        <v>85000</v>
      </c>
      <c r="G187" t="str">
        <v>East</v>
      </c>
      <c r="H187" t="str">
        <v>Femi Adebayo</v>
      </c>
      <c r="I187" t="str">
        <v>Transfer</v>
      </c>
      <c r="J187">
        <v>0</v>
      </c>
    </row>
    <row r="188" spans="1:10" x14ac:dyDescent="0.25">
      <c r="A188">
        <v>3177</v>
      </c>
      <c r="B188" s="11">
        <v>45694</v>
      </c>
      <c r="C188" t="str">
        <v>Clothing</v>
      </c>
      <c r="D188" t="str">
        <v>AnkleSocks</v>
      </c>
      <c r="E188">
        <v>8</v>
      </c>
      <c r="F188">
        <v>2000</v>
      </c>
      <c r="G188" t="str">
        <v>North</v>
      </c>
      <c r="H188" t="str">
        <v>Abiola Ogun</v>
      </c>
      <c r="I188" t="str">
        <v>Cash</v>
      </c>
      <c r="J188">
        <v>5</v>
      </c>
    </row>
    <row r="189" spans="1:10" x14ac:dyDescent="0.25">
      <c r="A189">
        <v>3178</v>
      </c>
      <c r="B189" s="11">
        <v>45695</v>
      </c>
      <c r="C189" t="str">
        <v>Furniture</v>
      </c>
      <c r="D189" t="str">
        <v>WallHook</v>
      </c>
      <c r="E189">
        <v>12</v>
      </c>
      <c r="F189">
        <v>1500</v>
      </c>
      <c r="G189" t="str">
        <v>South</v>
      </c>
      <c r="H189" t="str">
        <v>Chidi Nwosu</v>
      </c>
      <c r="I189" t="str">
        <v>Transfer</v>
      </c>
      <c r="J189">
        <v>0</v>
      </c>
    </row>
    <row r="190" spans="1:10" x14ac:dyDescent="0.25">
      <c r="A190">
        <v>3180</v>
      </c>
      <c r="B190" s="11">
        <v>45697</v>
      </c>
      <c r="C190" t="str">
        <v>Clothing</v>
      </c>
      <c r="D190" t="str">
        <v>Headband</v>
      </c>
      <c r="E190">
        <v>8</v>
      </c>
      <c r="F190">
        <v>2000</v>
      </c>
      <c r="G190" t="str">
        <v>West</v>
      </c>
      <c r="H190" t="str">
        <v>Tunde Bakare</v>
      </c>
      <c r="I190" t="str">
        <v>Cash</v>
      </c>
      <c r="J190">
        <v>10</v>
      </c>
    </row>
    <row r="191" spans="1:10" x14ac:dyDescent="0.25">
      <c r="A191">
        <v>3181</v>
      </c>
      <c r="B191" s="11">
        <v>45698</v>
      </c>
      <c r="C191" t="str">
        <v>Furniture</v>
      </c>
      <c r="D191" t="str">
        <v>TrashCan</v>
      </c>
      <c r="E191">
        <v>3</v>
      </c>
      <c r="F191">
        <v>8000</v>
      </c>
      <c r="G191" t="str">
        <v>North</v>
      </c>
      <c r="H191" t="str">
        <v>Abiola Ogun</v>
      </c>
      <c r="I191" t="str">
        <v>Transfer</v>
      </c>
      <c r="J191">
        <v>0</v>
      </c>
    </row>
    <row r="192" spans="1:10" x14ac:dyDescent="0.25">
      <c r="A192">
        <v>3183</v>
      </c>
      <c r="B192" s="11">
        <v>45700</v>
      </c>
      <c r="C192" t="str">
        <v>Clothing</v>
      </c>
      <c r="D192" t="str">
        <v>TieDyeShirt</v>
      </c>
      <c r="E192">
        <v>3</v>
      </c>
      <c r="F192">
        <v>12000</v>
      </c>
      <c r="G192" t="str">
        <v>East</v>
      </c>
      <c r="H192" t="str">
        <v>Femi Adebayo</v>
      </c>
      <c r="I192" t="str">
        <v>Cash</v>
      </c>
      <c r="J192">
        <v>0</v>
      </c>
    </row>
    <row r="193" spans="1:10" x14ac:dyDescent="0.25">
      <c r="A193">
        <v>3184</v>
      </c>
      <c r="B193" s="11">
        <v>45701</v>
      </c>
      <c r="C193" t="str">
        <v>Furniture</v>
      </c>
      <c r="D193" t="str">
        <v>FireplaceScreen</v>
      </c>
      <c r="E193">
        <v>1</v>
      </c>
      <c r="F193">
        <v>45000</v>
      </c>
      <c r="G193" t="str">
        <v>West</v>
      </c>
      <c r="H193" t="str">
        <v>Tunde Bakare</v>
      </c>
      <c r="I193" t="str">
        <v>Transfer</v>
      </c>
      <c r="J193">
        <v>0</v>
      </c>
    </row>
    <row r="194" spans="1:10" x14ac:dyDescent="0.25">
      <c r="A194">
        <v>3186</v>
      </c>
      <c r="B194" s="11">
        <v>45703</v>
      </c>
      <c r="C194" t="str">
        <v>Clothing</v>
      </c>
      <c r="D194" t="str">
        <v>Romper</v>
      </c>
      <c r="E194">
        <v>2</v>
      </c>
      <c r="F194">
        <v>18000</v>
      </c>
      <c r="G194" t="str">
        <v>South</v>
      </c>
      <c r="H194" t="str">
        <v>Chidi Nwosu</v>
      </c>
      <c r="I194" t="str">
        <v>Cash</v>
      </c>
      <c r="J194">
        <v>0</v>
      </c>
    </row>
    <row r="195" spans="1:10" x14ac:dyDescent="0.25">
      <c r="A195">
        <v>3187</v>
      </c>
      <c r="B195" s="11">
        <v>45704</v>
      </c>
      <c r="C195" t="str">
        <v>Furniture</v>
      </c>
      <c r="D195" t="str">
        <v>PetCrate</v>
      </c>
      <c r="E195">
        <v>1</v>
      </c>
      <c r="F195">
        <v>35000</v>
      </c>
      <c r="G195" t="str">
        <v>East</v>
      </c>
      <c r="H195" t="str">
        <v>Femi Adebayo</v>
      </c>
      <c r="I195" t="str">
        <v>Transfer</v>
      </c>
      <c r="J195">
        <v>0</v>
      </c>
    </row>
    <row r="196" spans="1:10" x14ac:dyDescent="0.25">
      <c r="A196">
        <v>3189</v>
      </c>
      <c r="B196" s="11">
        <v>45706</v>
      </c>
      <c r="C196" t="str">
        <v>Clothing</v>
      </c>
      <c r="D196" t="str">
        <v>FannyPack</v>
      </c>
      <c r="E196">
        <v>4</v>
      </c>
      <c r="F196">
        <v>8000</v>
      </c>
      <c r="G196" t="str">
        <v>North</v>
      </c>
      <c r="H196" t="str">
        <v>Abiola Ogun</v>
      </c>
      <c r="I196" t="str">
        <v>Cash</v>
      </c>
      <c r="J196">
        <v>0</v>
      </c>
    </row>
    <row r="197" spans="1:10" x14ac:dyDescent="0.25">
      <c r="A197">
        <v>3190</v>
      </c>
      <c r="B197" s="11">
        <v>45707</v>
      </c>
      <c r="C197" t="str">
        <v>Furniture</v>
      </c>
      <c r="D197" t="str">
        <v>MakeupMirror</v>
      </c>
      <c r="E197">
        <v>2</v>
      </c>
      <c r="F197">
        <v>12000</v>
      </c>
      <c r="G197" t="str">
        <v>South</v>
      </c>
      <c r="H197" t="str">
        <v>Chidi Nwosu</v>
      </c>
      <c r="I197" t="str">
        <v>Transfer</v>
      </c>
      <c r="J197">
        <v>5</v>
      </c>
    </row>
    <row r="198" spans="1:10" x14ac:dyDescent="0.25">
      <c r="A198">
        <v>3192</v>
      </c>
      <c r="B198" s="11">
        <v>45709</v>
      </c>
      <c r="C198" t="str">
        <v>Clothing</v>
      </c>
      <c r="D198" t="str">
        <v>BaseballCap</v>
      </c>
      <c r="E198">
        <v>5</v>
      </c>
      <c r="F198">
        <v>7000</v>
      </c>
      <c r="G198" t="str">
        <v>West</v>
      </c>
      <c r="H198" t="str">
        <v>Tunde Bakare</v>
      </c>
      <c r="I198" t="str">
        <v>Cash</v>
      </c>
      <c r="J198">
        <v>0</v>
      </c>
    </row>
    <row r="199" spans="1:10" x14ac:dyDescent="0.25">
      <c r="A199">
        <v>3193</v>
      </c>
      <c r="B199" s="11">
        <v>45710</v>
      </c>
      <c r="C199" t="str">
        <v>Furniture</v>
      </c>
      <c r="D199" t="str">
        <v>CoatHook</v>
      </c>
      <c r="E199">
        <v>9</v>
      </c>
      <c r="F199">
        <v>3000</v>
      </c>
      <c r="G199" t="str">
        <v>North</v>
      </c>
      <c r="H199" t="str">
        <v>Abiola Ogun</v>
      </c>
      <c r="I199" t="str">
        <v>Transfer</v>
      </c>
      <c r="J199">
        <v>5</v>
      </c>
    </row>
    <row r="200" spans="1:10" x14ac:dyDescent="0.25">
      <c r="A200">
        <v>3195</v>
      </c>
      <c r="B200" s="11">
        <v>45712</v>
      </c>
      <c r="C200" t="str">
        <v>Clothing</v>
      </c>
      <c r="D200" t="str">
        <v>Agbada</v>
      </c>
      <c r="E200">
        <v>1</v>
      </c>
      <c r="F200">
        <v>85000</v>
      </c>
      <c r="G200" t="str">
        <v>East</v>
      </c>
      <c r="H200" t="str">
        <v>Femi Adebayo</v>
      </c>
      <c r="I200" t="str">
        <v>Cash</v>
      </c>
      <c r="J200">
        <v>0</v>
      </c>
    </row>
    <row r="201" spans="1:10" x14ac:dyDescent="0.25">
      <c r="A201">
        <v>3196</v>
      </c>
      <c r="B201" s="11">
        <v>45713</v>
      </c>
      <c r="C201" t="str">
        <v>Furniture</v>
      </c>
      <c r="D201" t="str">
        <v>TraditionalStool</v>
      </c>
      <c r="E201">
        <v>3</v>
      </c>
      <c r="F201">
        <v>25000</v>
      </c>
      <c r="G201" t="str">
        <v>West</v>
      </c>
      <c r="H201" t="str">
        <v>Tunde Bakare</v>
      </c>
      <c r="I201" t="str">
        <v>Transfer</v>
      </c>
      <c r="J201">
        <v>10</v>
      </c>
    </row>
    <row r="202" spans="1:10" x14ac:dyDescent="0.25">
      <c r="A202">
        <v>3198</v>
      </c>
      <c r="B202" s="11">
        <v>45715</v>
      </c>
      <c r="C202" t="str">
        <v>Clothing</v>
      </c>
      <c r="D202" t="str">
        <v>Hijab</v>
      </c>
      <c r="E202">
        <v>5</v>
      </c>
      <c r="F202">
        <v>8000</v>
      </c>
      <c r="G202" t="str">
        <v>South</v>
      </c>
      <c r="H202" t="str">
        <v>Chidi Nwosu</v>
      </c>
      <c r="I202" t="str">
        <v>Cash</v>
      </c>
      <c r="J202">
        <v>5</v>
      </c>
    </row>
    <row r="203" spans="1:10" x14ac:dyDescent="0.25">
      <c r="A203">
        <v>3199</v>
      </c>
      <c r="B203" s="11">
        <v>45716</v>
      </c>
      <c r="C203" t="str">
        <v>Furniture</v>
      </c>
      <c r="D203" t="str">
        <v>PrayerMat</v>
      </c>
      <c r="E203">
        <v>3</v>
      </c>
      <c r="F203">
        <v>10000</v>
      </c>
      <c r="G203" t="str">
        <v>East</v>
      </c>
      <c r="H203" t="str">
        <v>Femi Adebayo</v>
      </c>
      <c r="I203" t="str">
        <v>Transfer</v>
      </c>
      <c r="J203">
        <v>0</v>
      </c>
    </row>
    <row r="204" spans="1:10" x14ac:dyDescent="0.25">
      <c r="A204">
        <v>3202</v>
      </c>
      <c r="B204" s="11">
        <v>45673</v>
      </c>
      <c r="C204" t="str">
        <v>Clothing</v>
      </c>
      <c r="D204" t="str">
        <v>DenimJacket</v>
      </c>
      <c r="E204">
        <v>2</v>
      </c>
      <c r="F204">
        <v>25000</v>
      </c>
      <c r="G204" t="str">
        <v>South</v>
      </c>
      <c r="H204" t="str">
        <v>Chidi Nwosu</v>
      </c>
      <c r="I204" t="str">
        <v>Cash</v>
      </c>
      <c r="J204">
        <v>0</v>
      </c>
    </row>
    <row r="205" spans="1:10" x14ac:dyDescent="0.25">
      <c r="A205">
        <v>3203</v>
      </c>
      <c r="B205" s="11">
        <v>45674</v>
      </c>
      <c r="C205" t="str">
        <v>Furniture</v>
      </c>
      <c r="D205" t="str">
        <v>AccentChair</v>
      </c>
      <c r="E205">
        <v>2</v>
      </c>
      <c r="F205">
        <v>95000</v>
      </c>
      <c r="G205" t="str">
        <v>East</v>
      </c>
      <c r="H205" t="str">
        <v>Femi Adebayo</v>
      </c>
      <c r="I205" t="str">
        <v>Transfer</v>
      </c>
      <c r="J205">
        <v>10</v>
      </c>
    </row>
    <row r="206" spans="1:10" x14ac:dyDescent="0.25">
      <c r="A206">
        <v>3205</v>
      </c>
      <c r="B206" s="11">
        <v>45676</v>
      </c>
      <c r="C206" t="str">
        <v>Clothing</v>
      </c>
      <c r="D206" t="str">
        <v>LeatherJacket</v>
      </c>
      <c r="E206">
        <v>1</v>
      </c>
      <c r="F206">
        <v>75000</v>
      </c>
      <c r="G206" t="str">
        <v>North</v>
      </c>
      <c r="H206" t="str">
        <v>Abiola Ogun</v>
      </c>
      <c r="I206" t="str">
        <v>Cash</v>
      </c>
      <c r="J206">
        <v>5</v>
      </c>
    </row>
    <row r="207" spans="1:10" x14ac:dyDescent="0.25">
      <c r="A207">
        <v>3206</v>
      </c>
      <c r="B207" s="11">
        <v>45677</v>
      </c>
      <c r="C207" t="str">
        <v>Furniture</v>
      </c>
      <c r="D207" t="str">
        <v>ConsoleTable</v>
      </c>
      <c r="E207">
        <v>1</v>
      </c>
      <c r="F207">
        <v>55000</v>
      </c>
      <c r="G207" t="str">
        <v>South</v>
      </c>
      <c r="H207" t="str">
        <v>Chidi Nwosu</v>
      </c>
      <c r="I207" t="str">
        <v>Transfer</v>
      </c>
      <c r="J207">
        <v>0</v>
      </c>
    </row>
    <row r="208" spans="1:10" x14ac:dyDescent="0.25">
      <c r="A208">
        <v>3208</v>
      </c>
      <c r="B208" s="11">
        <v>45679</v>
      </c>
      <c r="C208" t="str">
        <v>Clothing</v>
      </c>
      <c r="D208" t="str">
        <v>CargoPants</v>
      </c>
      <c r="E208">
        <v>3</v>
      </c>
      <c r="F208">
        <v>15000</v>
      </c>
      <c r="G208" t="str">
        <v>West</v>
      </c>
      <c r="H208" t="str">
        <v>Tunde Bakare</v>
      </c>
      <c r="I208" t="str">
        <v>Cash</v>
      </c>
      <c r="J208">
        <v>5</v>
      </c>
    </row>
    <row r="209" spans="1:10" x14ac:dyDescent="0.25">
      <c r="A209">
        <v>3209</v>
      </c>
      <c r="B209" s="11">
        <v>45680</v>
      </c>
      <c r="C209" t="str">
        <v>Furniture</v>
      </c>
      <c r="D209" t="str">
        <v>AdirondackChair</v>
      </c>
      <c r="E209">
        <v>2</v>
      </c>
      <c r="F209">
        <v>45000</v>
      </c>
      <c r="G209" t="str">
        <v>North</v>
      </c>
      <c r="H209" t="str">
        <v>Abiola Ogun</v>
      </c>
      <c r="I209" t="str">
        <v>Transfer</v>
      </c>
      <c r="J209">
        <v>0</v>
      </c>
    </row>
    <row r="210" spans="1:10" x14ac:dyDescent="0.25">
      <c r="A210">
        <v>3211</v>
      </c>
      <c r="B210" s="11">
        <v>45682</v>
      </c>
      <c r="C210" t="str">
        <v>Clothing</v>
      </c>
      <c r="D210" t="str">
        <v>Windbreaker</v>
      </c>
      <c r="E210">
        <v>2</v>
      </c>
      <c r="F210">
        <v>35000</v>
      </c>
      <c r="G210" t="str">
        <v>East</v>
      </c>
      <c r="H210" t="str">
        <v>Femi Adebayo</v>
      </c>
      <c r="I210" t="str">
        <v>Cash</v>
      </c>
      <c r="J210">
        <v>10</v>
      </c>
    </row>
    <row r="211" spans="1:10" x14ac:dyDescent="0.25">
      <c r="A211">
        <v>3212</v>
      </c>
      <c r="B211" s="11">
        <v>45683</v>
      </c>
      <c r="C211" t="str">
        <v>Furniture</v>
      </c>
      <c r="D211" t="str">
        <v>HangingChair</v>
      </c>
      <c r="E211">
        <v>1</v>
      </c>
      <c r="F211">
        <v>85000</v>
      </c>
      <c r="G211" t="str">
        <v>West</v>
      </c>
      <c r="H211" t="str">
        <v>Tunde Bakare</v>
      </c>
      <c r="I211" t="str">
        <v>Transfer</v>
      </c>
      <c r="J211">
        <v>0</v>
      </c>
    </row>
    <row r="212" spans="1:10" x14ac:dyDescent="0.25">
      <c r="A212">
        <v>3214</v>
      </c>
      <c r="B212" s="11">
        <v>45685</v>
      </c>
      <c r="C212" t="str">
        <v>Clothing</v>
      </c>
      <c r="D212" t="str">
        <v>JeansShorts</v>
      </c>
      <c r="E212">
        <v>5</v>
      </c>
      <c r="F212">
        <v>10000</v>
      </c>
      <c r="G212" t="str">
        <v>South</v>
      </c>
      <c r="H212" t="str">
        <v>Chidi Nwosu</v>
      </c>
      <c r="I212" t="str">
        <v>Cash</v>
      </c>
      <c r="J212">
        <v>0</v>
      </c>
    </row>
    <row r="213" spans="1:10" x14ac:dyDescent="0.25">
      <c r="A213">
        <v>3215</v>
      </c>
      <c r="B213" s="11">
        <v>45686</v>
      </c>
      <c r="C213" t="str">
        <v>Furniture</v>
      </c>
      <c r="D213" t="str">
        <v>BarCabinet</v>
      </c>
      <c r="E213">
        <v>1</v>
      </c>
      <c r="F213">
        <v>120000</v>
      </c>
      <c r="G213" t="str">
        <v>East</v>
      </c>
      <c r="H213" t="str">
        <v>Femi Adebayo</v>
      </c>
      <c r="I213" t="str">
        <v>Transfer</v>
      </c>
      <c r="J213">
        <v>0</v>
      </c>
    </row>
    <row r="214" spans="1:10" x14ac:dyDescent="0.25">
      <c r="A214">
        <v>3217</v>
      </c>
      <c r="B214" s="11">
        <v>45688</v>
      </c>
      <c r="C214" t="str">
        <v>Clothing</v>
      </c>
      <c r="D214" t="str">
        <v>Turtleneck</v>
      </c>
      <c r="E214">
        <v>3</v>
      </c>
      <c r="F214">
        <v>12000</v>
      </c>
      <c r="G214" t="str">
        <v>North</v>
      </c>
      <c r="H214" t="str">
        <v>Abiola Ogun</v>
      </c>
      <c r="I214" t="str">
        <v>Cash</v>
      </c>
      <c r="J214">
        <v>0</v>
      </c>
    </row>
    <row r="215" spans="1:10" x14ac:dyDescent="0.25">
      <c r="A215">
        <v>3218</v>
      </c>
      <c r="B215" s="11">
        <v>45689</v>
      </c>
      <c r="C215" t="str">
        <v>Furniture</v>
      </c>
      <c r="D215" t="str">
        <v>WallPuzzle</v>
      </c>
      <c r="E215">
        <v>2</v>
      </c>
      <c r="F215">
        <v>15000</v>
      </c>
      <c r="G215" t="str">
        <v>South</v>
      </c>
      <c r="H215" t="str">
        <v>Chidi Nwosu</v>
      </c>
      <c r="I215" t="str">
        <v>Transfer</v>
      </c>
      <c r="J215">
        <v>0</v>
      </c>
    </row>
    <row r="216" spans="1:10" x14ac:dyDescent="0.25">
      <c r="A216">
        <v>3220</v>
      </c>
      <c r="B216" s="11">
        <v>45691</v>
      </c>
      <c r="C216" t="str">
        <v>Clothing</v>
      </c>
      <c r="D216" t="str">
        <v>SilkScarf</v>
      </c>
      <c r="E216">
        <v>4</v>
      </c>
      <c r="F216">
        <v>12000</v>
      </c>
      <c r="G216" t="str">
        <v>West</v>
      </c>
      <c r="H216" t="str">
        <v>Tunde Bakare</v>
      </c>
      <c r="I216" t="str">
        <v>Cash</v>
      </c>
      <c r="J216">
        <v>0</v>
      </c>
    </row>
    <row r="217" spans="1:10" x14ac:dyDescent="0.25">
      <c r="A217">
        <v>3221</v>
      </c>
      <c r="B217" s="11">
        <v>45692</v>
      </c>
      <c r="C217" t="str">
        <v>Furniture</v>
      </c>
      <c r="D217" t="str">
        <v>BistroTable</v>
      </c>
      <c r="E217">
        <v>2</v>
      </c>
      <c r="F217">
        <v>35000</v>
      </c>
      <c r="G217" t="str">
        <v>North</v>
      </c>
      <c r="H217" t="str">
        <v>Abiola Ogun</v>
      </c>
      <c r="I217" t="str">
        <v>Transfer</v>
      </c>
      <c r="J217">
        <v>5</v>
      </c>
    </row>
    <row r="218" spans="1:10" x14ac:dyDescent="0.25">
      <c r="A218">
        <v>3223</v>
      </c>
      <c r="B218" s="11">
        <v>45694</v>
      </c>
      <c r="C218" t="str">
        <v>Clothing</v>
      </c>
      <c r="D218" t="str">
        <v>HikingBoots</v>
      </c>
      <c r="E218">
        <v>1</v>
      </c>
      <c r="F218">
        <v>55000</v>
      </c>
      <c r="G218" t="str">
        <v>East</v>
      </c>
      <c r="H218" t="str">
        <v>Femi Adebayo</v>
      </c>
      <c r="I218" t="str">
        <v>Cash</v>
      </c>
      <c r="J218">
        <v>0</v>
      </c>
    </row>
    <row r="219" spans="1:10" x14ac:dyDescent="0.25">
      <c r="A219">
        <v>3224</v>
      </c>
      <c r="B219" s="11">
        <v>45695</v>
      </c>
      <c r="C219" t="str">
        <v>Furniture</v>
      </c>
      <c r="D219" t="str">
        <v>FirePit</v>
      </c>
      <c r="E219">
        <v>1</v>
      </c>
      <c r="F219">
        <v>65000</v>
      </c>
      <c r="G219" t="str">
        <v>West</v>
      </c>
      <c r="H219" t="str">
        <v>Tunde Bakare</v>
      </c>
      <c r="I219" t="str">
        <v>Transfer</v>
      </c>
      <c r="J219">
        <v>10</v>
      </c>
    </row>
    <row r="220" spans="1:10" x14ac:dyDescent="0.25">
      <c r="A220">
        <v>3226</v>
      </c>
      <c r="B220" s="11">
        <v>45697</v>
      </c>
      <c r="C220" t="str">
        <v>Clothing</v>
      </c>
      <c r="D220" t="str">
        <v>Bathrobe</v>
      </c>
      <c r="E220">
        <v>3</v>
      </c>
      <c r="F220">
        <v>15000</v>
      </c>
      <c r="G220" t="str">
        <v>South</v>
      </c>
      <c r="H220" t="str">
        <v>Chidi Nwosu</v>
      </c>
      <c r="I220" t="str">
        <v>Cash</v>
      </c>
      <c r="J220">
        <v>5</v>
      </c>
    </row>
    <row r="221" spans="1:10" x14ac:dyDescent="0.25">
      <c r="A221">
        <v>3227</v>
      </c>
      <c r="B221" s="11">
        <v>45698</v>
      </c>
      <c r="C221" t="str">
        <v>Furniture</v>
      </c>
      <c r="D221" t="str">
        <v>ShagRug</v>
      </c>
      <c r="E221">
        <v>1</v>
      </c>
      <c r="F221">
        <v>35000</v>
      </c>
      <c r="G221" t="str">
        <v>East</v>
      </c>
      <c r="H221" t="str">
        <v>Femi Adebayo</v>
      </c>
      <c r="I221" t="str">
        <v>Transfer</v>
      </c>
      <c r="J221">
        <v>0</v>
      </c>
    </row>
    <row r="222" spans="1:10" x14ac:dyDescent="0.25">
      <c r="A222">
        <v>3229</v>
      </c>
      <c r="B222" s="11">
        <v>45700</v>
      </c>
      <c r="C222" t="str">
        <v>Clothing</v>
      </c>
      <c r="D222" t="str">
        <v>FlipFlops</v>
      </c>
      <c r="E222">
        <v>6</v>
      </c>
      <c r="F222">
        <v>5000</v>
      </c>
      <c r="G222" t="str">
        <v>North</v>
      </c>
      <c r="H222" t="str">
        <v>Abiola Ogun</v>
      </c>
      <c r="I222" t="str">
        <v>Cash</v>
      </c>
      <c r="J222">
        <v>5</v>
      </c>
    </row>
    <row r="223" spans="1:10" x14ac:dyDescent="0.25">
      <c r="A223">
        <v>3230</v>
      </c>
      <c r="B223" s="11">
        <v>45701</v>
      </c>
      <c r="C223" t="str">
        <v>Furniture</v>
      </c>
      <c r="D223" t="str">
        <v>DrawerOrganizer</v>
      </c>
      <c r="E223">
        <v>5</v>
      </c>
      <c r="F223">
        <v>4000</v>
      </c>
      <c r="G223" t="str">
        <v>South</v>
      </c>
      <c r="H223" t="str">
        <v>Chidi Nwosu</v>
      </c>
      <c r="I223" t="str">
        <v>Transfer</v>
      </c>
      <c r="J223">
        <v>0</v>
      </c>
    </row>
    <row r="224" spans="1:10" x14ac:dyDescent="0.25">
      <c r="A224">
        <v>3232</v>
      </c>
      <c r="B224" s="11">
        <v>45703</v>
      </c>
      <c r="C224" t="str">
        <v>Clothing</v>
      </c>
      <c r="D224" t="str">
        <v>Poncho</v>
      </c>
      <c r="E224">
        <v>2</v>
      </c>
      <c r="F224">
        <v>12000</v>
      </c>
      <c r="G224" t="str">
        <v>West</v>
      </c>
      <c r="H224" t="str">
        <v>Tunde Bakare</v>
      </c>
      <c r="I224" t="str">
        <v>Cash</v>
      </c>
      <c r="J224">
        <v>10</v>
      </c>
    </row>
    <row r="225" spans="1:10" x14ac:dyDescent="0.25">
      <c r="A225">
        <v>3233</v>
      </c>
      <c r="B225" s="11">
        <v>45704</v>
      </c>
      <c r="C225" t="str">
        <v>Furniture</v>
      </c>
      <c r="D225" t="str">
        <v>WallClock</v>
      </c>
      <c r="E225">
        <v>4</v>
      </c>
      <c r="F225">
        <v>7000</v>
      </c>
      <c r="G225" t="str">
        <v>North</v>
      </c>
      <c r="H225" t="str">
        <v>Abiola Ogun</v>
      </c>
      <c r="I225" t="str">
        <v>Transfer</v>
      </c>
      <c r="J225">
        <v>0</v>
      </c>
    </row>
    <row r="226" spans="1:10" x14ac:dyDescent="0.25">
      <c r="A226">
        <v>3235</v>
      </c>
      <c r="B226" s="11">
        <v>45706</v>
      </c>
      <c r="C226" t="str">
        <v>Clothing</v>
      </c>
      <c r="D226" t="str">
        <v>Leggings</v>
      </c>
      <c r="E226">
        <v>7</v>
      </c>
      <c r="F226">
        <v>8000</v>
      </c>
      <c r="G226" t="str">
        <v>East</v>
      </c>
      <c r="H226" t="str">
        <v>Femi Adebayo</v>
      </c>
      <c r="I226" t="str">
        <v>Cash</v>
      </c>
      <c r="J226">
        <v>0</v>
      </c>
    </row>
    <row r="227" spans="1:10" x14ac:dyDescent="0.25">
      <c r="A227">
        <v>3236</v>
      </c>
      <c r="B227" s="11">
        <v>45707</v>
      </c>
      <c r="C227" t="str">
        <v>Furniture</v>
      </c>
      <c r="D227" t="str">
        <v>MagazineRack</v>
      </c>
      <c r="E227">
        <v>3</v>
      </c>
      <c r="F227">
        <v>12000</v>
      </c>
      <c r="G227" t="str">
        <v>West</v>
      </c>
      <c r="H227" t="str">
        <v>Tunde Bakare</v>
      </c>
      <c r="I227" t="str">
        <v>Transfer</v>
      </c>
      <c r="J227">
        <v>0</v>
      </c>
    </row>
    <row r="228" spans="1:10" x14ac:dyDescent="0.25">
      <c r="A228">
        <v>3238</v>
      </c>
      <c r="B228" s="11">
        <v>45709</v>
      </c>
      <c r="C228" t="str">
        <v>Clothing</v>
      </c>
      <c r="D228" t="str">
        <v>Kimono</v>
      </c>
      <c r="E228">
        <v>3</v>
      </c>
      <c r="F228">
        <v>18000</v>
      </c>
      <c r="G228" t="str">
        <v>South</v>
      </c>
      <c r="H228" t="str">
        <v>Chidi Nwosu</v>
      </c>
      <c r="I228" t="str">
        <v>Cash</v>
      </c>
      <c r="J228">
        <v>0</v>
      </c>
    </row>
    <row r="229" spans="1:10" x14ac:dyDescent="0.25">
      <c r="A229">
        <v>3239</v>
      </c>
      <c r="B229" s="11">
        <v>45710</v>
      </c>
      <c r="C229" t="str">
        <v>Furniture</v>
      </c>
      <c r="D229" t="str">
        <v>FloatingShelf</v>
      </c>
      <c r="E229">
        <v>6</v>
      </c>
      <c r="F229">
        <v>15000</v>
      </c>
      <c r="G229" t="str">
        <v>East</v>
      </c>
      <c r="H229" t="str">
        <v>Femi Adebayo</v>
      </c>
      <c r="I229" t="str">
        <v>Transfer</v>
      </c>
      <c r="J229">
        <v>0</v>
      </c>
    </row>
    <row r="230" spans="1:10" x14ac:dyDescent="0.25">
      <c r="A230">
        <v>3241</v>
      </c>
      <c r="B230" s="11">
        <v>45712</v>
      </c>
      <c r="C230" t="str">
        <v>Clothing</v>
      </c>
      <c r="D230" t="str">
        <v>Suspenders</v>
      </c>
      <c r="E230">
        <v>5</v>
      </c>
      <c r="F230">
        <v>6000</v>
      </c>
      <c r="G230" t="str">
        <v>North</v>
      </c>
      <c r="H230" t="str">
        <v>Abiola Ogun</v>
      </c>
      <c r="I230" t="str">
        <v>Cash</v>
      </c>
      <c r="J230">
        <v>0</v>
      </c>
    </row>
    <row r="231" spans="1:10" x14ac:dyDescent="0.25">
      <c r="A231">
        <v>3242</v>
      </c>
      <c r="B231" s="11">
        <v>45713</v>
      </c>
      <c r="C231" t="str">
        <v>Furniture</v>
      </c>
      <c r="D231" t="str">
        <v>BarStool</v>
      </c>
      <c r="E231">
        <v>4</v>
      </c>
      <c r="F231">
        <v>25000</v>
      </c>
      <c r="G231" t="str">
        <v>South</v>
      </c>
      <c r="H231" t="str">
        <v>Chidi Nwosu</v>
      </c>
      <c r="I231" t="str">
        <v>Transfer</v>
      </c>
      <c r="J231">
        <v>5</v>
      </c>
    </row>
    <row r="232" spans="1:10" x14ac:dyDescent="0.25">
      <c r="A232">
        <v>3244</v>
      </c>
      <c r="B232" s="11">
        <v>45715</v>
      </c>
      <c r="C232" t="str">
        <v>Clothing</v>
      </c>
      <c r="D232" t="str">
        <v>NeckGaiter</v>
      </c>
      <c r="E232">
        <v>4</v>
      </c>
      <c r="F232">
        <v>5000</v>
      </c>
      <c r="G232" t="str">
        <v>West</v>
      </c>
      <c r="H232" t="str">
        <v>Tunde Bakare</v>
      </c>
      <c r="I232" t="str">
        <v>Cash</v>
      </c>
      <c r="J232">
        <v>0</v>
      </c>
    </row>
    <row r="233" spans="1:10" x14ac:dyDescent="0.25">
      <c r="A233">
        <v>3245</v>
      </c>
      <c r="B233" s="11">
        <v>45716</v>
      </c>
      <c r="C233" t="str">
        <v>Furniture</v>
      </c>
      <c r="D233" t="str">
        <v>Trunk</v>
      </c>
      <c r="E233">
        <v>1</v>
      </c>
      <c r="F233">
        <v>55000</v>
      </c>
      <c r="G233" t="str">
        <v>North</v>
      </c>
      <c r="H233" t="str">
        <v>Abiola Ogun</v>
      </c>
      <c r="I233" t="str">
        <v>Transfer</v>
      </c>
      <c r="J233">
        <v>5</v>
      </c>
    </row>
    <row r="234" spans="1:10" x14ac:dyDescent="0.25">
      <c r="B234" s="11"/>
    </row>
    <row r="235" spans="1:10" x14ac:dyDescent="0.25">
      <c r="B235" s="11"/>
    </row>
    <row r="236" spans="1:10" x14ac:dyDescent="0.25">
      <c r="A236" s="2" t="s">
        <v>0</v>
      </c>
      <c r="B236" s="10" t="s">
        <v>1</v>
      </c>
      <c r="C236" s="3" t="s">
        <v>2</v>
      </c>
      <c r="D236" s="3" t="s">
        <v>3</v>
      </c>
      <c r="E236" s="3" t="s">
        <v>4</v>
      </c>
      <c r="F236" s="6" t="s">
        <v>5</v>
      </c>
      <c r="G236" s="3" t="s">
        <v>6</v>
      </c>
      <c r="H236" s="3" t="s">
        <v>7</v>
      </c>
      <c r="I236" s="3" t="s">
        <v>8</v>
      </c>
      <c r="J236" s="4" t="s">
        <v>9</v>
      </c>
    </row>
    <row r="237" spans="1:10" x14ac:dyDescent="0.25">
      <c r="A237" cm="1">
        <f t="array" ref="A237:J400">_xlfn._xlws.FILTER(deepseek_csv_20260422_7f7afa[], deepseek_csv_20260422_7f7afa[PaymentMethod]&lt;&gt;"Cash")</f>
        <v>3001</v>
      </c>
      <c r="B237" s="11">
        <v>45667</v>
      </c>
      <c r="C237" t="str">
        <v>Electronics</v>
      </c>
      <c r="D237" t="str">
        <v>Laptop</v>
      </c>
      <c r="E237">
        <v>3</v>
      </c>
      <c r="F237">
        <v>450000</v>
      </c>
      <c r="G237" t="str">
        <v>North</v>
      </c>
      <c r="H237" t="str">
        <v>Abiola Ogun</v>
      </c>
      <c r="I237" t="str">
        <v>Card</v>
      </c>
      <c r="J237">
        <v>5</v>
      </c>
    </row>
    <row r="238" spans="1:10" x14ac:dyDescent="0.25">
      <c r="A238">
        <v>3003</v>
      </c>
      <c r="B238" s="11">
        <v>45668</v>
      </c>
      <c r="C238" t="str">
        <v>Furniture</v>
      </c>
      <c r="D238" t="str">
        <v>Office Chair</v>
      </c>
      <c r="E238">
        <v>2</v>
      </c>
      <c r="F238">
        <v>75000</v>
      </c>
      <c r="G238" t="str">
        <v>East</v>
      </c>
      <c r="H238" t="str">
        <v>Femi Adebayo</v>
      </c>
      <c r="I238" t="str">
        <v>Transfer</v>
      </c>
      <c r="J238">
        <v>10</v>
      </c>
    </row>
    <row r="239" spans="1:10" x14ac:dyDescent="0.25">
      <c r="A239">
        <v>3004</v>
      </c>
      <c r="B239" s="11">
        <v>45668</v>
      </c>
      <c r="C239" t="str">
        <v>Electronics</v>
      </c>
      <c r="D239" t="str">
        <v>Smartphone</v>
      </c>
      <c r="E239">
        <v>2</v>
      </c>
      <c r="F239">
        <v>120000</v>
      </c>
      <c r="G239" t="str">
        <v>West</v>
      </c>
      <c r="H239" t="str">
        <v>Tunde Bakare</v>
      </c>
      <c r="I239" t="str">
        <v>Card</v>
      </c>
      <c r="J239">
        <v>0</v>
      </c>
    </row>
    <row r="240" spans="1:10" x14ac:dyDescent="0.25">
      <c r="A240">
        <v>3006</v>
      </c>
      <c r="B240" s="11">
        <v>45669</v>
      </c>
      <c r="C240" t="str">
        <v>Furniture</v>
      </c>
      <c r="D240" t="str">
        <v>Dining Table</v>
      </c>
      <c r="E240">
        <v>1</v>
      </c>
      <c r="F240">
        <v>150000</v>
      </c>
      <c r="G240" t="str">
        <v>South</v>
      </c>
      <c r="H240" t="str">
        <v>Chidi Nwosu</v>
      </c>
      <c r="I240" t="str">
        <v>Transfer</v>
      </c>
      <c r="J240">
        <v>0</v>
      </c>
    </row>
    <row r="241" spans="1:10" x14ac:dyDescent="0.25">
      <c r="A241">
        <v>3007</v>
      </c>
      <c r="B241" s="11">
        <v>45670</v>
      </c>
      <c r="C241" t="str">
        <v>Electronics</v>
      </c>
      <c r="D241" t="str">
        <v>Headphones</v>
      </c>
      <c r="E241">
        <v>3</v>
      </c>
      <c r="F241">
        <v>25000</v>
      </c>
      <c r="G241" t="str">
        <v>East</v>
      </c>
      <c r="H241" t="str">
        <v>Femi Adebayo</v>
      </c>
      <c r="I241" t="str">
        <v>Card</v>
      </c>
      <c r="J241">
        <v>10</v>
      </c>
    </row>
    <row r="242" spans="1:10" x14ac:dyDescent="0.25">
      <c r="A242">
        <v>3009</v>
      </c>
      <c r="B242" s="11">
        <v>45671</v>
      </c>
      <c r="C242" t="str">
        <v>Furniture</v>
      </c>
      <c r="D242" t="str">
        <v>Bed Frame</v>
      </c>
      <c r="E242">
        <v>1</v>
      </c>
      <c r="F242">
        <v>120000</v>
      </c>
      <c r="G242" t="str">
        <v>North</v>
      </c>
      <c r="H242" t="str">
        <v>Abiola Ogun</v>
      </c>
      <c r="I242" t="str">
        <v>Transfer</v>
      </c>
      <c r="J242">
        <v>15</v>
      </c>
    </row>
    <row r="243" spans="1:10" x14ac:dyDescent="0.25">
      <c r="A243">
        <v>3010</v>
      </c>
      <c r="B243" s="11">
        <v>45671</v>
      </c>
      <c r="C243" t="str">
        <v>Electronics</v>
      </c>
      <c r="D243" t="str">
        <v>Tablet</v>
      </c>
      <c r="E243">
        <v>2</v>
      </c>
      <c r="F243">
        <v>80000</v>
      </c>
      <c r="G243" t="str">
        <v>South</v>
      </c>
      <c r="H243" t="str">
        <v>Chidi Nwosu</v>
      </c>
      <c r="I243" t="str">
        <v>Card</v>
      </c>
      <c r="J243">
        <v>5</v>
      </c>
    </row>
    <row r="244" spans="1:10" x14ac:dyDescent="0.25">
      <c r="A244">
        <v>3012</v>
      </c>
      <c r="B244" s="11">
        <v>45672</v>
      </c>
      <c r="C244" t="str">
        <v>Furniture</v>
      </c>
      <c r="D244" t="str">
        <v>Bookshelf</v>
      </c>
      <c r="E244">
        <v>2</v>
      </c>
      <c r="F244">
        <v>45000</v>
      </c>
      <c r="G244" t="str">
        <v>West</v>
      </c>
      <c r="H244" t="str">
        <v>Tunde Bakare</v>
      </c>
      <c r="I244" t="str">
        <v>Transfer</v>
      </c>
      <c r="J244">
        <v>0</v>
      </c>
    </row>
    <row r="245" spans="1:10" x14ac:dyDescent="0.25">
      <c r="A245">
        <v>3013</v>
      </c>
      <c r="B245" s="11">
        <v>45673</v>
      </c>
      <c r="C245" t="str">
        <v>Electronics</v>
      </c>
      <c r="D245" t="str">
        <v>Smartwatch</v>
      </c>
      <c r="E245">
        <v>2</v>
      </c>
      <c r="F245">
        <v>35000</v>
      </c>
      <c r="G245" t="str">
        <v>North</v>
      </c>
      <c r="H245" t="str">
        <v>Abiola Ogun</v>
      </c>
      <c r="I245" t="str">
        <v>Card</v>
      </c>
      <c r="J245">
        <v>0</v>
      </c>
    </row>
    <row r="246" spans="1:10" x14ac:dyDescent="0.25">
      <c r="A246">
        <v>3015</v>
      </c>
      <c r="B246" s="11">
        <v>45674</v>
      </c>
      <c r="C246" t="str">
        <v>Furniture</v>
      </c>
      <c r="D246" t="str">
        <v>Office Desk</v>
      </c>
      <c r="E246">
        <v>1</v>
      </c>
      <c r="F246">
        <v>85000</v>
      </c>
      <c r="G246" t="str">
        <v>East</v>
      </c>
      <c r="H246" t="str">
        <v>Femi Adebayo</v>
      </c>
      <c r="I246" t="str">
        <v>Transfer</v>
      </c>
      <c r="J246">
        <v>0</v>
      </c>
    </row>
    <row r="247" spans="1:10" x14ac:dyDescent="0.25">
      <c r="A247">
        <v>3016</v>
      </c>
      <c r="B247" s="11">
        <v>45674</v>
      </c>
      <c r="C247" t="str">
        <v>Electronics</v>
      </c>
      <c r="D247" t="str">
        <v>Monitor</v>
      </c>
      <c r="E247">
        <v>2</v>
      </c>
      <c r="F247">
        <v>120000</v>
      </c>
      <c r="G247" t="str">
        <v>West</v>
      </c>
      <c r="H247" t="str">
        <v>Tunde Bakare</v>
      </c>
      <c r="I247" t="str">
        <v>Card</v>
      </c>
      <c r="J247">
        <v>10</v>
      </c>
    </row>
    <row r="248" spans="1:10" x14ac:dyDescent="0.25">
      <c r="A248">
        <v>3018</v>
      </c>
      <c r="B248" s="11">
        <v>45675</v>
      </c>
      <c r="C248" t="str">
        <v>Furniture</v>
      </c>
      <c r="D248" t="str">
        <v>Wardrobe</v>
      </c>
      <c r="E248">
        <v>1</v>
      </c>
      <c r="F248">
        <v>180000</v>
      </c>
      <c r="G248" t="str">
        <v>South</v>
      </c>
      <c r="H248" t="str">
        <v>Chidi Nwosu</v>
      </c>
      <c r="I248" t="str">
        <v>Transfer</v>
      </c>
      <c r="J248">
        <v>0</v>
      </c>
    </row>
    <row r="249" spans="1:10" x14ac:dyDescent="0.25">
      <c r="A249">
        <v>3019</v>
      </c>
      <c r="B249" s="11">
        <v>45676</v>
      </c>
      <c r="C249" t="str">
        <v>Electronics</v>
      </c>
      <c r="D249" t="str">
        <v>Keyboard</v>
      </c>
      <c r="E249">
        <v>5</v>
      </c>
      <c r="F249">
        <v>15000</v>
      </c>
      <c r="G249" t="str">
        <v>East</v>
      </c>
      <c r="H249" t="str">
        <v>Femi Adebayo</v>
      </c>
      <c r="I249" t="str">
        <v>Card</v>
      </c>
      <c r="J249">
        <v>5</v>
      </c>
    </row>
    <row r="250" spans="1:10" x14ac:dyDescent="0.25">
      <c r="A250">
        <v>3021</v>
      </c>
      <c r="B250" s="11">
        <v>45677</v>
      </c>
      <c r="C250" t="str">
        <v>Furniture</v>
      </c>
      <c r="D250" t="str">
        <v>Sofa Set</v>
      </c>
      <c r="E250">
        <v>1</v>
      </c>
      <c r="F250">
        <v>250000</v>
      </c>
      <c r="G250" t="str">
        <v>North</v>
      </c>
      <c r="H250" t="str">
        <v>Abiola Ogun</v>
      </c>
      <c r="I250" t="str">
        <v>Transfer</v>
      </c>
      <c r="J250">
        <v>0</v>
      </c>
    </row>
    <row r="251" spans="1:10" x14ac:dyDescent="0.25">
      <c r="A251">
        <v>3022</v>
      </c>
      <c r="B251" s="11">
        <v>45677</v>
      </c>
      <c r="C251" t="str">
        <v>Electronics</v>
      </c>
      <c r="D251" t="str">
        <v>Mouse</v>
      </c>
      <c r="E251">
        <v>8</v>
      </c>
      <c r="F251">
        <v>5000</v>
      </c>
      <c r="G251" t="str">
        <v>South</v>
      </c>
      <c r="H251" t="str">
        <v>Chidi Nwosu</v>
      </c>
      <c r="I251" t="str">
        <v>Card</v>
      </c>
      <c r="J251">
        <v>10</v>
      </c>
    </row>
    <row r="252" spans="1:10" x14ac:dyDescent="0.25">
      <c r="A252">
        <v>3024</v>
      </c>
      <c r="B252" s="11">
        <v>45678</v>
      </c>
      <c r="C252" t="str">
        <v>Furniture</v>
      </c>
      <c r="D252" t="str">
        <v>Nightstand</v>
      </c>
      <c r="E252">
        <v>3</v>
      </c>
      <c r="F252">
        <v>25000</v>
      </c>
      <c r="G252" t="str">
        <v>West</v>
      </c>
      <c r="H252" t="str">
        <v>Tunde Bakare</v>
      </c>
      <c r="I252" t="str">
        <v>Transfer</v>
      </c>
      <c r="J252">
        <v>5</v>
      </c>
    </row>
    <row r="253" spans="1:10" x14ac:dyDescent="0.25">
      <c r="A253">
        <v>3025</v>
      </c>
      <c r="B253" s="11">
        <v>45679</v>
      </c>
      <c r="C253" t="str">
        <v>Electronics</v>
      </c>
      <c r="D253" t="str">
        <v>Printer</v>
      </c>
      <c r="E253">
        <v>1</v>
      </c>
      <c r="F253">
        <v>65000</v>
      </c>
      <c r="G253" t="str">
        <v>North</v>
      </c>
      <c r="H253" t="str">
        <v>Abiola Ogun</v>
      </c>
      <c r="I253" t="str">
        <v>Card</v>
      </c>
      <c r="J253">
        <v>0</v>
      </c>
    </row>
    <row r="254" spans="1:10" x14ac:dyDescent="0.25">
      <c r="A254">
        <v>3027</v>
      </c>
      <c r="B254" s="11">
        <v>45680</v>
      </c>
      <c r="C254" t="str">
        <v>Furniture</v>
      </c>
      <c r="D254" t="str">
        <v>Coffee Table</v>
      </c>
      <c r="E254">
        <v>2</v>
      </c>
      <c r="F254">
        <v>55000</v>
      </c>
      <c r="G254" t="str">
        <v>East</v>
      </c>
      <c r="H254" t="str">
        <v>Femi Adebayo</v>
      </c>
      <c r="I254" t="str">
        <v>Transfer</v>
      </c>
      <c r="J254">
        <v>0</v>
      </c>
    </row>
    <row r="255" spans="1:10" x14ac:dyDescent="0.25">
      <c r="A255">
        <v>3028</v>
      </c>
      <c r="B255" s="11">
        <v>45680</v>
      </c>
      <c r="C255" t="str">
        <v>Electronics</v>
      </c>
      <c r="D255" t="str">
        <v>Speaker</v>
      </c>
      <c r="E255">
        <v>3</v>
      </c>
      <c r="F255">
        <v>30000</v>
      </c>
      <c r="G255" t="str">
        <v>West</v>
      </c>
      <c r="H255" t="str">
        <v>Tunde Bakare</v>
      </c>
      <c r="I255" t="str">
        <v>Card</v>
      </c>
      <c r="J255">
        <v>0</v>
      </c>
    </row>
    <row r="256" spans="1:10" x14ac:dyDescent="0.25">
      <c r="A256">
        <v>3030</v>
      </c>
      <c r="B256" s="11">
        <v>45681</v>
      </c>
      <c r="C256" t="str">
        <v>Furniture</v>
      </c>
      <c r="D256" t="str">
        <v>Drawer Unit</v>
      </c>
      <c r="E256">
        <v>2</v>
      </c>
      <c r="F256">
        <v>40000</v>
      </c>
      <c r="G256" t="str">
        <v>South</v>
      </c>
      <c r="H256" t="str">
        <v>Chidi Nwosu</v>
      </c>
      <c r="I256" t="str">
        <v>Transfer</v>
      </c>
      <c r="J256">
        <v>0</v>
      </c>
    </row>
    <row r="257" spans="1:10" x14ac:dyDescent="0.25">
      <c r="A257">
        <v>3031</v>
      </c>
      <c r="B257" s="11">
        <v>45682</v>
      </c>
      <c r="C257" t="str">
        <v>Electronics</v>
      </c>
      <c r="D257" t="str">
        <v>Webcam</v>
      </c>
      <c r="E257">
        <v>2</v>
      </c>
      <c r="F257">
        <v>25000</v>
      </c>
      <c r="G257" t="str">
        <v>East</v>
      </c>
      <c r="H257" t="str">
        <v>Femi Adebayo</v>
      </c>
      <c r="I257" t="str">
        <v>Card</v>
      </c>
      <c r="J257">
        <v>0</v>
      </c>
    </row>
    <row r="258" spans="1:10" x14ac:dyDescent="0.25">
      <c r="A258">
        <v>3033</v>
      </c>
      <c r="B258" s="11">
        <v>45683</v>
      </c>
      <c r="C258" t="str">
        <v>Furniture</v>
      </c>
      <c r="D258" t="str">
        <v>Shoe Rack</v>
      </c>
      <c r="E258">
        <v>2</v>
      </c>
      <c r="F258">
        <v>15000</v>
      </c>
      <c r="G258" t="str">
        <v>North</v>
      </c>
      <c r="H258" t="str">
        <v>Abiola Ogun</v>
      </c>
      <c r="I258" t="str">
        <v>Transfer</v>
      </c>
      <c r="J258">
        <v>0</v>
      </c>
    </row>
    <row r="259" spans="1:10" x14ac:dyDescent="0.25">
      <c r="A259">
        <v>3034</v>
      </c>
      <c r="B259" s="11">
        <v>45683</v>
      </c>
      <c r="C259" t="str">
        <v>Electronics</v>
      </c>
      <c r="D259" t="str">
        <v>Router</v>
      </c>
      <c r="E259">
        <v>2</v>
      </c>
      <c r="F259">
        <v>22000</v>
      </c>
      <c r="G259" t="str">
        <v>South</v>
      </c>
      <c r="H259" t="str">
        <v>Chidi Nwosu</v>
      </c>
      <c r="I259" t="str">
        <v>Card</v>
      </c>
      <c r="J259">
        <v>0</v>
      </c>
    </row>
    <row r="260" spans="1:10" x14ac:dyDescent="0.25">
      <c r="A260">
        <v>3036</v>
      </c>
      <c r="B260" s="11">
        <v>45684</v>
      </c>
      <c r="C260" t="str">
        <v>Furniture</v>
      </c>
      <c r="D260" t="str">
        <v>Desk Lamp</v>
      </c>
      <c r="E260">
        <v>3</v>
      </c>
      <c r="F260">
        <v>12000</v>
      </c>
      <c r="G260" t="str">
        <v>West</v>
      </c>
      <c r="H260" t="str">
        <v>Tunde Bakare</v>
      </c>
      <c r="I260" t="str">
        <v>Transfer</v>
      </c>
      <c r="J260">
        <v>0</v>
      </c>
    </row>
    <row r="261" spans="1:10" x14ac:dyDescent="0.25">
      <c r="A261">
        <v>3037</v>
      </c>
      <c r="B261" s="11">
        <v>45685</v>
      </c>
      <c r="C261" t="str">
        <v>Electronics</v>
      </c>
      <c r="D261" t="str">
        <v>USBCable</v>
      </c>
      <c r="E261">
        <v>15</v>
      </c>
      <c r="F261">
        <v>2000</v>
      </c>
      <c r="G261" t="str">
        <v>North</v>
      </c>
      <c r="H261" t="str">
        <v>Abiola Ogun</v>
      </c>
      <c r="I261" t="str">
        <v>Card</v>
      </c>
      <c r="J261">
        <v>10</v>
      </c>
    </row>
    <row r="262" spans="1:10" x14ac:dyDescent="0.25">
      <c r="A262">
        <v>3039</v>
      </c>
      <c r="B262" s="11">
        <v>45686</v>
      </c>
      <c r="C262" t="str">
        <v>Furniture</v>
      </c>
      <c r="D262" t="str">
        <v>Mirror</v>
      </c>
      <c r="E262">
        <v>2</v>
      </c>
      <c r="F262">
        <v>25000</v>
      </c>
      <c r="G262" t="str">
        <v>East</v>
      </c>
      <c r="H262" t="str">
        <v>Femi Adebayo</v>
      </c>
      <c r="I262" t="str">
        <v>Transfer</v>
      </c>
      <c r="J262">
        <v>0</v>
      </c>
    </row>
    <row r="263" spans="1:10" x14ac:dyDescent="0.25">
      <c r="A263">
        <v>3040</v>
      </c>
      <c r="B263" s="11">
        <v>45686</v>
      </c>
      <c r="C263" t="str">
        <v>Electronics</v>
      </c>
      <c r="D263" t="str">
        <v>Charger</v>
      </c>
      <c r="E263">
        <v>8</v>
      </c>
      <c r="F263">
        <v>8000</v>
      </c>
      <c r="G263" t="str">
        <v>West</v>
      </c>
      <c r="H263" t="str">
        <v>Tunde Bakare</v>
      </c>
      <c r="I263" t="str">
        <v>Card</v>
      </c>
      <c r="J263">
        <v>5</v>
      </c>
    </row>
    <row r="264" spans="1:10" x14ac:dyDescent="0.25">
      <c r="A264">
        <v>3042</v>
      </c>
      <c r="B264" s="11">
        <v>45687</v>
      </c>
      <c r="C264" t="str">
        <v>Furniture</v>
      </c>
      <c r="D264" t="str">
        <v>CoatRack</v>
      </c>
      <c r="E264">
        <v>2</v>
      </c>
      <c r="F264">
        <v>18000</v>
      </c>
      <c r="G264" t="str">
        <v>South</v>
      </c>
      <c r="H264" t="str">
        <v>Chidi Nwosu</v>
      </c>
      <c r="I264" t="str">
        <v>Transfer</v>
      </c>
      <c r="J264">
        <v>0</v>
      </c>
    </row>
    <row r="265" spans="1:10" x14ac:dyDescent="0.25">
      <c r="A265">
        <v>3043</v>
      </c>
      <c r="B265" s="11">
        <v>45688</v>
      </c>
      <c r="C265" t="str">
        <v>Electronics</v>
      </c>
      <c r="D265" t="str">
        <v>PowerBank</v>
      </c>
      <c r="E265">
        <v>3</v>
      </c>
      <c r="F265">
        <v>15000</v>
      </c>
      <c r="G265" t="str">
        <v>East</v>
      </c>
      <c r="H265" t="str">
        <v>Femi Adebayo</v>
      </c>
      <c r="I265" t="str">
        <v>Card</v>
      </c>
      <c r="J265">
        <v>10</v>
      </c>
    </row>
    <row r="266" spans="1:10" x14ac:dyDescent="0.25">
      <c r="A266">
        <v>3045</v>
      </c>
      <c r="B266" s="11">
        <v>45689</v>
      </c>
      <c r="C266" t="str">
        <v>Furniture</v>
      </c>
      <c r="D266" t="str">
        <v>MagazineRack</v>
      </c>
      <c r="E266">
        <v>2</v>
      </c>
      <c r="F266">
        <v>10000</v>
      </c>
      <c r="G266" t="str">
        <v>North</v>
      </c>
      <c r="H266" t="str">
        <v>Abiola Ogun</v>
      </c>
      <c r="I266" t="str">
        <v>Transfer</v>
      </c>
      <c r="J266">
        <v>5</v>
      </c>
    </row>
    <row r="267" spans="1:10" x14ac:dyDescent="0.25">
      <c r="A267">
        <v>3046</v>
      </c>
      <c r="B267" s="11">
        <v>45689</v>
      </c>
      <c r="C267" t="str">
        <v>Electronics</v>
      </c>
      <c r="D267" t="str">
        <v>HardDrive</v>
      </c>
      <c r="E267">
        <v>1</v>
      </c>
      <c r="F267">
        <v>55000</v>
      </c>
      <c r="G267" t="str">
        <v>South</v>
      </c>
      <c r="H267" t="str">
        <v>Chidi Nwosu</v>
      </c>
      <c r="I267" t="str">
        <v>Card</v>
      </c>
      <c r="J267">
        <v>0</v>
      </c>
    </row>
    <row r="268" spans="1:10" x14ac:dyDescent="0.25">
      <c r="A268">
        <v>3048</v>
      </c>
      <c r="B268" s="11">
        <v>45690</v>
      </c>
      <c r="C268" t="str">
        <v>Furniture</v>
      </c>
      <c r="D268" t="str">
        <v>FilingCabinet</v>
      </c>
      <c r="E268">
        <v>1</v>
      </c>
      <c r="F268">
        <v>35000</v>
      </c>
      <c r="G268" t="str">
        <v>West</v>
      </c>
      <c r="H268" t="str">
        <v>Tunde Bakare</v>
      </c>
      <c r="I268" t="str">
        <v>Transfer</v>
      </c>
      <c r="J268">
        <v>10</v>
      </c>
    </row>
    <row r="269" spans="1:10" x14ac:dyDescent="0.25">
      <c r="A269">
        <v>3049</v>
      </c>
      <c r="B269" s="11">
        <v>45691</v>
      </c>
      <c r="C269" t="str">
        <v>Electronics</v>
      </c>
      <c r="D269" t="str">
        <v>Microphone</v>
      </c>
      <c r="E269">
        <v>2</v>
      </c>
      <c r="F269">
        <v>20000</v>
      </c>
      <c r="G269" t="str">
        <v>North</v>
      </c>
      <c r="H269" t="str">
        <v>Abiola Ogun</v>
      </c>
      <c r="I269" t="str">
        <v>Card</v>
      </c>
      <c r="J269">
        <v>0</v>
      </c>
    </row>
    <row r="270" spans="1:10" x14ac:dyDescent="0.25">
      <c r="A270">
        <v>3051</v>
      </c>
      <c r="B270" s="11">
        <v>45692</v>
      </c>
      <c r="C270" t="str">
        <v>Furniture</v>
      </c>
      <c r="D270" t="str">
        <v>BeanBag</v>
      </c>
      <c r="E270">
        <v>3</v>
      </c>
      <c r="F270">
        <v>25000</v>
      </c>
      <c r="G270" t="str">
        <v>East</v>
      </c>
      <c r="H270" t="str">
        <v>Femi Adebayo</v>
      </c>
      <c r="I270" t="str">
        <v>Transfer</v>
      </c>
      <c r="J270">
        <v>5</v>
      </c>
    </row>
    <row r="271" spans="1:10" x14ac:dyDescent="0.25">
      <c r="A271">
        <v>3052</v>
      </c>
      <c r="B271" s="11">
        <v>45692</v>
      </c>
      <c r="C271" t="str">
        <v>Electronics</v>
      </c>
      <c r="D271" t="str">
        <v>Camera</v>
      </c>
      <c r="E271">
        <v>1</v>
      </c>
      <c r="F271">
        <v>180000</v>
      </c>
      <c r="G271" t="str">
        <v>West</v>
      </c>
      <c r="H271" t="str">
        <v>Tunde Bakare</v>
      </c>
      <c r="I271" t="str">
        <v>Card</v>
      </c>
      <c r="J271">
        <v>0</v>
      </c>
    </row>
    <row r="272" spans="1:10" x14ac:dyDescent="0.25">
      <c r="A272">
        <v>3054</v>
      </c>
      <c r="B272" s="11">
        <v>45693</v>
      </c>
      <c r="C272" t="str">
        <v>Furniture</v>
      </c>
      <c r="D272" t="str">
        <v>WallClock</v>
      </c>
      <c r="E272">
        <v>3</v>
      </c>
      <c r="F272">
        <v>12000</v>
      </c>
      <c r="G272" t="str">
        <v>South</v>
      </c>
      <c r="H272" t="str">
        <v>Chidi Nwosu</v>
      </c>
      <c r="I272" t="str">
        <v>Transfer</v>
      </c>
      <c r="J272">
        <v>0</v>
      </c>
    </row>
    <row r="273" spans="1:10" x14ac:dyDescent="0.25">
      <c r="A273">
        <v>3055</v>
      </c>
      <c r="B273" s="11">
        <v>45694</v>
      </c>
      <c r="C273" t="str">
        <v>Electronics</v>
      </c>
      <c r="D273" t="str">
        <v>Headset</v>
      </c>
      <c r="E273">
        <v>4</v>
      </c>
      <c r="F273">
        <v>15000</v>
      </c>
      <c r="G273" t="str">
        <v>East</v>
      </c>
      <c r="H273" t="str">
        <v>Femi Adebayo</v>
      </c>
      <c r="I273" t="str">
        <v>Card</v>
      </c>
      <c r="J273">
        <v>0</v>
      </c>
    </row>
    <row r="274" spans="1:10" x14ac:dyDescent="0.25">
      <c r="A274">
        <v>3057</v>
      </c>
      <c r="B274" s="11">
        <v>45695</v>
      </c>
      <c r="C274" t="str">
        <v>Furniture</v>
      </c>
      <c r="D274" t="str">
        <v>PlantStand</v>
      </c>
      <c r="E274">
        <v>3</v>
      </c>
      <c r="F274">
        <v>8000</v>
      </c>
      <c r="G274" t="str">
        <v>North</v>
      </c>
      <c r="H274" t="str">
        <v>Abiola Ogun</v>
      </c>
      <c r="I274" t="str">
        <v>Transfer</v>
      </c>
      <c r="J274">
        <v>0</v>
      </c>
    </row>
    <row r="275" spans="1:10" x14ac:dyDescent="0.25">
      <c r="A275">
        <v>3058</v>
      </c>
      <c r="B275" s="11">
        <v>45695</v>
      </c>
      <c r="C275" t="str">
        <v>Electronics</v>
      </c>
      <c r="D275" t="str">
        <v>GraphicsTablet</v>
      </c>
      <c r="E275">
        <v>1</v>
      </c>
      <c r="F275">
        <v>45000</v>
      </c>
      <c r="G275" t="str">
        <v>South</v>
      </c>
      <c r="H275" t="str">
        <v>Chidi Nwosu</v>
      </c>
      <c r="I275" t="str">
        <v>Card</v>
      </c>
      <c r="J275">
        <v>0</v>
      </c>
    </row>
    <row r="276" spans="1:10" x14ac:dyDescent="0.25">
      <c r="A276">
        <v>3060</v>
      </c>
      <c r="B276" s="11">
        <v>45696</v>
      </c>
      <c r="C276" t="str">
        <v>Furniture</v>
      </c>
      <c r="D276" t="str">
        <v>BarStool</v>
      </c>
      <c r="E276">
        <v>4</v>
      </c>
      <c r="F276">
        <v>20000</v>
      </c>
      <c r="G276" t="str">
        <v>West</v>
      </c>
      <c r="H276" t="str">
        <v>Tunde Bakare</v>
      </c>
      <c r="I276" t="str">
        <v>Transfer</v>
      </c>
      <c r="J276">
        <v>0</v>
      </c>
    </row>
    <row r="277" spans="1:10" x14ac:dyDescent="0.25">
      <c r="A277">
        <v>3061</v>
      </c>
      <c r="B277" s="11">
        <v>45697</v>
      </c>
      <c r="C277" t="str">
        <v>Electronics</v>
      </c>
      <c r="D277" t="str">
        <v>SmartLight</v>
      </c>
      <c r="E277">
        <v>5</v>
      </c>
      <c r="F277">
        <v>8000</v>
      </c>
      <c r="G277" t="str">
        <v>North</v>
      </c>
      <c r="H277" t="str">
        <v>Abiola Ogun</v>
      </c>
      <c r="I277" t="str">
        <v>Card</v>
      </c>
      <c r="J277">
        <v>10</v>
      </c>
    </row>
    <row r="278" spans="1:10" x14ac:dyDescent="0.25">
      <c r="A278">
        <v>3063</v>
      </c>
      <c r="B278" s="11">
        <v>45698</v>
      </c>
      <c r="C278" t="str">
        <v>Furniture</v>
      </c>
      <c r="D278" t="str">
        <v>Rug</v>
      </c>
      <c r="E278">
        <v>2</v>
      </c>
      <c r="F278">
        <v>45000</v>
      </c>
      <c r="G278" t="str">
        <v>East</v>
      </c>
      <c r="H278" t="str">
        <v>Femi Adebayo</v>
      </c>
      <c r="I278" t="str">
        <v>Transfer</v>
      </c>
      <c r="J278">
        <v>0</v>
      </c>
    </row>
    <row r="279" spans="1:10" x14ac:dyDescent="0.25">
      <c r="A279">
        <v>3064</v>
      </c>
      <c r="B279" s="11">
        <v>45698</v>
      </c>
      <c r="C279" t="str">
        <v>Electronics</v>
      </c>
      <c r="D279" t="str">
        <v>FitnessTracker</v>
      </c>
      <c r="E279">
        <v>2</v>
      </c>
      <c r="F279">
        <v>25000</v>
      </c>
      <c r="G279" t="str">
        <v>West</v>
      </c>
      <c r="H279" t="str">
        <v>Tunde Bakare</v>
      </c>
      <c r="I279" t="str">
        <v>Card</v>
      </c>
      <c r="J279">
        <v>5</v>
      </c>
    </row>
    <row r="280" spans="1:10" x14ac:dyDescent="0.25">
      <c r="A280">
        <v>3066</v>
      </c>
      <c r="B280" s="11">
        <v>45699</v>
      </c>
      <c r="C280" t="str">
        <v>Furniture</v>
      </c>
      <c r="D280" t="str">
        <v>TVStand</v>
      </c>
      <c r="E280">
        <v>1</v>
      </c>
      <c r="F280">
        <v>65000</v>
      </c>
      <c r="G280" t="str">
        <v>South</v>
      </c>
      <c r="H280" t="str">
        <v>Chidi Nwosu</v>
      </c>
      <c r="I280" t="str">
        <v>Transfer</v>
      </c>
      <c r="J280">
        <v>15</v>
      </c>
    </row>
    <row r="281" spans="1:10" x14ac:dyDescent="0.25">
      <c r="A281">
        <v>3067</v>
      </c>
      <c r="B281" s="11">
        <v>45700</v>
      </c>
      <c r="C281" t="str">
        <v>Electronics</v>
      </c>
      <c r="D281" t="str">
        <v>Projector</v>
      </c>
      <c r="E281">
        <v>1</v>
      </c>
      <c r="F281">
        <v>250000</v>
      </c>
      <c r="G281" t="str">
        <v>East</v>
      </c>
      <c r="H281" t="str">
        <v>Femi Adebayo</v>
      </c>
      <c r="I281" t="str">
        <v>Card</v>
      </c>
      <c r="J281">
        <v>0</v>
      </c>
    </row>
    <row r="282" spans="1:10" x14ac:dyDescent="0.25">
      <c r="A282">
        <v>3069</v>
      </c>
      <c r="B282" s="11">
        <v>45701</v>
      </c>
      <c r="C282" t="str">
        <v>Furniture</v>
      </c>
      <c r="D282" t="str">
        <v>LaundryBasket</v>
      </c>
      <c r="E282">
        <v>3</v>
      </c>
      <c r="F282">
        <v>8000</v>
      </c>
      <c r="G282" t="str">
        <v>North</v>
      </c>
      <c r="H282" t="str">
        <v>Abiola Ogun</v>
      </c>
      <c r="I282" t="str">
        <v>Transfer</v>
      </c>
      <c r="J282">
        <v>0</v>
      </c>
    </row>
    <row r="283" spans="1:10" x14ac:dyDescent="0.25">
      <c r="A283">
        <v>3070</v>
      </c>
      <c r="B283" s="11">
        <v>45701</v>
      </c>
      <c r="C283" t="str">
        <v>Electronics</v>
      </c>
      <c r="D283" t="str">
        <v>ExternalBattery</v>
      </c>
      <c r="E283">
        <v>3</v>
      </c>
      <c r="F283">
        <v>12000</v>
      </c>
      <c r="G283" t="str">
        <v>South</v>
      </c>
      <c r="H283" t="str">
        <v>Chidi Nwosu</v>
      </c>
      <c r="I283" t="str">
        <v>Card</v>
      </c>
      <c r="J283">
        <v>0</v>
      </c>
    </row>
    <row r="284" spans="1:10" x14ac:dyDescent="0.25">
      <c r="A284">
        <v>3072</v>
      </c>
      <c r="B284" s="11">
        <v>45702</v>
      </c>
      <c r="C284" t="str">
        <v>Furniture</v>
      </c>
      <c r="D284" t="str">
        <v>Stool</v>
      </c>
      <c r="E284">
        <v>5</v>
      </c>
      <c r="F284">
        <v>7000</v>
      </c>
      <c r="G284" t="str">
        <v>West</v>
      </c>
      <c r="H284" t="str">
        <v>Tunde Bakare</v>
      </c>
      <c r="I284" t="str">
        <v>Transfer</v>
      </c>
      <c r="J284">
        <v>0</v>
      </c>
    </row>
    <row r="285" spans="1:10" x14ac:dyDescent="0.25">
      <c r="A285">
        <v>3073</v>
      </c>
      <c r="B285" s="11">
        <v>45703</v>
      </c>
      <c r="C285" t="str">
        <v>Electronics</v>
      </c>
      <c r="D285" t="str">
        <v>VRHeadset</v>
      </c>
      <c r="E285">
        <v>1</v>
      </c>
      <c r="F285">
        <v>150000</v>
      </c>
      <c r="G285" t="str">
        <v>North</v>
      </c>
      <c r="H285" t="str">
        <v>Abiola Ogun</v>
      </c>
      <c r="I285" t="str">
        <v>Card</v>
      </c>
      <c r="J285">
        <v>0</v>
      </c>
    </row>
    <row r="286" spans="1:10" x14ac:dyDescent="0.25">
      <c r="A286">
        <v>3075</v>
      </c>
      <c r="B286" s="11">
        <v>45704</v>
      </c>
      <c r="C286" t="str">
        <v>Furniture</v>
      </c>
      <c r="D286" t="str">
        <v>Curtains</v>
      </c>
      <c r="E286">
        <v>3</v>
      </c>
      <c r="F286">
        <v>20000</v>
      </c>
      <c r="G286" t="str">
        <v>East</v>
      </c>
      <c r="H286" t="str">
        <v>Femi Adebayo</v>
      </c>
      <c r="I286" t="str">
        <v>Transfer</v>
      </c>
      <c r="J286">
        <v>0</v>
      </c>
    </row>
    <row r="287" spans="1:10" x14ac:dyDescent="0.25">
      <c r="A287">
        <v>3076</v>
      </c>
      <c r="B287" s="11">
        <v>45704</v>
      </c>
      <c r="C287" t="str">
        <v>Electronics</v>
      </c>
      <c r="D287" t="str">
        <v>USBHub</v>
      </c>
      <c r="E287">
        <v>4</v>
      </c>
      <c r="F287">
        <v>6000</v>
      </c>
      <c r="G287" t="str">
        <v>West</v>
      </c>
      <c r="H287" t="str">
        <v>Tunde Bakare</v>
      </c>
      <c r="I287" t="str">
        <v>Card</v>
      </c>
      <c r="J287">
        <v>0</v>
      </c>
    </row>
    <row r="288" spans="1:10" x14ac:dyDescent="0.25">
      <c r="A288">
        <v>3078</v>
      </c>
      <c r="B288" s="11">
        <v>45705</v>
      </c>
      <c r="C288" t="str">
        <v>Furniture</v>
      </c>
      <c r="D288" t="str">
        <v>KeyHolder</v>
      </c>
      <c r="E288">
        <v>7</v>
      </c>
      <c r="F288">
        <v>3000</v>
      </c>
      <c r="G288" t="str">
        <v>South</v>
      </c>
      <c r="H288" t="str">
        <v>Chidi Nwosu</v>
      </c>
      <c r="I288" t="str">
        <v>Transfer</v>
      </c>
      <c r="J288">
        <v>0</v>
      </c>
    </row>
    <row r="289" spans="1:10" x14ac:dyDescent="0.25">
      <c r="A289">
        <v>3079</v>
      </c>
      <c r="B289" s="11">
        <v>45706</v>
      </c>
      <c r="C289" t="str">
        <v>Electronics</v>
      </c>
      <c r="D289" t="str">
        <v>CardReader</v>
      </c>
      <c r="E289">
        <v>2</v>
      </c>
      <c r="F289">
        <v>15000</v>
      </c>
      <c r="G289" t="str">
        <v>East</v>
      </c>
      <c r="H289" t="str">
        <v>Femi Adebayo</v>
      </c>
      <c r="I289" t="str">
        <v>Card</v>
      </c>
      <c r="J289">
        <v>0</v>
      </c>
    </row>
    <row r="290" spans="1:10" x14ac:dyDescent="0.25">
      <c r="A290">
        <v>3081</v>
      </c>
      <c r="B290" s="11">
        <v>45707</v>
      </c>
      <c r="C290" t="str">
        <v>Furniture</v>
      </c>
      <c r="D290" t="str">
        <v>WallShelf</v>
      </c>
      <c r="E290">
        <v>3</v>
      </c>
      <c r="F290">
        <v>12000</v>
      </c>
      <c r="G290" t="str">
        <v>North</v>
      </c>
      <c r="H290" t="str">
        <v>Abiola Ogun</v>
      </c>
      <c r="I290" t="str">
        <v>Transfer</v>
      </c>
      <c r="J290">
        <v>0</v>
      </c>
    </row>
    <row r="291" spans="1:10" x14ac:dyDescent="0.25">
      <c r="A291">
        <v>3082</v>
      </c>
      <c r="B291" s="11">
        <v>45707</v>
      </c>
      <c r="C291" t="str">
        <v>Electronics</v>
      </c>
      <c r="D291" t="str">
        <v>SmartPlug</v>
      </c>
      <c r="E291">
        <v>4</v>
      </c>
      <c r="F291">
        <v>8000</v>
      </c>
      <c r="G291" t="str">
        <v>South</v>
      </c>
      <c r="H291" t="str">
        <v>Chidi Nwosu</v>
      </c>
      <c r="I291" t="str">
        <v>Card</v>
      </c>
      <c r="J291">
        <v>0</v>
      </c>
    </row>
    <row r="292" spans="1:10" x14ac:dyDescent="0.25">
      <c r="A292">
        <v>3084</v>
      </c>
      <c r="B292" s="11">
        <v>45708</v>
      </c>
      <c r="C292" t="str">
        <v>Furniture</v>
      </c>
      <c r="D292" t="str">
        <v>PetBed</v>
      </c>
      <c r="E292">
        <v>3</v>
      </c>
      <c r="F292">
        <v>10000</v>
      </c>
      <c r="G292" t="str">
        <v>West</v>
      </c>
      <c r="H292" t="str">
        <v>Tunde Bakare</v>
      </c>
      <c r="I292" t="str">
        <v>Transfer</v>
      </c>
      <c r="J292">
        <v>0</v>
      </c>
    </row>
    <row r="293" spans="1:10" x14ac:dyDescent="0.25">
      <c r="A293">
        <v>3085</v>
      </c>
      <c r="B293" s="11">
        <v>45709</v>
      </c>
      <c r="C293" t="str">
        <v>Electronics</v>
      </c>
      <c r="D293" t="str">
        <v>DockingStation</v>
      </c>
      <c r="E293">
        <v>1</v>
      </c>
      <c r="F293">
        <v>25000</v>
      </c>
      <c r="G293" t="str">
        <v>North</v>
      </c>
      <c r="H293" t="str">
        <v>Abiola Ogun</v>
      </c>
      <c r="I293" t="str">
        <v>Card</v>
      </c>
      <c r="J293">
        <v>0</v>
      </c>
    </row>
    <row r="294" spans="1:10" x14ac:dyDescent="0.25">
      <c r="A294">
        <v>3087</v>
      </c>
      <c r="B294" s="11">
        <v>45710</v>
      </c>
      <c r="C294" t="str">
        <v>Furniture</v>
      </c>
      <c r="D294" t="str">
        <v>TVRemoteHolder</v>
      </c>
      <c r="E294">
        <v>8</v>
      </c>
      <c r="F294">
        <v>2000</v>
      </c>
      <c r="G294" t="str">
        <v>East</v>
      </c>
      <c r="H294" t="str">
        <v>Femi Adebayo</v>
      </c>
      <c r="I294" t="str">
        <v>Transfer</v>
      </c>
      <c r="J294">
        <v>0</v>
      </c>
    </row>
    <row r="295" spans="1:10" x14ac:dyDescent="0.25">
      <c r="A295">
        <v>3088</v>
      </c>
      <c r="B295" s="11">
        <v>45710</v>
      </c>
      <c r="C295" t="str">
        <v>Electronics</v>
      </c>
      <c r="D295" t="str">
        <v>ScreenProtector</v>
      </c>
      <c r="E295">
        <v>10</v>
      </c>
      <c r="F295">
        <v>3000</v>
      </c>
      <c r="G295" t="str">
        <v>West</v>
      </c>
      <c r="H295" t="str">
        <v>Tunde Bakare</v>
      </c>
      <c r="I295" t="str">
        <v>Card</v>
      </c>
      <c r="J295">
        <v>5</v>
      </c>
    </row>
    <row r="296" spans="1:10" x14ac:dyDescent="0.25">
      <c r="A296">
        <v>3090</v>
      </c>
      <c r="B296" s="11">
        <v>45711</v>
      </c>
      <c r="C296" t="str">
        <v>Furniture</v>
      </c>
      <c r="D296" t="str">
        <v>FoldableTable</v>
      </c>
      <c r="E296">
        <v>3</v>
      </c>
      <c r="F296">
        <v>15000</v>
      </c>
      <c r="G296" t="str">
        <v>South</v>
      </c>
      <c r="H296" t="str">
        <v>Chidi Nwosu</v>
      </c>
      <c r="I296" t="str">
        <v>Transfer</v>
      </c>
      <c r="J296">
        <v>0</v>
      </c>
    </row>
    <row r="297" spans="1:10" x14ac:dyDescent="0.25">
      <c r="A297">
        <v>3091</v>
      </c>
      <c r="B297" s="11">
        <v>45712</v>
      </c>
      <c r="C297" t="str">
        <v>Electronics</v>
      </c>
      <c r="D297" t="str">
        <v>PhoneStand</v>
      </c>
      <c r="E297">
        <v>7</v>
      </c>
      <c r="F297">
        <v>4000</v>
      </c>
      <c r="G297" t="str">
        <v>East</v>
      </c>
      <c r="H297" t="str">
        <v>Femi Adebayo</v>
      </c>
      <c r="I297" t="str">
        <v>Card</v>
      </c>
      <c r="J297">
        <v>5</v>
      </c>
    </row>
    <row r="298" spans="1:10" x14ac:dyDescent="0.25">
      <c r="A298">
        <v>3093</v>
      </c>
      <c r="B298" s="11">
        <v>45713</v>
      </c>
      <c r="C298" t="str">
        <v>Furniture</v>
      </c>
      <c r="D298" t="str">
        <v>VanityStool</v>
      </c>
      <c r="E298">
        <v>2</v>
      </c>
      <c r="F298">
        <v>18000</v>
      </c>
      <c r="G298" t="str">
        <v>North</v>
      </c>
      <c r="H298" t="str">
        <v>Abiola Ogun</v>
      </c>
      <c r="I298" t="str">
        <v>Transfer</v>
      </c>
      <c r="J298">
        <v>0</v>
      </c>
    </row>
    <row r="299" spans="1:10" x14ac:dyDescent="0.25">
      <c r="A299">
        <v>3094</v>
      </c>
      <c r="B299" s="11">
        <v>45713</v>
      </c>
      <c r="C299" t="str">
        <v>Electronics</v>
      </c>
      <c r="D299" t="str">
        <v>SmartScale</v>
      </c>
      <c r="E299">
        <v>2</v>
      </c>
      <c r="F299">
        <v>22000</v>
      </c>
      <c r="G299" t="str">
        <v>South</v>
      </c>
      <c r="H299" t="str">
        <v>Chidi Nwosu</v>
      </c>
      <c r="I299" t="str">
        <v>Card</v>
      </c>
      <c r="J299">
        <v>10</v>
      </c>
    </row>
    <row r="300" spans="1:10" x14ac:dyDescent="0.25">
      <c r="A300">
        <v>3096</v>
      </c>
      <c r="B300" s="11">
        <v>45714</v>
      </c>
      <c r="C300" t="str">
        <v>Furniture</v>
      </c>
      <c r="D300" t="str">
        <v>WallArt</v>
      </c>
      <c r="E300">
        <v>4</v>
      </c>
      <c r="F300">
        <v>15000</v>
      </c>
      <c r="G300" t="str">
        <v>West</v>
      </c>
      <c r="H300" t="str">
        <v>Tunde Bakare</v>
      </c>
      <c r="I300" t="str">
        <v>Transfer</v>
      </c>
      <c r="J300">
        <v>5</v>
      </c>
    </row>
    <row r="301" spans="1:10" x14ac:dyDescent="0.25">
      <c r="A301">
        <v>3097</v>
      </c>
      <c r="B301" s="11">
        <v>45715</v>
      </c>
      <c r="C301" t="str">
        <v>Electronics</v>
      </c>
      <c r="D301" t="str">
        <v>CableOrganizer</v>
      </c>
      <c r="E301">
        <v>6</v>
      </c>
      <c r="F301">
        <v>3000</v>
      </c>
      <c r="G301" t="str">
        <v>North</v>
      </c>
      <c r="H301" t="str">
        <v>Abiola Ogun</v>
      </c>
      <c r="I301" t="str">
        <v>Card</v>
      </c>
      <c r="J301">
        <v>0</v>
      </c>
    </row>
    <row r="302" spans="1:10" x14ac:dyDescent="0.25">
      <c r="A302">
        <v>3099</v>
      </c>
      <c r="B302" s="11">
        <v>45716</v>
      </c>
      <c r="C302" t="str">
        <v>Furniture</v>
      </c>
      <c r="D302" t="str">
        <v>FloorLamp</v>
      </c>
      <c r="E302">
        <v>2</v>
      </c>
      <c r="F302">
        <v>25000</v>
      </c>
      <c r="G302" t="str">
        <v>East</v>
      </c>
      <c r="H302" t="str">
        <v>Femi Adebayo</v>
      </c>
      <c r="I302" t="str">
        <v>Transfer</v>
      </c>
      <c r="J302">
        <v>5</v>
      </c>
    </row>
    <row r="303" spans="1:10" x14ac:dyDescent="0.25">
      <c r="A303">
        <v>3100</v>
      </c>
      <c r="B303" s="11">
        <v>45716</v>
      </c>
      <c r="C303" t="str">
        <v>Electronics</v>
      </c>
      <c r="D303" t="str">
        <v>AirPurifier</v>
      </c>
      <c r="E303">
        <v>1</v>
      </c>
      <c r="F303">
        <v>85000</v>
      </c>
      <c r="G303" t="str">
        <v>West</v>
      </c>
      <c r="H303" t="str">
        <v>Tunde Bakare</v>
      </c>
      <c r="I303" t="str">
        <v>Card</v>
      </c>
      <c r="J303">
        <v>0</v>
      </c>
    </row>
    <row r="304" spans="1:10" x14ac:dyDescent="0.25">
      <c r="A304">
        <v>3101</v>
      </c>
      <c r="B304" s="11">
        <v>45669</v>
      </c>
      <c r="C304" t="str">
        <v>Electronics</v>
      </c>
      <c r="D304" t="str">
        <v>BluetoothSpeaker</v>
      </c>
      <c r="E304">
        <v>3</v>
      </c>
      <c r="F304">
        <v>35000</v>
      </c>
      <c r="G304" t="str">
        <v>North</v>
      </c>
      <c r="H304" t="str">
        <v>Abiola Ogun</v>
      </c>
      <c r="I304" t="str">
        <v>Card</v>
      </c>
      <c r="J304">
        <v>10</v>
      </c>
    </row>
    <row r="305" spans="1:10" x14ac:dyDescent="0.25">
      <c r="A305">
        <v>3103</v>
      </c>
      <c r="B305" s="11">
        <v>45671</v>
      </c>
      <c r="C305" t="str">
        <v>Furniture</v>
      </c>
      <c r="D305" t="str">
        <v>OfficeStool</v>
      </c>
      <c r="E305">
        <v>4</v>
      </c>
      <c r="F305">
        <v>12000</v>
      </c>
      <c r="G305" t="str">
        <v>East</v>
      </c>
      <c r="H305" t="str">
        <v>Femi Adebayo</v>
      </c>
      <c r="I305" t="str">
        <v>Transfer</v>
      </c>
      <c r="J305">
        <v>5</v>
      </c>
    </row>
    <row r="306" spans="1:10" x14ac:dyDescent="0.25">
      <c r="A306">
        <v>3104</v>
      </c>
      <c r="B306" s="11">
        <v>45672</v>
      </c>
      <c r="C306" t="str">
        <v>Electronics</v>
      </c>
      <c r="D306" t="str">
        <v>SmartBulb</v>
      </c>
      <c r="E306">
        <v>6</v>
      </c>
      <c r="F306">
        <v>4000</v>
      </c>
      <c r="G306" t="str">
        <v>West</v>
      </c>
      <c r="H306" t="str">
        <v>Tunde Bakare</v>
      </c>
      <c r="I306" t="str">
        <v>Card</v>
      </c>
      <c r="J306">
        <v>0</v>
      </c>
    </row>
    <row r="307" spans="1:10" x14ac:dyDescent="0.25">
      <c r="A307">
        <v>3106</v>
      </c>
      <c r="B307" s="11">
        <v>45674</v>
      </c>
      <c r="C307" t="str">
        <v>Furniture</v>
      </c>
      <c r="D307" t="str">
        <v>PatioChair</v>
      </c>
      <c r="E307">
        <v>5</v>
      </c>
      <c r="F307">
        <v>18000</v>
      </c>
      <c r="G307" t="str">
        <v>South</v>
      </c>
      <c r="H307" t="str">
        <v>Chidi Nwosu</v>
      </c>
      <c r="I307" t="str">
        <v>Transfer</v>
      </c>
      <c r="J307">
        <v>10</v>
      </c>
    </row>
    <row r="308" spans="1:10" x14ac:dyDescent="0.25">
      <c r="A308">
        <v>3107</v>
      </c>
      <c r="B308" s="11">
        <v>45675</v>
      </c>
      <c r="C308" t="str">
        <v>Electronics</v>
      </c>
      <c r="D308" t="str">
        <v>WirelessMouse</v>
      </c>
      <c r="E308">
        <v>5</v>
      </c>
      <c r="F308">
        <v>8000</v>
      </c>
      <c r="G308" t="str">
        <v>East</v>
      </c>
      <c r="H308" t="str">
        <v>Femi Adebayo</v>
      </c>
      <c r="I308" t="str">
        <v>Card</v>
      </c>
      <c r="J308">
        <v>0</v>
      </c>
    </row>
    <row r="309" spans="1:10" x14ac:dyDescent="0.25">
      <c r="A309">
        <v>3109</v>
      </c>
      <c r="B309" s="11">
        <v>45677</v>
      </c>
      <c r="C309" t="str">
        <v>Furniture</v>
      </c>
      <c r="D309" t="str">
        <v>Bookcase</v>
      </c>
      <c r="E309">
        <v>2</v>
      </c>
      <c r="F309">
        <v>55000</v>
      </c>
      <c r="G309" t="str">
        <v>North</v>
      </c>
      <c r="H309" t="str">
        <v>Abiola Ogun</v>
      </c>
      <c r="I309" t="str">
        <v>Transfer</v>
      </c>
      <c r="J309">
        <v>0</v>
      </c>
    </row>
    <row r="310" spans="1:10" x14ac:dyDescent="0.25">
      <c r="A310">
        <v>3110</v>
      </c>
      <c r="B310" s="11">
        <v>45678</v>
      </c>
      <c r="C310" t="str">
        <v>Electronics</v>
      </c>
      <c r="D310" t="str">
        <v>WebcamCover</v>
      </c>
      <c r="E310">
        <v>12</v>
      </c>
      <c r="F310">
        <v>1500</v>
      </c>
      <c r="G310" t="str">
        <v>South</v>
      </c>
      <c r="H310" t="str">
        <v>Chidi Nwosu</v>
      </c>
      <c r="I310" t="str">
        <v>Card</v>
      </c>
      <c r="J310">
        <v>0</v>
      </c>
    </row>
    <row r="311" spans="1:10" x14ac:dyDescent="0.25">
      <c r="A311">
        <v>3112</v>
      </c>
      <c r="B311" s="11">
        <v>45680</v>
      </c>
      <c r="C311" t="str">
        <v>Furniture</v>
      </c>
      <c r="D311" t="str">
        <v>StorageOttoman</v>
      </c>
      <c r="E311">
        <v>2</v>
      </c>
      <c r="F311">
        <v>35000</v>
      </c>
      <c r="G311" t="str">
        <v>West</v>
      </c>
      <c r="H311" t="str">
        <v>Tunde Bakare</v>
      </c>
      <c r="I311" t="str">
        <v>Transfer</v>
      </c>
      <c r="J311">
        <v>0</v>
      </c>
    </row>
    <row r="312" spans="1:10" x14ac:dyDescent="0.25">
      <c r="A312">
        <v>3113</v>
      </c>
      <c r="B312" s="11">
        <v>45681</v>
      </c>
      <c r="C312" t="str">
        <v>Electronics</v>
      </c>
      <c r="D312" t="str">
        <v>GamingMouse</v>
      </c>
      <c r="E312">
        <v>3</v>
      </c>
      <c r="F312">
        <v>25000</v>
      </c>
      <c r="G312" t="str">
        <v>North</v>
      </c>
      <c r="H312" t="str">
        <v>Abiola Ogun</v>
      </c>
      <c r="I312" t="str">
        <v>Card</v>
      </c>
      <c r="J312">
        <v>5</v>
      </c>
    </row>
    <row r="313" spans="1:10" x14ac:dyDescent="0.25">
      <c r="A313">
        <v>3115</v>
      </c>
      <c r="B313" s="11">
        <v>45683</v>
      </c>
      <c r="C313" t="str">
        <v>Furniture</v>
      </c>
      <c r="D313" t="str">
        <v>Futon</v>
      </c>
      <c r="E313">
        <v>2</v>
      </c>
      <c r="F313">
        <v>65000</v>
      </c>
      <c r="G313" t="str">
        <v>East</v>
      </c>
      <c r="H313" t="str">
        <v>Femi Adebayo</v>
      </c>
      <c r="I313" t="str">
        <v>Transfer</v>
      </c>
      <c r="J313">
        <v>0</v>
      </c>
    </row>
    <row r="314" spans="1:10" x14ac:dyDescent="0.25">
      <c r="A314">
        <v>3116</v>
      </c>
      <c r="B314" s="11">
        <v>45684</v>
      </c>
      <c r="C314" t="str">
        <v>Electronics</v>
      </c>
      <c r="D314" t="str">
        <v>NoiseCancellingHeadphones</v>
      </c>
      <c r="E314">
        <v>2</v>
      </c>
      <c r="F314">
        <v>75000</v>
      </c>
      <c r="G314" t="str">
        <v>West</v>
      </c>
      <c r="H314" t="str">
        <v>Tunde Bakare</v>
      </c>
      <c r="I314" t="str">
        <v>Card</v>
      </c>
      <c r="J314">
        <v>10</v>
      </c>
    </row>
    <row r="315" spans="1:10" x14ac:dyDescent="0.25">
      <c r="A315">
        <v>3118</v>
      </c>
      <c r="B315" s="11">
        <v>45686</v>
      </c>
      <c r="C315" t="str">
        <v>Furniture</v>
      </c>
      <c r="D315" t="str">
        <v>BeanBagCover</v>
      </c>
      <c r="E315">
        <v>5</v>
      </c>
      <c r="F315">
        <v>8000</v>
      </c>
      <c r="G315" t="str">
        <v>South</v>
      </c>
      <c r="H315" t="str">
        <v>Chidi Nwosu</v>
      </c>
      <c r="I315" t="str">
        <v>Transfer</v>
      </c>
      <c r="J315">
        <v>5</v>
      </c>
    </row>
    <row r="316" spans="1:10" x14ac:dyDescent="0.25">
      <c r="A316">
        <v>3119</v>
      </c>
      <c r="B316" s="11">
        <v>45687</v>
      </c>
      <c r="C316" t="str">
        <v>Electronics</v>
      </c>
      <c r="D316" t="str">
        <v>HDMICable</v>
      </c>
      <c r="E316">
        <v>6</v>
      </c>
      <c r="F316">
        <v>4000</v>
      </c>
      <c r="G316" t="str">
        <v>East</v>
      </c>
      <c r="H316" t="str">
        <v>Femi Adebayo</v>
      </c>
      <c r="I316" t="str">
        <v>Card</v>
      </c>
      <c r="J316">
        <v>0</v>
      </c>
    </row>
    <row r="317" spans="1:10" x14ac:dyDescent="0.25">
      <c r="A317">
        <v>3121</v>
      </c>
      <c r="B317" s="11">
        <v>45689</v>
      </c>
      <c r="C317" t="str">
        <v>Furniture</v>
      </c>
      <c r="D317" t="str">
        <v>WallMirror</v>
      </c>
      <c r="E317">
        <v>2</v>
      </c>
      <c r="F317">
        <v>18000</v>
      </c>
      <c r="G317" t="str">
        <v>North</v>
      </c>
      <c r="H317" t="str">
        <v>Abiola Ogun</v>
      </c>
      <c r="I317" t="str">
        <v>Transfer</v>
      </c>
      <c r="J317">
        <v>5</v>
      </c>
    </row>
    <row r="318" spans="1:10" x14ac:dyDescent="0.25">
      <c r="A318">
        <v>3122</v>
      </c>
      <c r="B318" s="11">
        <v>45690</v>
      </c>
      <c r="C318" t="str">
        <v>Electronics</v>
      </c>
      <c r="D318" t="str">
        <v>DeskFan</v>
      </c>
      <c r="E318">
        <v>2</v>
      </c>
      <c r="F318">
        <v>12000</v>
      </c>
      <c r="G318" t="str">
        <v>South</v>
      </c>
      <c r="H318" t="str">
        <v>Chidi Nwosu</v>
      </c>
      <c r="I318" t="str">
        <v>Card</v>
      </c>
      <c r="J318">
        <v>0</v>
      </c>
    </row>
    <row r="319" spans="1:10" x14ac:dyDescent="0.25">
      <c r="A319">
        <v>3124</v>
      </c>
      <c r="B319" s="11">
        <v>45692</v>
      </c>
      <c r="C319" t="str">
        <v>Furniture</v>
      </c>
      <c r="D319" t="str">
        <v>LaundryHamper</v>
      </c>
      <c r="E319">
        <v>3</v>
      </c>
      <c r="F319">
        <v>10000</v>
      </c>
      <c r="G319" t="str">
        <v>West</v>
      </c>
      <c r="H319" t="str">
        <v>Tunde Bakare</v>
      </c>
      <c r="I319" t="str">
        <v>Transfer</v>
      </c>
      <c r="J319">
        <v>10</v>
      </c>
    </row>
    <row r="320" spans="1:10" x14ac:dyDescent="0.25">
      <c r="A320">
        <v>3125</v>
      </c>
      <c r="B320" s="11">
        <v>45693</v>
      </c>
      <c r="C320" t="str">
        <v>Electronics</v>
      </c>
      <c r="D320" t="str">
        <v>USBFan</v>
      </c>
      <c r="E320">
        <v>7</v>
      </c>
      <c r="F320">
        <v>3000</v>
      </c>
      <c r="G320" t="str">
        <v>North</v>
      </c>
      <c r="H320" t="str">
        <v>Abiola Ogun</v>
      </c>
      <c r="I320" t="str">
        <v>Card</v>
      </c>
      <c r="J320">
        <v>0</v>
      </c>
    </row>
    <row r="321" spans="1:10" x14ac:dyDescent="0.25">
      <c r="A321">
        <v>3127</v>
      </c>
      <c r="B321" s="11">
        <v>45695</v>
      </c>
      <c r="C321" t="str">
        <v>Furniture</v>
      </c>
      <c r="D321" t="str">
        <v>CornerShelf</v>
      </c>
      <c r="E321">
        <v>2</v>
      </c>
      <c r="F321">
        <v>22000</v>
      </c>
      <c r="G321" t="str">
        <v>East</v>
      </c>
      <c r="H321" t="str">
        <v>Femi Adebayo</v>
      </c>
      <c r="I321" t="str">
        <v>Transfer</v>
      </c>
      <c r="J321">
        <v>0</v>
      </c>
    </row>
    <row r="322" spans="1:10" x14ac:dyDescent="0.25">
      <c r="A322">
        <v>3128</v>
      </c>
      <c r="B322" s="11">
        <v>45696</v>
      </c>
      <c r="C322" t="str">
        <v>Electronics</v>
      </c>
      <c r="D322" t="str">
        <v>MemoryCard</v>
      </c>
      <c r="E322">
        <v>5</v>
      </c>
      <c r="F322">
        <v>10000</v>
      </c>
      <c r="G322" t="str">
        <v>West</v>
      </c>
      <c r="H322" t="str">
        <v>Tunde Bakare</v>
      </c>
      <c r="I322" t="str">
        <v>Card</v>
      </c>
      <c r="J322">
        <v>0</v>
      </c>
    </row>
    <row r="323" spans="1:10" x14ac:dyDescent="0.25">
      <c r="A323">
        <v>3130</v>
      </c>
      <c r="B323" s="11">
        <v>45698</v>
      </c>
      <c r="C323" t="str">
        <v>Furniture</v>
      </c>
      <c r="D323" t="str">
        <v>Footstool</v>
      </c>
      <c r="E323">
        <v>3</v>
      </c>
      <c r="F323">
        <v>8000</v>
      </c>
      <c r="G323" t="str">
        <v>South</v>
      </c>
      <c r="H323" t="str">
        <v>Chidi Nwosu</v>
      </c>
      <c r="I323" t="str">
        <v>Transfer</v>
      </c>
      <c r="J323">
        <v>0</v>
      </c>
    </row>
    <row r="324" spans="1:10" x14ac:dyDescent="0.25">
      <c r="A324">
        <v>3131</v>
      </c>
      <c r="B324" s="11">
        <v>45699</v>
      </c>
      <c r="C324" t="str">
        <v>Electronics</v>
      </c>
      <c r="D324" t="str">
        <v>WirelessCharger</v>
      </c>
      <c r="E324">
        <v>3</v>
      </c>
      <c r="F324">
        <v>15000</v>
      </c>
      <c r="G324" t="str">
        <v>East</v>
      </c>
      <c r="H324" t="str">
        <v>Femi Adebayo</v>
      </c>
      <c r="I324" t="str">
        <v>Card</v>
      </c>
      <c r="J324">
        <v>0</v>
      </c>
    </row>
    <row r="325" spans="1:10" x14ac:dyDescent="0.25">
      <c r="A325">
        <v>3133</v>
      </c>
      <c r="B325" s="11">
        <v>45701</v>
      </c>
      <c r="C325" t="str">
        <v>Furniture</v>
      </c>
      <c r="D325" t="str">
        <v>MagazineHolder</v>
      </c>
      <c r="E325">
        <v>5</v>
      </c>
      <c r="F325">
        <v>7000</v>
      </c>
      <c r="G325" t="str">
        <v>North</v>
      </c>
      <c r="H325" t="str">
        <v>Abiola Ogun</v>
      </c>
      <c r="I325" t="str">
        <v>Transfer</v>
      </c>
      <c r="J325">
        <v>0</v>
      </c>
    </row>
    <row r="326" spans="1:10" x14ac:dyDescent="0.25">
      <c r="A326">
        <v>3134</v>
      </c>
      <c r="B326" s="11">
        <v>45702</v>
      </c>
      <c r="C326" t="str">
        <v>Electronics</v>
      </c>
      <c r="D326" t="str">
        <v>LaptopStand</v>
      </c>
      <c r="E326">
        <v>3</v>
      </c>
      <c r="F326">
        <v>18000</v>
      </c>
      <c r="G326" t="str">
        <v>South</v>
      </c>
      <c r="H326" t="str">
        <v>Chidi Nwosu</v>
      </c>
      <c r="I326" t="str">
        <v>Card</v>
      </c>
      <c r="J326">
        <v>5</v>
      </c>
    </row>
    <row r="327" spans="1:10" x14ac:dyDescent="0.25">
      <c r="A327">
        <v>3136</v>
      </c>
      <c r="B327" s="11">
        <v>45704</v>
      </c>
      <c r="C327" t="str">
        <v>Furniture</v>
      </c>
      <c r="D327" t="str">
        <v>WineRack</v>
      </c>
      <c r="E327">
        <v>2</v>
      </c>
      <c r="F327">
        <v>12000</v>
      </c>
      <c r="G327" t="str">
        <v>West</v>
      </c>
      <c r="H327" t="str">
        <v>Tunde Bakare</v>
      </c>
      <c r="I327" t="str">
        <v>Transfer</v>
      </c>
      <c r="J327">
        <v>0</v>
      </c>
    </row>
    <row r="328" spans="1:10" x14ac:dyDescent="0.25">
      <c r="A328">
        <v>3137</v>
      </c>
      <c r="B328" s="11">
        <v>45705</v>
      </c>
      <c r="C328" t="str">
        <v>Electronics</v>
      </c>
      <c r="D328" t="str">
        <v>SmartSpeaker</v>
      </c>
      <c r="E328">
        <v>2</v>
      </c>
      <c r="F328">
        <v>45000</v>
      </c>
      <c r="G328" t="str">
        <v>North</v>
      </c>
      <c r="H328" t="str">
        <v>Abiola Ogun</v>
      </c>
      <c r="I328" t="str">
        <v>Card</v>
      </c>
      <c r="J328">
        <v>10</v>
      </c>
    </row>
    <row r="329" spans="1:10" x14ac:dyDescent="0.25">
      <c r="A329">
        <v>3139</v>
      </c>
      <c r="B329" s="11">
        <v>45707</v>
      </c>
      <c r="C329" t="str">
        <v>Furniture</v>
      </c>
      <c r="D329" t="str">
        <v>ShowerCaddy</v>
      </c>
      <c r="E329">
        <v>5</v>
      </c>
      <c r="F329">
        <v>5000</v>
      </c>
      <c r="G329" t="str">
        <v>East</v>
      </c>
      <c r="H329" t="str">
        <v>Femi Adebayo</v>
      </c>
      <c r="I329" t="str">
        <v>Transfer</v>
      </c>
      <c r="J329">
        <v>5</v>
      </c>
    </row>
    <row r="330" spans="1:10" x14ac:dyDescent="0.25">
      <c r="A330">
        <v>3140</v>
      </c>
      <c r="B330" s="11">
        <v>45708</v>
      </c>
      <c r="C330" t="str">
        <v>Electronics</v>
      </c>
      <c r="D330" t="str">
        <v>ExternalDVDDrive</v>
      </c>
      <c r="E330">
        <v>1</v>
      </c>
      <c r="F330">
        <v>20000</v>
      </c>
      <c r="G330" t="str">
        <v>West</v>
      </c>
      <c r="H330" t="str">
        <v>Tunde Bakare</v>
      </c>
      <c r="I330" t="str">
        <v>Card</v>
      </c>
      <c r="J330">
        <v>0</v>
      </c>
    </row>
    <row r="331" spans="1:10" x14ac:dyDescent="0.25">
      <c r="A331">
        <v>3142</v>
      </c>
      <c r="B331" s="11">
        <v>45710</v>
      </c>
      <c r="C331" t="str">
        <v>Furniture</v>
      </c>
      <c r="D331" t="str">
        <v>UmbrellaStand</v>
      </c>
      <c r="E331">
        <v>2</v>
      </c>
      <c r="F331">
        <v>10000</v>
      </c>
      <c r="G331" t="str">
        <v>South</v>
      </c>
      <c r="H331" t="str">
        <v>Chidi Nwosu</v>
      </c>
      <c r="I331" t="str">
        <v>Transfer</v>
      </c>
      <c r="J331">
        <v>5</v>
      </c>
    </row>
    <row r="332" spans="1:10" x14ac:dyDescent="0.25">
      <c r="A332">
        <v>3143</v>
      </c>
      <c r="B332" s="11">
        <v>45711</v>
      </c>
      <c r="C332" t="str">
        <v>Electronics</v>
      </c>
      <c r="D332" t="str">
        <v>LightningCable</v>
      </c>
      <c r="E332">
        <v>6</v>
      </c>
      <c r="F332">
        <v>6000</v>
      </c>
      <c r="G332" t="str">
        <v>East</v>
      </c>
      <c r="H332" t="str">
        <v>Femi Adebayo</v>
      </c>
      <c r="I332" t="str">
        <v>Card</v>
      </c>
      <c r="J332">
        <v>0</v>
      </c>
    </row>
    <row r="333" spans="1:10" x14ac:dyDescent="0.25">
      <c r="A333">
        <v>3145</v>
      </c>
      <c r="B333" s="11">
        <v>45713</v>
      </c>
      <c r="C333" t="str">
        <v>Furniture</v>
      </c>
      <c r="D333" t="str">
        <v>LetterTray</v>
      </c>
      <c r="E333">
        <v>5</v>
      </c>
      <c r="F333">
        <v>4000</v>
      </c>
      <c r="G333" t="str">
        <v>North</v>
      </c>
      <c r="H333" t="str">
        <v>Abiola Ogun</v>
      </c>
      <c r="I333" t="str">
        <v>Transfer</v>
      </c>
      <c r="J333">
        <v>10</v>
      </c>
    </row>
    <row r="334" spans="1:10" x14ac:dyDescent="0.25">
      <c r="A334">
        <v>3146</v>
      </c>
      <c r="B334" s="11">
        <v>45714</v>
      </c>
      <c r="C334" t="str">
        <v>Electronics</v>
      </c>
      <c r="D334" t="str">
        <v>PhoneGrip</v>
      </c>
      <c r="E334">
        <v>10</v>
      </c>
      <c r="F334">
        <v>2000</v>
      </c>
      <c r="G334" t="str">
        <v>South</v>
      </c>
      <c r="H334" t="str">
        <v>Chidi Nwosu</v>
      </c>
      <c r="I334" t="str">
        <v>Card</v>
      </c>
      <c r="J334">
        <v>0</v>
      </c>
    </row>
    <row r="335" spans="1:10" x14ac:dyDescent="0.25">
      <c r="A335">
        <v>3148</v>
      </c>
      <c r="B335" s="11">
        <v>45716</v>
      </c>
      <c r="C335" t="str">
        <v>Furniture</v>
      </c>
      <c r="D335" t="str">
        <v>PlantPot</v>
      </c>
      <c r="E335">
        <v>8</v>
      </c>
      <c r="F335">
        <v>3000</v>
      </c>
      <c r="G335" t="str">
        <v>West</v>
      </c>
      <c r="H335" t="str">
        <v>Tunde Bakare</v>
      </c>
      <c r="I335" t="str">
        <v>Transfer</v>
      </c>
      <c r="J335">
        <v>0</v>
      </c>
    </row>
    <row r="336" spans="1:10" x14ac:dyDescent="0.25">
      <c r="A336">
        <v>3149</v>
      </c>
      <c r="B336" s="11">
        <v>45717</v>
      </c>
      <c r="C336" t="str">
        <v>Electronics</v>
      </c>
      <c r="D336" t="str">
        <v>TabletStand</v>
      </c>
      <c r="E336">
        <v>5</v>
      </c>
      <c r="F336">
        <v>7000</v>
      </c>
      <c r="G336" t="str">
        <v>North</v>
      </c>
      <c r="H336" t="str">
        <v>Abiola Ogun</v>
      </c>
      <c r="I336" t="str">
        <v>Card</v>
      </c>
      <c r="J336">
        <v>0</v>
      </c>
    </row>
    <row r="337" spans="1:10" x14ac:dyDescent="0.25">
      <c r="A337">
        <v>3151</v>
      </c>
      <c r="B337" s="11">
        <v>45668</v>
      </c>
      <c r="C337" t="str">
        <v>Furniture</v>
      </c>
      <c r="D337" t="str">
        <v>PictureFrame</v>
      </c>
      <c r="E337">
        <v>6</v>
      </c>
      <c r="F337">
        <v>5000</v>
      </c>
      <c r="G337" t="str">
        <v>East</v>
      </c>
      <c r="H337" t="str">
        <v>Femi Adebayo</v>
      </c>
      <c r="I337" t="str">
        <v>Transfer</v>
      </c>
      <c r="J337">
        <v>0</v>
      </c>
    </row>
    <row r="338" spans="1:10" x14ac:dyDescent="0.25">
      <c r="A338">
        <v>3152</v>
      </c>
      <c r="B338" s="11">
        <v>45669</v>
      </c>
      <c r="C338" t="str">
        <v>Electronics</v>
      </c>
      <c r="D338" t="str">
        <v>StylusPen</v>
      </c>
      <c r="E338">
        <v>4</v>
      </c>
      <c r="F338">
        <v>8000</v>
      </c>
      <c r="G338" t="str">
        <v>West</v>
      </c>
      <c r="H338" t="str">
        <v>Tunde Bakare</v>
      </c>
      <c r="I338" t="str">
        <v>Card</v>
      </c>
      <c r="J338">
        <v>0</v>
      </c>
    </row>
    <row r="339" spans="1:10" x14ac:dyDescent="0.25">
      <c r="A339">
        <v>3154</v>
      </c>
      <c r="B339" s="11">
        <v>45671</v>
      </c>
      <c r="C339" t="str">
        <v>Furniture</v>
      </c>
      <c r="D339" t="str">
        <v>JewelryBox</v>
      </c>
      <c r="E339">
        <v>2</v>
      </c>
      <c r="F339">
        <v>12000</v>
      </c>
      <c r="G339" t="str">
        <v>South</v>
      </c>
      <c r="H339" t="str">
        <v>Chidi Nwosu</v>
      </c>
      <c r="I339" t="str">
        <v>Transfer</v>
      </c>
      <c r="J339">
        <v>0</v>
      </c>
    </row>
    <row r="340" spans="1:10" x14ac:dyDescent="0.25">
      <c r="A340">
        <v>3155</v>
      </c>
      <c r="B340" s="11">
        <v>45672</v>
      </c>
      <c r="C340" t="str">
        <v>Electronics</v>
      </c>
      <c r="D340" t="str">
        <v>CameraLens</v>
      </c>
      <c r="E340">
        <v>1</v>
      </c>
      <c r="F340">
        <v>85000</v>
      </c>
      <c r="G340" t="str">
        <v>East</v>
      </c>
      <c r="H340" t="str">
        <v>Femi Adebayo</v>
      </c>
      <c r="I340" t="str">
        <v>Card</v>
      </c>
      <c r="J340">
        <v>0</v>
      </c>
    </row>
    <row r="341" spans="1:10" x14ac:dyDescent="0.25">
      <c r="A341">
        <v>3157</v>
      </c>
      <c r="B341" s="11">
        <v>45674</v>
      </c>
      <c r="C341" t="str">
        <v>Furniture</v>
      </c>
      <c r="D341" t="str">
        <v>Cushion</v>
      </c>
      <c r="E341">
        <v>6</v>
      </c>
      <c r="F341">
        <v>6000</v>
      </c>
      <c r="G341" t="str">
        <v>North</v>
      </c>
      <c r="H341" t="str">
        <v>Abiola Ogun</v>
      </c>
      <c r="I341" t="str">
        <v>Transfer</v>
      </c>
      <c r="J341">
        <v>0</v>
      </c>
    </row>
    <row r="342" spans="1:10" x14ac:dyDescent="0.25">
      <c r="A342">
        <v>3158</v>
      </c>
      <c r="B342" s="11">
        <v>45675</v>
      </c>
      <c r="C342" t="str">
        <v>Electronics</v>
      </c>
      <c r="D342" t="str">
        <v>SmartThermostat</v>
      </c>
      <c r="E342">
        <v>1</v>
      </c>
      <c r="F342">
        <v>35000</v>
      </c>
      <c r="G342" t="str">
        <v>South</v>
      </c>
      <c r="H342" t="str">
        <v>Chidi Nwosu</v>
      </c>
      <c r="I342" t="str">
        <v>Card</v>
      </c>
      <c r="J342">
        <v>5</v>
      </c>
    </row>
    <row r="343" spans="1:10" x14ac:dyDescent="0.25">
      <c r="A343">
        <v>3160</v>
      </c>
      <c r="B343" s="11">
        <v>45677</v>
      </c>
      <c r="C343" t="str">
        <v>Furniture</v>
      </c>
      <c r="D343" t="str">
        <v>ThrowBlanket</v>
      </c>
      <c r="E343">
        <v>3</v>
      </c>
      <c r="F343">
        <v>15000</v>
      </c>
      <c r="G343" t="str">
        <v>West</v>
      </c>
      <c r="H343" t="str">
        <v>Tunde Bakare</v>
      </c>
      <c r="I343" t="str">
        <v>Transfer</v>
      </c>
      <c r="J343">
        <v>0</v>
      </c>
    </row>
    <row r="344" spans="1:10" x14ac:dyDescent="0.25">
      <c r="A344">
        <v>3161</v>
      </c>
      <c r="B344" s="11">
        <v>45678</v>
      </c>
      <c r="C344" t="str">
        <v>Electronics</v>
      </c>
      <c r="D344" t="str">
        <v>CarCharger</v>
      </c>
      <c r="E344">
        <v>5</v>
      </c>
      <c r="F344">
        <v>8000</v>
      </c>
      <c r="G344" t="str">
        <v>North</v>
      </c>
      <c r="H344" t="str">
        <v>Abiola Ogun</v>
      </c>
      <c r="I344" t="str">
        <v>Card</v>
      </c>
      <c r="J344">
        <v>5</v>
      </c>
    </row>
    <row r="345" spans="1:10" x14ac:dyDescent="0.25">
      <c r="A345">
        <v>3163</v>
      </c>
      <c r="B345" s="11">
        <v>45680</v>
      </c>
      <c r="C345" t="str">
        <v>Furniture</v>
      </c>
      <c r="D345" t="str">
        <v>BathMat</v>
      </c>
      <c r="E345">
        <v>6</v>
      </c>
      <c r="F345">
        <v>4000</v>
      </c>
      <c r="G345" t="str">
        <v>East</v>
      </c>
      <c r="H345" t="str">
        <v>Femi Adebayo</v>
      </c>
      <c r="I345" t="str">
        <v>Transfer</v>
      </c>
      <c r="J345">
        <v>0</v>
      </c>
    </row>
    <row r="346" spans="1:10" x14ac:dyDescent="0.25">
      <c r="A346">
        <v>3164</v>
      </c>
      <c r="B346" s="11">
        <v>45681</v>
      </c>
      <c r="C346" t="str">
        <v>Electronics</v>
      </c>
      <c r="D346" t="str">
        <v>AlarmClock</v>
      </c>
      <c r="E346">
        <v>3</v>
      </c>
      <c r="F346">
        <v>9000</v>
      </c>
      <c r="G346" t="str">
        <v>West</v>
      </c>
      <c r="H346" t="str">
        <v>Tunde Bakare</v>
      </c>
      <c r="I346" t="str">
        <v>Card</v>
      </c>
      <c r="J346">
        <v>10</v>
      </c>
    </row>
    <row r="347" spans="1:10" x14ac:dyDescent="0.25">
      <c r="A347">
        <v>3166</v>
      </c>
      <c r="B347" s="11">
        <v>45683</v>
      </c>
      <c r="C347" t="str">
        <v>Furniture</v>
      </c>
      <c r="D347" t="str">
        <v>KitchenTrolley</v>
      </c>
      <c r="E347">
        <v>1</v>
      </c>
      <c r="F347">
        <v>45000</v>
      </c>
      <c r="G347" t="str">
        <v>South</v>
      </c>
      <c r="H347" t="str">
        <v>Chidi Nwosu</v>
      </c>
      <c r="I347" t="str">
        <v>Transfer</v>
      </c>
      <c r="J347">
        <v>5</v>
      </c>
    </row>
    <row r="348" spans="1:10" x14ac:dyDescent="0.25">
      <c r="A348">
        <v>3167</v>
      </c>
      <c r="B348" s="11">
        <v>45684</v>
      </c>
      <c r="C348" t="str">
        <v>Electronics</v>
      </c>
      <c r="D348" t="str">
        <v>Calculator</v>
      </c>
      <c r="E348">
        <v>2</v>
      </c>
      <c r="F348">
        <v>15000</v>
      </c>
      <c r="G348" t="str">
        <v>East</v>
      </c>
      <c r="H348" t="str">
        <v>Femi Adebayo</v>
      </c>
      <c r="I348" t="str">
        <v>Card</v>
      </c>
      <c r="J348">
        <v>0</v>
      </c>
    </row>
    <row r="349" spans="1:10" x14ac:dyDescent="0.25">
      <c r="A349">
        <v>3169</v>
      </c>
      <c r="B349" s="11">
        <v>45686</v>
      </c>
      <c r="C349" t="str">
        <v>Furniture</v>
      </c>
      <c r="D349" t="str">
        <v>OverbedTable</v>
      </c>
      <c r="E349">
        <v>1</v>
      </c>
      <c r="F349">
        <v>25000</v>
      </c>
      <c r="G349" t="str">
        <v>North</v>
      </c>
      <c r="H349" t="str">
        <v>Abiola Ogun</v>
      </c>
      <c r="I349" t="str">
        <v>Transfer</v>
      </c>
      <c r="J349">
        <v>5</v>
      </c>
    </row>
    <row r="350" spans="1:10" x14ac:dyDescent="0.25">
      <c r="A350">
        <v>3170</v>
      </c>
      <c r="B350" s="11">
        <v>45687</v>
      </c>
      <c r="C350" t="str">
        <v>Electronics</v>
      </c>
      <c r="D350" t="str">
        <v>DigitalClock</v>
      </c>
      <c r="E350">
        <v>4</v>
      </c>
      <c r="F350">
        <v>8000</v>
      </c>
      <c r="G350" t="str">
        <v>South</v>
      </c>
      <c r="H350" t="str">
        <v>Chidi Nwosu</v>
      </c>
      <c r="I350" t="str">
        <v>Card</v>
      </c>
      <c r="J350">
        <v>0</v>
      </c>
    </row>
    <row r="351" spans="1:10" x14ac:dyDescent="0.25">
      <c r="A351">
        <v>3172</v>
      </c>
      <c r="B351" s="11">
        <v>45689</v>
      </c>
      <c r="C351" t="str">
        <v>Furniture</v>
      </c>
      <c r="D351" t="str">
        <v>ClothesRack</v>
      </c>
      <c r="E351">
        <v>2</v>
      </c>
      <c r="F351">
        <v>20000</v>
      </c>
      <c r="G351" t="str">
        <v>West</v>
      </c>
      <c r="H351" t="str">
        <v>Tunde Bakare</v>
      </c>
      <c r="I351" t="str">
        <v>Transfer</v>
      </c>
      <c r="J351">
        <v>10</v>
      </c>
    </row>
    <row r="352" spans="1:10" x14ac:dyDescent="0.25">
      <c r="A352">
        <v>3173</v>
      </c>
      <c r="B352" s="11">
        <v>45690</v>
      </c>
      <c r="C352" t="str">
        <v>Electronics</v>
      </c>
      <c r="D352" t="str">
        <v>VoltageRegulator</v>
      </c>
      <c r="E352">
        <v>2</v>
      </c>
      <c r="F352">
        <v>25000</v>
      </c>
      <c r="G352" t="str">
        <v>North</v>
      </c>
      <c r="H352" t="str">
        <v>Abiola Ogun</v>
      </c>
      <c r="I352" t="str">
        <v>Card</v>
      </c>
      <c r="J352">
        <v>0</v>
      </c>
    </row>
    <row r="353" spans="1:10" x14ac:dyDescent="0.25">
      <c r="A353">
        <v>3175</v>
      </c>
      <c r="B353" s="11">
        <v>45692</v>
      </c>
      <c r="C353" t="str">
        <v>Furniture</v>
      </c>
      <c r="D353" t="str">
        <v>VanityTable</v>
      </c>
      <c r="E353">
        <v>1</v>
      </c>
      <c r="F353">
        <v>85000</v>
      </c>
      <c r="G353" t="str">
        <v>East</v>
      </c>
      <c r="H353" t="str">
        <v>Femi Adebayo</v>
      </c>
      <c r="I353" t="str">
        <v>Transfer</v>
      </c>
      <c r="J353">
        <v>0</v>
      </c>
    </row>
    <row r="354" spans="1:10" x14ac:dyDescent="0.25">
      <c r="A354">
        <v>3176</v>
      </c>
      <c r="B354" s="11">
        <v>45693</v>
      </c>
      <c r="C354" t="str">
        <v>Electronics</v>
      </c>
      <c r="D354" t="str">
        <v>SelfieStick</v>
      </c>
      <c r="E354">
        <v>5</v>
      </c>
      <c r="F354">
        <v>5000</v>
      </c>
      <c r="G354" t="str">
        <v>West</v>
      </c>
      <c r="H354" t="str">
        <v>Tunde Bakare</v>
      </c>
      <c r="I354" t="str">
        <v>Card</v>
      </c>
      <c r="J354">
        <v>0</v>
      </c>
    </row>
    <row r="355" spans="1:10" x14ac:dyDescent="0.25">
      <c r="A355">
        <v>3178</v>
      </c>
      <c r="B355" s="11">
        <v>45695</v>
      </c>
      <c r="C355" t="str">
        <v>Furniture</v>
      </c>
      <c r="D355" t="str">
        <v>WallHook</v>
      </c>
      <c r="E355">
        <v>12</v>
      </c>
      <c r="F355">
        <v>1500</v>
      </c>
      <c r="G355" t="str">
        <v>South</v>
      </c>
      <c r="H355" t="str">
        <v>Chidi Nwosu</v>
      </c>
      <c r="I355" t="str">
        <v>Transfer</v>
      </c>
      <c r="J355">
        <v>0</v>
      </c>
    </row>
    <row r="356" spans="1:10" x14ac:dyDescent="0.25">
      <c r="A356">
        <v>3179</v>
      </c>
      <c r="B356" s="11">
        <v>45696</v>
      </c>
      <c r="C356" t="str">
        <v>Electronics</v>
      </c>
      <c r="D356" t="str">
        <v>LensCleaner</v>
      </c>
      <c r="E356">
        <v>6</v>
      </c>
      <c r="F356">
        <v>3000</v>
      </c>
      <c r="G356" t="str">
        <v>East</v>
      </c>
      <c r="H356" t="str">
        <v>Femi Adebayo</v>
      </c>
      <c r="I356" t="str">
        <v>Card</v>
      </c>
      <c r="J356">
        <v>0</v>
      </c>
    </row>
    <row r="357" spans="1:10" x14ac:dyDescent="0.25">
      <c r="A357">
        <v>3181</v>
      </c>
      <c r="B357" s="11">
        <v>45698</v>
      </c>
      <c r="C357" t="str">
        <v>Furniture</v>
      </c>
      <c r="D357" t="str">
        <v>TrashCan</v>
      </c>
      <c r="E357">
        <v>3</v>
      </c>
      <c r="F357">
        <v>8000</v>
      </c>
      <c r="G357" t="str">
        <v>North</v>
      </c>
      <c r="H357" t="str">
        <v>Abiola Ogun</v>
      </c>
      <c r="I357" t="str">
        <v>Transfer</v>
      </c>
      <c r="J357">
        <v>0</v>
      </c>
    </row>
    <row r="358" spans="1:10" x14ac:dyDescent="0.25">
      <c r="A358">
        <v>3182</v>
      </c>
      <c r="B358" s="11">
        <v>45699</v>
      </c>
      <c r="C358" t="str">
        <v>Electronics</v>
      </c>
      <c r="D358" t="str">
        <v>ExtensionCord</v>
      </c>
      <c r="E358">
        <v>5</v>
      </c>
      <c r="F358">
        <v>7000</v>
      </c>
      <c r="G358" t="str">
        <v>South</v>
      </c>
      <c r="H358" t="str">
        <v>Chidi Nwosu</v>
      </c>
      <c r="I358" t="str">
        <v>Card</v>
      </c>
      <c r="J358">
        <v>5</v>
      </c>
    </row>
    <row r="359" spans="1:10" x14ac:dyDescent="0.25">
      <c r="A359">
        <v>3184</v>
      </c>
      <c r="B359" s="11">
        <v>45701</v>
      </c>
      <c r="C359" t="str">
        <v>Furniture</v>
      </c>
      <c r="D359" t="str">
        <v>FireplaceScreen</v>
      </c>
      <c r="E359">
        <v>1</v>
      </c>
      <c r="F359">
        <v>45000</v>
      </c>
      <c r="G359" t="str">
        <v>West</v>
      </c>
      <c r="H359" t="str">
        <v>Tunde Bakare</v>
      </c>
      <c r="I359" t="str">
        <v>Transfer</v>
      </c>
      <c r="J359">
        <v>0</v>
      </c>
    </row>
    <row r="360" spans="1:10" x14ac:dyDescent="0.25">
      <c r="A360">
        <v>3185</v>
      </c>
      <c r="B360" s="11">
        <v>45702</v>
      </c>
      <c r="C360" t="str">
        <v>Electronics</v>
      </c>
      <c r="D360" t="str">
        <v>AntivirusUSB</v>
      </c>
      <c r="E360">
        <v>2</v>
      </c>
      <c r="F360">
        <v>15000</v>
      </c>
      <c r="G360" t="str">
        <v>North</v>
      </c>
      <c r="H360" t="str">
        <v>Abiola Ogun</v>
      </c>
      <c r="I360" t="str">
        <v>Card</v>
      </c>
      <c r="J360">
        <v>5</v>
      </c>
    </row>
    <row r="361" spans="1:10" x14ac:dyDescent="0.25">
      <c r="A361">
        <v>3187</v>
      </c>
      <c r="B361" s="11">
        <v>45704</v>
      </c>
      <c r="C361" t="str">
        <v>Furniture</v>
      </c>
      <c r="D361" t="str">
        <v>PetCrate</v>
      </c>
      <c r="E361">
        <v>1</v>
      </c>
      <c r="F361">
        <v>35000</v>
      </c>
      <c r="G361" t="str">
        <v>East</v>
      </c>
      <c r="H361" t="str">
        <v>Femi Adebayo</v>
      </c>
      <c r="I361" t="str">
        <v>Transfer</v>
      </c>
      <c r="J361">
        <v>0</v>
      </c>
    </row>
    <row r="362" spans="1:10" x14ac:dyDescent="0.25">
      <c r="A362">
        <v>3188</v>
      </c>
      <c r="B362" s="11">
        <v>45705</v>
      </c>
      <c r="C362" t="str">
        <v>Electronics</v>
      </c>
      <c r="D362" t="str">
        <v>RouterStand</v>
      </c>
      <c r="E362">
        <v>4</v>
      </c>
      <c r="F362">
        <v>6000</v>
      </c>
      <c r="G362" t="str">
        <v>West</v>
      </c>
      <c r="H362" t="str">
        <v>Tunde Bakare</v>
      </c>
      <c r="I362" t="str">
        <v>Card</v>
      </c>
      <c r="J362">
        <v>10</v>
      </c>
    </row>
    <row r="363" spans="1:10" x14ac:dyDescent="0.25">
      <c r="A363">
        <v>3190</v>
      </c>
      <c r="B363" s="11">
        <v>45707</v>
      </c>
      <c r="C363" t="str">
        <v>Furniture</v>
      </c>
      <c r="D363" t="str">
        <v>MakeupMirror</v>
      </c>
      <c r="E363">
        <v>2</v>
      </c>
      <c r="F363">
        <v>12000</v>
      </c>
      <c r="G363" t="str">
        <v>South</v>
      </c>
      <c r="H363" t="str">
        <v>Chidi Nwosu</v>
      </c>
      <c r="I363" t="str">
        <v>Transfer</v>
      </c>
      <c r="J363">
        <v>5</v>
      </c>
    </row>
    <row r="364" spans="1:10" x14ac:dyDescent="0.25">
      <c r="A364">
        <v>3191</v>
      </c>
      <c r="B364" s="11">
        <v>45708</v>
      </c>
      <c r="C364" t="str">
        <v>Electronics</v>
      </c>
      <c r="D364" t="str">
        <v>Drone</v>
      </c>
      <c r="E364">
        <v>1</v>
      </c>
      <c r="F364">
        <v>250000</v>
      </c>
      <c r="G364" t="str">
        <v>East</v>
      </c>
      <c r="H364" t="str">
        <v>Femi Adebayo</v>
      </c>
      <c r="I364" t="str">
        <v>Card</v>
      </c>
      <c r="J364">
        <v>0</v>
      </c>
    </row>
    <row r="365" spans="1:10" x14ac:dyDescent="0.25">
      <c r="A365">
        <v>3193</v>
      </c>
      <c r="B365" s="11">
        <v>45710</v>
      </c>
      <c r="C365" t="str">
        <v>Furniture</v>
      </c>
      <c r="D365" t="str">
        <v>CoatHook</v>
      </c>
      <c r="E365">
        <v>9</v>
      </c>
      <c r="F365">
        <v>3000</v>
      </c>
      <c r="G365" t="str">
        <v>North</v>
      </c>
      <c r="H365" t="str">
        <v>Abiola Ogun</v>
      </c>
      <c r="I365" t="str">
        <v>Transfer</v>
      </c>
      <c r="J365">
        <v>5</v>
      </c>
    </row>
    <row r="366" spans="1:10" x14ac:dyDescent="0.25">
      <c r="A366">
        <v>3194</v>
      </c>
      <c r="B366" s="11">
        <v>45711</v>
      </c>
      <c r="C366" t="str">
        <v>Electronics</v>
      </c>
      <c r="D366" t="str">
        <v>RechargeableFan</v>
      </c>
      <c r="E366">
        <v>2</v>
      </c>
      <c r="F366">
        <v>18000</v>
      </c>
      <c r="G366" t="str">
        <v>South</v>
      </c>
      <c r="H366" t="str">
        <v>Chidi Nwosu</v>
      </c>
      <c r="I366" t="str">
        <v>Card</v>
      </c>
      <c r="J366">
        <v>0</v>
      </c>
    </row>
    <row r="367" spans="1:10" x14ac:dyDescent="0.25">
      <c r="A367">
        <v>3196</v>
      </c>
      <c r="B367" s="11">
        <v>45713</v>
      </c>
      <c r="C367" t="str">
        <v>Furniture</v>
      </c>
      <c r="D367" t="str">
        <v>TraditionalStool</v>
      </c>
      <c r="E367">
        <v>3</v>
      </c>
      <c r="F367">
        <v>25000</v>
      </c>
      <c r="G367" t="str">
        <v>West</v>
      </c>
      <c r="H367" t="str">
        <v>Tunde Bakare</v>
      </c>
      <c r="I367" t="str">
        <v>Transfer</v>
      </c>
      <c r="J367">
        <v>10</v>
      </c>
    </row>
    <row r="368" spans="1:10" x14ac:dyDescent="0.25">
      <c r="A368">
        <v>3197</v>
      </c>
      <c r="B368" s="11">
        <v>45714</v>
      </c>
      <c r="C368" t="str">
        <v>Electronics</v>
      </c>
      <c r="D368" t="str">
        <v>Kettle</v>
      </c>
      <c r="E368">
        <v>2</v>
      </c>
      <c r="F368">
        <v>15000</v>
      </c>
      <c r="G368" t="str">
        <v>North</v>
      </c>
      <c r="H368" t="str">
        <v>Abiola Ogun</v>
      </c>
      <c r="I368" t="str">
        <v>Card</v>
      </c>
      <c r="J368">
        <v>0</v>
      </c>
    </row>
    <row r="369" spans="1:10" x14ac:dyDescent="0.25">
      <c r="A369">
        <v>3199</v>
      </c>
      <c r="B369" s="11">
        <v>45716</v>
      </c>
      <c r="C369" t="str">
        <v>Furniture</v>
      </c>
      <c r="D369" t="str">
        <v>PrayerMat</v>
      </c>
      <c r="E369">
        <v>3</v>
      </c>
      <c r="F369">
        <v>10000</v>
      </c>
      <c r="G369" t="str">
        <v>East</v>
      </c>
      <c r="H369" t="str">
        <v>Femi Adebayo</v>
      </c>
      <c r="I369" t="str">
        <v>Transfer</v>
      </c>
      <c r="J369">
        <v>0</v>
      </c>
    </row>
    <row r="370" spans="1:10" x14ac:dyDescent="0.25">
      <c r="A370">
        <v>3200</v>
      </c>
      <c r="B370" s="11">
        <v>45717</v>
      </c>
      <c r="C370" t="str">
        <v>Electronics</v>
      </c>
      <c r="D370" t="str">
        <v>ElectricCooker</v>
      </c>
      <c r="E370">
        <v>1</v>
      </c>
      <c r="F370">
        <v>120000</v>
      </c>
      <c r="G370" t="str">
        <v>West</v>
      </c>
      <c r="H370" t="str">
        <v>Tunde Bakare</v>
      </c>
      <c r="I370" t="str">
        <v>Card</v>
      </c>
      <c r="J370">
        <v>0</v>
      </c>
    </row>
    <row r="371" spans="1:10" x14ac:dyDescent="0.25">
      <c r="A371">
        <v>3201</v>
      </c>
      <c r="B371" s="11">
        <v>45672</v>
      </c>
      <c r="C371" t="str">
        <v>Electronics</v>
      </c>
      <c r="D371" t="str">
        <v>GamingConsole</v>
      </c>
      <c r="E371">
        <v>1</v>
      </c>
      <c r="F371">
        <v>350000</v>
      </c>
      <c r="G371" t="str">
        <v>North</v>
      </c>
      <c r="H371" t="str">
        <v>Abiola Ogun</v>
      </c>
      <c r="I371" t="str">
        <v>Card</v>
      </c>
      <c r="J371">
        <v>5</v>
      </c>
    </row>
    <row r="372" spans="1:10" x14ac:dyDescent="0.25">
      <c r="A372">
        <v>3203</v>
      </c>
      <c r="B372" s="11">
        <v>45674</v>
      </c>
      <c r="C372" t="str">
        <v>Furniture</v>
      </c>
      <c r="D372" t="str">
        <v>AccentChair</v>
      </c>
      <c r="E372">
        <v>2</v>
      </c>
      <c r="F372">
        <v>95000</v>
      </c>
      <c r="G372" t="str">
        <v>East</v>
      </c>
      <c r="H372" t="str">
        <v>Femi Adebayo</v>
      </c>
      <c r="I372" t="str">
        <v>Transfer</v>
      </c>
      <c r="J372">
        <v>10</v>
      </c>
    </row>
    <row r="373" spans="1:10" x14ac:dyDescent="0.25">
      <c r="A373">
        <v>3204</v>
      </c>
      <c r="B373" s="11">
        <v>45675</v>
      </c>
      <c r="C373" t="str">
        <v>Electronics</v>
      </c>
      <c r="D373" t="str">
        <v>SmartTV</v>
      </c>
      <c r="E373">
        <v>1</v>
      </c>
      <c r="F373">
        <v>250000</v>
      </c>
      <c r="G373" t="str">
        <v>West</v>
      </c>
      <c r="H373" t="str">
        <v>Tunde Bakare</v>
      </c>
      <c r="I373" t="str">
        <v>Card</v>
      </c>
      <c r="J373">
        <v>0</v>
      </c>
    </row>
    <row r="374" spans="1:10" x14ac:dyDescent="0.25">
      <c r="A374">
        <v>3206</v>
      </c>
      <c r="B374" s="11">
        <v>45677</v>
      </c>
      <c r="C374" t="str">
        <v>Furniture</v>
      </c>
      <c r="D374" t="str">
        <v>ConsoleTable</v>
      </c>
      <c r="E374">
        <v>1</v>
      </c>
      <c r="F374">
        <v>55000</v>
      </c>
      <c r="G374" t="str">
        <v>South</v>
      </c>
      <c r="H374" t="str">
        <v>Chidi Nwosu</v>
      </c>
      <c r="I374" t="str">
        <v>Transfer</v>
      </c>
      <c r="J374">
        <v>0</v>
      </c>
    </row>
    <row r="375" spans="1:10" x14ac:dyDescent="0.25">
      <c r="A375">
        <v>3207</v>
      </c>
      <c r="B375" s="11">
        <v>45678</v>
      </c>
      <c r="C375" t="str">
        <v>Electronics</v>
      </c>
      <c r="D375" t="str">
        <v>Soundbar</v>
      </c>
      <c r="E375">
        <v>2</v>
      </c>
      <c r="F375">
        <v>120000</v>
      </c>
      <c r="G375" t="str">
        <v>East</v>
      </c>
      <c r="H375" t="str">
        <v>Femi Adebayo</v>
      </c>
      <c r="I375" t="str">
        <v>Card</v>
      </c>
      <c r="J375">
        <v>0</v>
      </c>
    </row>
    <row r="376" spans="1:10" x14ac:dyDescent="0.25">
      <c r="A376">
        <v>3209</v>
      </c>
      <c r="B376" s="11">
        <v>45680</v>
      </c>
      <c r="C376" t="str">
        <v>Furniture</v>
      </c>
      <c r="D376" t="str">
        <v>AdirondackChair</v>
      </c>
      <c r="E376">
        <v>2</v>
      </c>
      <c r="F376">
        <v>45000</v>
      </c>
      <c r="G376" t="str">
        <v>North</v>
      </c>
      <c r="H376" t="str">
        <v>Abiola Ogun</v>
      </c>
      <c r="I376" t="str">
        <v>Transfer</v>
      </c>
      <c r="J376">
        <v>0</v>
      </c>
    </row>
    <row r="377" spans="1:10" x14ac:dyDescent="0.25">
      <c r="A377">
        <v>3210</v>
      </c>
      <c r="B377" s="11">
        <v>45681</v>
      </c>
      <c r="C377" t="str">
        <v>Electronics</v>
      </c>
      <c r="D377" t="str">
        <v>TabletCase</v>
      </c>
      <c r="E377">
        <v>4</v>
      </c>
      <c r="F377">
        <v>8000</v>
      </c>
      <c r="G377" t="str">
        <v>South</v>
      </c>
      <c r="H377" t="str">
        <v>Chidi Nwosu</v>
      </c>
      <c r="I377" t="str">
        <v>Card</v>
      </c>
      <c r="J377">
        <v>0</v>
      </c>
    </row>
    <row r="378" spans="1:10" x14ac:dyDescent="0.25">
      <c r="A378">
        <v>3212</v>
      </c>
      <c r="B378" s="11">
        <v>45683</v>
      </c>
      <c r="C378" t="str">
        <v>Furniture</v>
      </c>
      <c r="D378" t="str">
        <v>HangingChair</v>
      </c>
      <c r="E378">
        <v>1</v>
      </c>
      <c r="F378">
        <v>85000</v>
      </c>
      <c r="G378" t="str">
        <v>West</v>
      </c>
      <c r="H378" t="str">
        <v>Tunde Bakare</v>
      </c>
      <c r="I378" t="str">
        <v>Transfer</v>
      </c>
      <c r="J378">
        <v>0</v>
      </c>
    </row>
    <row r="379" spans="1:10" x14ac:dyDescent="0.25">
      <c r="A379">
        <v>3213</v>
      </c>
      <c r="B379" s="11">
        <v>45684</v>
      </c>
      <c r="C379" t="str">
        <v>Electronics</v>
      </c>
      <c r="D379" t="str">
        <v>LEDStrip</v>
      </c>
      <c r="E379">
        <v>3</v>
      </c>
      <c r="F379">
        <v>5000</v>
      </c>
      <c r="G379" t="str">
        <v>North</v>
      </c>
      <c r="H379" t="str">
        <v>Abiola Ogun</v>
      </c>
      <c r="I379" t="str">
        <v>Card</v>
      </c>
      <c r="J379">
        <v>5</v>
      </c>
    </row>
    <row r="380" spans="1:10" x14ac:dyDescent="0.25">
      <c r="A380">
        <v>3215</v>
      </c>
      <c r="B380" s="11">
        <v>45686</v>
      </c>
      <c r="C380" t="str">
        <v>Furniture</v>
      </c>
      <c r="D380" t="str">
        <v>BarCabinet</v>
      </c>
      <c r="E380">
        <v>1</v>
      </c>
      <c r="F380">
        <v>120000</v>
      </c>
      <c r="G380" t="str">
        <v>East</v>
      </c>
      <c r="H380" t="str">
        <v>Femi Adebayo</v>
      </c>
      <c r="I380" t="str">
        <v>Transfer</v>
      </c>
      <c r="J380">
        <v>0</v>
      </c>
    </row>
    <row r="381" spans="1:10" x14ac:dyDescent="0.25">
      <c r="A381">
        <v>3216</v>
      </c>
      <c r="B381" s="11">
        <v>45687</v>
      </c>
      <c r="C381" t="str">
        <v>Electronics</v>
      </c>
      <c r="D381" t="str">
        <v>WebcamRingLight</v>
      </c>
      <c r="E381">
        <v>2</v>
      </c>
      <c r="F381">
        <v>8000</v>
      </c>
      <c r="G381" t="str">
        <v>West</v>
      </c>
      <c r="H381" t="str">
        <v>Tunde Bakare</v>
      </c>
      <c r="I381" t="str">
        <v>Card</v>
      </c>
      <c r="J381">
        <v>5</v>
      </c>
    </row>
    <row r="382" spans="1:10" x14ac:dyDescent="0.25">
      <c r="A382">
        <v>3218</v>
      </c>
      <c r="B382" s="11">
        <v>45689</v>
      </c>
      <c r="C382" t="str">
        <v>Furniture</v>
      </c>
      <c r="D382" t="str">
        <v>WallPuzzle</v>
      </c>
      <c r="E382">
        <v>2</v>
      </c>
      <c r="F382">
        <v>15000</v>
      </c>
      <c r="G382" t="str">
        <v>South</v>
      </c>
      <c r="H382" t="str">
        <v>Chidi Nwosu</v>
      </c>
      <c r="I382" t="str">
        <v>Transfer</v>
      </c>
      <c r="J382">
        <v>0</v>
      </c>
    </row>
    <row r="383" spans="1:10" x14ac:dyDescent="0.25">
      <c r="A383">
        <v>3219</v>
      </c>
      <c r="B383" s="11">
        <v>45690</v>
      </c>
      <c r="C383" t="str">
        <v>Electronics</v>
      </c>
      <c r="D383" t="str">
        <v>MicroSDCard</v>
      </c>
      <c r="E383">
        <v>8</v>
      </c>
      <c r="F383">
        <v>5000</v>
      </c>
      <c r="G383" t="str">
        <v>East</v>
      </c>
      <c r="H383" t="str">
        <v>Femi Adebayo</v>
      </c>
      <c r="I383" t="str">
        <v>Card</v>
      </c>
      <c r="J383">
        <v>10</v>
      </c>
    </row>
    <row r="384" spans="1:10" x14ac:dyDescent="0.25">
      <c r="A384">
        <v>3221</v>
      </c>
      <c r="B384" s="11">
        <v>45692</v>
      </c>
      <c r="C384" t="str">
        <v>Furniture</v>
      </c>
      <c r="D384" t="str">
        <v>BistroTable</v>
      </c>
      <c r="E384">
        <v>2</v>
      </c>
      <c r="F384">
        <v>35000</v>
      </c>
      <c r="G384" t="str">
        <v>North</v>
      </c>
      <c r="H384" t="str">
        <v>Abiola Ogun</v>
      </c>
      <c r="I384" t="str">
        <v>Transfer</v>
      </c>
      <c r="J384">
        <v>5</v>
      </c>
    </row>
    <row r="385" spans="1:10" x14ac:dyDescent="0.25">
      <c r="A385">
        <v>3222</v>
      </c>
      <c r="B385" s="11">
        <v>45693</v>
      </c>
      <c r="C385" t="str">
        <v>Electronics</v>
      </c>
      <c r="D385" t="str">
        <v>VideoDoorbell</v>
      </c>
      <c r="E385">
        <v>1</v>
      </c>
      <c r="F385">
        <v>45000</v>
      </c>
      <c r="G385" t="str">
        <v>South</v>
      </c>
      <c r="H385" t="str">
        <v>Chidi Nwosu</v>
      </c>
      <c r="I385" t="str">
        <v>Card</v>
      </c>
      <c r="J385">
        <v>0</v>
      </c>
    </row>
    <row r="386" spans="1:10" x14ac:dyDescent="0.25">
      <c r="A386">
        <v>3224</v>
      </c>
      <c r="B386" s="11">
        <v>45695</v>
      </c>
      <c r="C386" t="str">
        <v>Furniture</v>
      </c>
      <c r="D386" t="str">
        <v>FirePit</v>
      </c>
      <c r="E386">
        <v>1</v>
      </c>
      <c r="F386">
        <v>65000</v>
      </c>
      <c r="G386" t="str">
        <v>West</v>
      </c>
      <c r="H386" t="str">
        <v>Tunde Bakare</v>
      </c>
      <c r="I386" t="str">
        <v>Transfer</v>
      </c>
      <c r="J386">
        <v>10</v>
      </c>
    </row>
    <row r="387" spans="1:10" x14ac:dyDescent="0.25">
      <c r="A387">
        <v>3225</v>
      </c>
      <c r="B387" s="11">
        <v>45696</v>
      </c>
      <c r="C387" t="str">
        <v>Electronics</v>
      </c>
      <c r="D387" t="str">
        <v>RobotVacuum</v>
      </c>
      <c r="E387">
        <v>1</v>
      </c>
      <c r="F387">
        <v>120000</v>
      </c>
      <c r="G387" t="str">
        <v>North</v>
      </c>
      <c r="H387" t="str">
        <v>Abiola Ogun</v>
      </c>
      <c r="I387" t="str">
        <v>Card</v>
      </c>
      <c r="J387">
        <v>0</v>
      </c>
    </row>
    <row r="388" spans="1:10" x14ac:dyDescent="0.25">
      <c r="A388">
        <v>3227</v>
      </c>
      <c r="B388" s="11">
        <v>45698</v>
      </c>
      <c r="C388" t="str">
        <v>Furniture</v>
      </c>
      <c r="D388" t="str">
        <v>ShagRug</v>
      </c>
      <c r="E388">
        <v>1</v>
      </c>
      <c r="F388">
        <v>35000</v>
      </c>
      <c r="G388" t="str">
        <v>East</v>
      </c>
      <c r="H388" t="str">
        <v>Femi Adebayo</v>
      </c>
      <c r="I388" t="str">
        <v>Transfer</v>
      </c>
      <c r="J388">
        <v>0</v>
      </c>
    </row>
    <row r="389" spans="1:10" x14ac:dyDescent="0.25">
      <c r="A389">
        <v>3228</v>
      </c>
      <c r="B389" s="11">
        <v>45699</v>
      </c>
      <c r="C389" t="str">
        <v>Electronics</v>
      </c>
      <c r="D389" t="str">
        <v>CarSpeakers</v>
      </c>
      <c r="E389">
        <v>2</v>
      </c>
      <c r="F389">
        <v>25000</v>
      </c>
      <c r="G389" t="str">
        <v>West</v>
      </c>
      <c r="H389" t="str">
        <v>Tunde Bakare</v>
      </c>
      <c r="I389" t="str">
        <v>Card</v>
      </c>
      <c r="J389">
        <v>0</v>
      </c>
    </row>
    <row r="390" spans="1:10" x14ac:dyDescent="0.25">
      <c r="A390">
        <v>3230</v>
      </c>
      <c r="B390" s="11">
        <v>45701</v>
      </c>
      <c r="C390" t="str">
        <v>Furniture</v>
      </c>
      <c r="D390" t="str">
        <v>DrawerOrganizer</v>
      </c>
      <c r="E390">
        <v>5</v>
      </c>
      <c r="F390">
        <v>4000</v>
      </c>
      <c r="G390" t="str">
        <v>South</v>
      </c>
      <c r="H390" t="str">
        <v>Chidi Nwosu</v>
      </c>
      <c r="I390" t="str">
        <v>Transfer</v>
      </c>
      <c r="J390">
        <v>0</v>
      </c>
    </row>
    <row r="391" spans="1:10" x14ac:dyDescent="0.25">
      <c r="A391">
        <v>3231</v>
      </c>
      <c r="B391" s="11">
        <v>45702</v>
      </c>
      <c r="C391" t="str">
        <v>Electronics</v>
      </c>
      <c r="D391" t="str">
        <v>HDMISwitch</v>
      </c>
      <c r="E391">
        <v>3</v>
      </c>
      <c r="F391">
        <v>8000</v>
      </c>
      <c r="G391" t="str">
        <v>East</v>
      </c>
      <c r="H391" t="str">
        <v>Femi Adebayo</v>
      </c>
      <c r="I391" t="str">
        <v>Card</v>
      </c>
      <c r="J391">
        <v>0</v>
      </c>
    </row>
    <row r="392" spans="1:10" x14ac:dyDescent="0.25">
      <c r="A392">
        <v>3233</v>
      </c>
      <c r="B392" s="11">
        <v>45704</v>
      </c>
      <c r="C392" t="str">
        <v>Furniture</v>
      </c>
      <c r="D392" t="str">
        <v>WallClock</v>
      </c>
      <c r="E392">
        <v>4</v>
      </c>
      <c r="F392">
        <v>7000</v>
      </c>
      <c r="G392" t="str">
        <v>North</v>
      </c>
      <c r="H392" t="str">
        <v>Abiola Ogun</v>
      </c>
      <c r="I392" t="str">
        <v>Transfer</v>
      </c>
      <c r="J392">
        <v>0</v>
      </c>
    </row>
    <row r="393" spans="1:10" x14ac:dyDescent="0.25">
      <c r="A393">
        <v>3234</v>
      </c>
      <c r="B393" s="11">
        <v>45705</v>
      </c>
      <c r="C393" t="str">
        <v>Electronics</v>
      </c>
      <c r="D393" t="str">
        <v>USBWallOutlet</v>
      </c>
      <c r="E393">
        <v>3</v>
      </c>
      <c r="F393">
        <v>6000</v>
      </c>
      <c r="G393" t="str">
        <v>South</v>
      </c>
      <c r="H393" t="str">
        <v>Chidi Nwosu</v>
      </c>
      <c r="I393" t="str">
        <v>Card</v>
      </c>
      <c r="J393">
        <v>5</v>
      </c>
    </row>
    <row r="394" spans="1:10" x14ac:dyDescent="0.25">
      <c r="A394">
        <v>3236</v>
      </c>
      <c r="B394" s="11">
        <v>45707</v>
      </c>
      <c r="C394" t="str">
        <v>Furniture</v>
      </c>
      <c r="D394" t="str">
        <v>MagazineRack</v>
      </c>
      <c r="E394">
        <v>3</v>
      </c>
      <c r="F394">
        <v>12000</v>
      </c>
      <c r="G394" t="str">
        <v>West</v>
      </c>
      <c r="H394" t="str">
        <v>Tunde Bakare</v>
      </c>
      <c r="I394" t="str">
        <v>Transfer</v>
      </c>
      <c r="J394">
        <v>0</v>
      </c>
    </row>
    <row r="395" spans="1:10" x14ac:dyDescent="0.25">
      <c r="A395">
        <v>3237</v>
      </c>
      <c r="B395" s="11">
        <v>45708</v>
      </c>
      <c r="C395" t="str">
        <v>Electronics</v>
      </c>
      <c r="D395" t="str">
        <v>NoiseMachine</v>
      </c>
      <c r="E395">
        <v>2</v>
      </c>
      <c r="F395">
        <v>25000</v>
      </c>
      <c r="G395" t="str">
        <v>North</v>
      </c>
      <c r="H395" t="str">
        <v>Abiola Ogun</v>
      </c>
      <c r="I395" t="str">
        <v>Card</v>
      </c>
      <c r="J395">
        <v>5</v>
      </c>
    </row>
    <row r="396" spans="1:10" x14ac:dyDescent="0.25">
      <c r="A396">
        <v>3239</v>
      </c>
      <c r="B396" s="11">
        <v>45710</v>
      </c>
      <c r="C396" t="str">
        <v>Furniture</v>
      </c>
      <c r="D396" t="str">
        <v>FloatingShelf</v>
      </c>
      <c r="E396">
        <v>6</v>
      </c>
      <c r="F396">
        <v>15000</v>
      </c>
      <c r="G396" t="str">
        <v>East</v>
      </c>
      <c r="H396" t="str">
        <v>Femi Adebayo</v>
      </c>
      <c r="I396" t="str">
        <v>Transfer</v>
      </c>
      <c r="J396">
        <v>0</v>
      </c>
    </row>
    <row r="397" spans="1:10" x14ac:dyDescent="0.25">
      <c r="A397">
        <v>3240</v>
      </c>
      <c r="B397" s="11">
        <v>45711</v>
      </c>
      <c r="C397" t="str">
        <v>Electronics</v>
      </c>
      <c r="D397" t="str">
        <v>DigitalPictureFrame</v>
      </c>
      <c r="E397">
        <v>2</v>
      </c>
      <c r="F397">
        <v>12000</v>
      </c>
      <c r="G397" t="str">
        <v>West</v>
      </c>
      <c r="H397" t="str">
        <v>Tunde Bakare</v>
      </c>
      <c r="I397" t="str">
        <v>Card</v>
      </c>
      <c r="J397">
        <v>10</v>
      </c>
    </row>
    <row r="398" spans="1:10" x14ac:dyDescent="0.25">
      <c r="A398">
        <v>3242</v>
      </c>
      <c r="B398" s="11">
        <v>45713</v>
      </c>
      <c r="C398" t="str">
        <v>Furniture</v>
      </c>
      <c r="D398" t="str">
        <v>BarStool</v>
      </c>
      <c r="E398">
        <v>4</v>
      </c>
      <c r="F398">
        <v>25000</v>
      </c>
      <c r="G398" t="str">
        <v>South</v>
      </c>
      <c r="H398" t="str">
        <v>Chidi Nwosu</v>
      </c>
      <c r="I398" t="str">
        <v>Transfer</v>
      </c>
      <c r="J398">
        <v>5</v>
      </c>
    </row>
    <row r="399" spans="1:10" x14ac:dyDescent="0.25">
      <c r="A399">
        <v>3243</v>
      </c>
      <c r="B399" s="11">
        <v>45714</v>
      </c>
      <c r="C399" t="str">
        <v>Electronics</v>
      </c>
      <c r="D399" t="str">
        <v>CarMount</v>
      </c>
      <c r="E399">
        <v>6</v>
      </c>
      <c r="F399">
        <v>3000</v>
      </c>
      <c r="G399" t="str">
        <v>East</v>
      </c>
      <c r="H399" t="str">
        <v>Femi Adebayo</v>
      </c>
      <c r="I399" t="str">
        <v>Card</v>
      </c>
      <c r="J399">
        <v>0</v>
      </c>
    </row>
    <row r="400" spans="1:10" x14ac:dyDescent="0.25">
      <c r="A400">
        <v>3245</v>
      </c>
      <c r="B400" s="11">
        <v>45716</v>
      </c>
      <c r="C400" t="str">
        <v>Furniture</v>
      </c>
      <c r="D400" t="str">
        <v>Trunk</v>
      </c>
      <c r="E400">
        <v>1</v>
      </c>
      <c r="F400">
        <v>55000</v>
      </c>
      <c r="G400" t="str">
        <v>North</v>
      </c>
      <c r="H400" t="str">
        <v>Abiola Ogun</v>
      </c>
      <c r="I400" t="str">
        <v>Transfer</v>
      </c>
      <c r="J400">
        <v>5</v>
      </c>
    </row>
  </sheetData>
  <mergeCells count="1">
    <mergeCell ref="A70:J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2593-1ABA-4163-8531-C01F4E981F6B}">
  <dimension ref="A1:U334"/>
  <sheetViews>
    <sheetView workbookViewId="0">
      <selection activeCell="L2" sqref="L2"/>
    </sheetView>
  </sheetViews>
  <sheetFormatPr defaultColWidth="9.28515625" defaultRowHeight="15" x14ac:dyDescent="0.25"/>
  <cols>
    <col min="1" max="1" width="16.42578125" bestFit="1" customWidth="1"/>
    <col min="2" max="2" width="10.7109375" bestFit="1" customWidth="1"/>
    <col min="3" max="3" width="15.85546875" bestFit="1" customWidth="1"/>
    <col min="4" max="4" width="27" bestFit="1" customWidth="1"/>
    <col min="5" max="5" width="9.5703125" bestFit="1" customWidth="1"/>
    <col min="7" max="7" width="7.140625" bestFit="1" customWidth="1"/>
    <col min="8" max="8" width="13.85546875" bestFit="1" customWidth="1"/>
    <col min="9" max="9" width="16.140625" bestFit="1" customWidth="1"/>
    <col min="10" max="10" width="8.7109375" bestFit="1" customWidth="1"/>
    <col min="12" max="12" width="8" bestFit="1" customWidth="1"/>
    <col min="13" max="13" width="10.7109375" bestFit="1" customWidth="1"/>
    <col min="14" max="14" width="15.85546875" bestFit="1" customWidth="1"/>
    <col min="15" max="15" width="27" bestFit="1" customWidth="1"/>
    <col min="16" max="16" width="9.5703125" bestFit="1" customWidth="1"/>
    <col min="18" max="18" width="7.140625" bestFit="1" customWidth="1"/>
    <col min="19" max="19" width="13.85546875" bestFit="1" customWidth="1"/>
    <col min="20" max="20" width="16.140625" bestFit="1" customWidth="1"/>
    <col min="21" max="21" width="8.7109375" bestFit="1" customWidth="1"/>
  </cols>
  <sheetData>
    <row r="1" spans="1:21" x14ac:dyDescent="0.25">
      <c r="A1" s="9" t="s">
        <v>271</v>
      </c>
      <c r="B1" s="8"/>
      <c r="C1" s="8"/>
      <c r="L1" s="9" t="s">
        <v>273</v>
      </c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3" t="s">
        <v>3</v>
      </c>
      <c r="B2" s="3" t="s">
        <v>4</v>
      </c>
      <c r="C2" s="3" t="s">
        <v>6</v>
      </c>
      <c r="L2" s="2" t="s">
        <v>0</v>
      </c>
      <c r="M2" s="14" t="s">
        <v>1</v>
      </c>
      <c r="N2" s="3" t="s">
        <v>2</v>
      </c>
      <c r="O2" s="3" t="s">
        <v>3</v>
      </c>
      <c r="P2" s="3" t="s">
        <v>4</v>
      </c>
      <c r="Q2" s="6" t="s">
        <v>5</v>
      </c>
      <c r="R2" s="3" t="s">
        <v>6</v>
      </c>
      <c r="S2" s="3" t="s">
        <v>7</v>
      </c>
      <c r="T2" s="3" t="s">
        <v>8</v>
      </c>
      <c r="U2" s="4" t="s">
        <v>9</v>
      </c>
    </row>
    <row r="3" spans="1:21" x14ac:dyDescent="0.25">
      <c r="A3" t="str" cm="1">
        <f t="array" ref="A3:C63">_xlfn._xlws.FILTER(deepseek_csv_20260422_7f7afa[[ProductName]:[UnitPrice]], deepseek_csv_20260422_7f7afa[Region]="East", "None")</f>
        <v>Office Chair</v>
      </c>
      <c r="B3">
        <v>2</v>
      </c>
      <c r="C3">
        <v>75000</v>
      </c>
      <c r="L3" cm="1">
        <f t="array" ref="L3:U85">_xlfn._xlws.SORT(_xlfn._xlws.FILTER(deepseek_csv_20260422_7f7afa[], deepseek_csv_20260422_7f7afa[ProductCategory]="Electronics"), 6, -1)</f>
        <v>3001</v>
      </c>
      <c r="M3" s="11">
        <v>45667</v>
      </c>
      <c r="N3" t="str">
        <v>Electronics</v>
      </c>
      <c r="O3" t="str">
        <v>Laptop</v>
      </c>
      <c r="P3">
        <v>3</v>
      </c>
      <c r="Q3">
        <v>450000</v>
      </c>
      <c r="R3" t="str">
        <v>North</v>
      </c>
      <c r="S3" t="str">
        <v>Abiola Ogun</v>
      </c>
      <c r="T3" t="str">
        <v>Card</v>
      </c>
      <c r="U3">
        <v>5</v>
      </c>
    </row>
    <row r="4" spans="1:21" x14ac:dyDescent="0.25">
      <c r="A4" t="str">
        <v>Headphones</v>
      </c>
      <c r="B4">
        <v>3</v>
      </c>
      <c r="C4">
        <v>25000</v>
      </c>
      <c r="L4">
        <v>3201</v>
      </c>
      <c r="M4" s="11">
        <v>45672</v>
      </c>
      <c r="N4" t="str">
        <v>Electronics</v>
      </c>
      <c r="O4" t="str">
        <v>GamingConsole</v>
      </c>
      <c r="P4">
        <v>1</v>
      </c>
      <c r="Q4">
        <v>350000</v>
      </c>
      <c r="R4" t="str">
        <v>North</v>
      </c>
      <c r="S4" t="str">
        <v>Abiola Ogun</v>
      </c>
      <c r="T4" t="str">
        <v>Card</v>
      </c>
      <c r="U4">
        <v>5</v>
      </c>
    </row>
    <row r="5" spans="1:21" x14ac:dyDescent="0.25">
      <c r="A5" t="str">
        <v>Sneakers</v>
      </c>
      <c r="B5">
        <v>3</v>
      </c>
      <c r="C5">
        <v>25000</v>
      </c>
      <c r="L5">
        <v>3067</v>
      </c>
      <c r="M5" s="11">
        <v>45700</v>
      </c>
      <c r="N5" t="str">
        <v>Electronics</v>
      </c>
      <c r="O5" t="str">
        <v>Projector</v>
      </c>
      <c r="P5">
        <v>1</v>
      </c>
      <c r="Q5">
        <v>250000</v>
      </c>
      <c r="R5" t="str">
        <v>East</v>
      </c>
      <c r="S5" t="str">
        <v>Femi Adebayo</v>
      </c>
      <c r="T5" t="str">
        <v>Card</v>
      </c>
      <c r="U5">
        <v>0</v>
      </c>
    </row>
    <row r="6" spans="1:21" x14ac:dyDescent="0.25">
      <c r="A6" t="str">
        <v>Office Desk</v>
      </c>
      <c r="B6">
        <v>1</v>
      </c>
      <c r="C6">
        <v>85000</v>
      </c>
      <c r="L6">
        <v>3191</v>
      </c>
      <c r="M6" s="11">
        <v>45708</v>
      </c>
      <c r="N6" t="str">
        <v>Electronics</v>
      </c>
      <c r="O6" t="str">
        <v>Drone</v>
      </c>
      <c r="P6">
        <v>1</v>
      </c>
      <c r="Q6">
        <v>250000</v>
      </c>
      <c r="R6" t="str">
        <v>East</v>
      </c>
      <c r="S6" t="str">
        <v>Femi Adebayo</v>
      </c>
      <c r="T6" t="str">
        <v>Card</v>
      </c>
      <c r="U6">
        <v>0</v>
      </c>
    </row>
    <row r="7" spans="1:21" x14ac:dyDescent="0.25">
      <c r="A7" t="str">
        <v>Keyboard</v>
      </c>
      <c r="B7">
        <v>5</v>
      </c>
      <c r="C7">
        <v>15000</v>
      </c>
      <c r="L7">
        <v>3204</v>
      </c>
      <c r="M7" s="11">
        <v>45675</v>
      </c>
      <c r="N7" t="str">
        <v>Electronics</v>
      </c>
      <c r="O7" t="str">
        <v>SmartTV</v>
      </c>
      <c r="P7">
        <v>1</v>
      </c>
      <c r="Q7">
        <v>250000</v>
      </c>
      <c r="R7" t="str">
        <v>West</v>
      </c>
      <c r="S7" t="str">
        <v>Tunde Bakare</v>
      </c>
      <c r="T7" t="str">
        <v>Card</v>
      </c>
      <c r="U7">
        <v>0</v>
      </c>
    </row>
    <row r="8" spans="1:21" x14ac:dyDescent="0.25">
      <c r="A8" t="str">
        <v>Sweater</v>
      </c>
      <c r="B8">
        <v>3</v>
      </c>
      <c r="C8">
        <v>18000</v>
      </c>
      <c r="L8">
        <v>3052</v>
      </c>
      <c r="M8" s="11">
        <v>45692</v>
      </c>
      <c r="N8" t="str">
        <v>Electronics</v>
      </c>
      <c r="O8" t="str">
        <v>Camera</v>
      </c>
      <c r="P8">
        <v>1</v>
      </c>
      <c r="Q8">
        <v>180000</v>
      </c>
      <c r="R8" t="str">
        <v>West</v>
      </c>
      <c r="S8" t="str">
        <v>Tunde Bakare</v>
      </c>
      <c r="T8" t="str">
        <v>Card</v>
      </c>
      <c r="U8">
        <v>0</v>
      </c>
    </row>
    <row r="9" spans="1:21" x14ac:dyDescent="0.25">
      <c r="A9" t="str">
        <v>Coffee Table</v>
      </c>
      <c r="B9">
        <v>2</v>
      </c>
      <c r="C9">
        <v>55000</v>
      </c>
      <c r="L9">
        <v>3073</v>
      </c>
      <c r="M9" s="11">
        <v>45703</v>
      </c>
      <c r="N9" t="str">
        <v>Electronics</v>
      </c>
      <c r="O9" t="str">
        <v>VRHeadset</v>
      </c>
      <c r="P9">
        <v>1</v>
      </c>
      <c r="Q9">
        <v>150000</v>
      </c>
      <c r="R9" t="str">
        <v>North</v>
      </c>
      <c r="S9" t="str">
        <v>Abiola Ogun</v>
      </c>
      <c r="T9" t="str">
        <v>Card</v>
      </c>
      <c r="U9">
        <v>0</v>
      </c>
    </row>
    <row r="10" spans="1:21" x14ac:dyDescent="0.25">
      <c r="A10" t="str">
        <v>Webcam</v>
      </c>
      <c r="B10">
        <v>2</v>
      </c>
      <c r="C10">
        <v>25000</v>
      </c>
      <c r="L10">
        <v>3004</v>
      </c>
      <c r="M10" s="11">
        <v>45668</v>
      </c>
      <c r="N10" t="str">
        <v>Electronics</v>
      </c>
      <c r="O10" t="str">
        <v>Smartphone</v>
      </c>
      <c r="P10">
        <v>2</v>
      </c>
      <c r="Q10">
        <v>120000</v>
      </c>
      <c r="R10" t="str">
        <v>West</v>
      </c>
      <c r="S10" t="str">
        <v>Tunde Bakare</v>
      </c>
      <c r="T10" t="str">
        <v>Card</v>
      </c>
      <c r="U10">
        <v>0</v>
      </c>
    </row>
    <row r="11" spans="1:21" x14ac:dyDescent="0.25">
      <c r="A11" t="str">
        <v>Leggings</v>
      </c>
      <c r="B11">
        <v>6</v>
      </c>
      <c r="C11">
        <v>8000</v>
      </c>
      <c r="L11">
        <v>3016</v>
      </c>
      <c r="M11" s="11">
        <v>45674</v>
      </c>
      <c r="N11" t="str">
        <v>Electronics</v>
      </c>
      <c r="O11" t="str">
        <v>Monitor</v>
      </c>
      <c r="P11">
        <v>2</v>
      </c>
      <c r="Q11">
        <v>120000</v>
      </c>
      <c r="R11" t="str">
        <v>West</v>
      </c>
      <c r="S11" t="str">
        <v>Tunde Bakare</v>
      </c>
      <c r="T11" t="str">
        <v>Card</v>
      </c>
      <c r="U11">
        <v>10</v>
      </c>
    </row>
    <row r="12" spans="1:21" x14ac:dyDescent="0.25">
      <c r="A12" t="str">
        <v>Mirror</v>
      </c>
      <c r="B12">
        <v>2</v>
      </c>
      <c r="C12">
        <v>25000</v>
      </c>
      <c r="L12">
        <v>3200</v>
      </c>
      <c r="M12" s="11">
        <v>45717</v>
      </c>
      <c r="N12" t="str">
        <v>Electronics</v>
      </c>
      <c r="O12" t="str">
        <v>ElectricCooker</v>
      </c>
      <c r="P12">
        <v>1</v>
      </c>
      <c r="Q12">
        <v>120000</v>
      </c>
      <c r="R12" t="str">
        <v>West</v>
      </c>
      <c r="S12" t="str">
        <v>Tunde Bakare</v>
      </c>
      <c r="T12" t="str">
        <v>Card</v>
      </c>
      <c r="U12">
        <v>0</v>
      </c>
    </row>
    <row r="13" spans="1:21" x14ac:dyDescent="0.25">
      <c r="A13" t="str">
        <v>PowerBank</v>
      </c>
      <c r="B13">
        <v>3</v>
      </c>
      <c r="C13">
        <v>15000</v>
      </c>
      <c r="L13">
        <v>3207</v>
      </c>
      <c r="M13" s="11">
        <v>45678</v>
      </c>
      <c r="N13" t="str">
        <v>Electronics</v>
      </c>
      <c r="O13" t="str">
        <v>Soundbar</v>
      </c>
      <c r="P13">
        <v>2</v>
      </c>
      <c r="Q13">
        <v>120000</v>
      </c>
      <c r="R13" t="str">
        <v>East</v>
      </c>
      <c r="S13" t="str">
        <v>Femi Adebayo</v>
      </c>
      <c r="T13" t="str">
        <v>Card</v>
      </c>
      <c r="U13">
        <v>0</v>
      </c>
    </row>
    <row r="14" spans="1:21" x14ac:dyDescent="0.25">
      <c r="A14" t="str">
        <v>Belt</v>
      </c>
      <c r="B14">
        <v>6</v>
      </c>
      <c r="C14">
        <v>6000</v>
      </c>
      <c r="L14">
        <v>3225</v>
      </c>
      <c r="M14" s="11">
        <v>45696</v>
      </c>
      <c r="N14" t="str">
        <v>Electronics</v>
      </c>
      <c r="O14" t="str">
        <v>RobotVacuum</v>
      </c>
      <c r="P14">
        <v>1</v>
      </c>
      <c r="Q14">
        <v>120000</v>
      </c>
      <c r="R14" t="str">
        <v>North</v>
      </c>
      <c r="S14" t="str">
        <v>Abiola Ogun</v>
      </c>
      <c r="T14" t="str">
        <v>Card</v>
      </c>
      <c r="U14">
        <v>0</v>
      </c>
    </row>
    <row r="15" spans="1:21" x14ac:dyDescent="0.25">
      <c r="A15" t="str">
        <v>BeanBag</v>
      </c>
      <c r="B15">
        <v>3</v>
      </c>
      <c r="C15">
        <v>25000</v>
      </c>
      <c r="L15">
        <v>3100</v>
      </c>
      <c r="M15" s="11">
        <v>45716</v>
      </c>
      <c r="N15" t="str">
        <v>Electronics</v>
      </c>
      <c r="O15" t="str">
        <v>AirPurifier</v>
      </c>
      <c r="P15">
        <v>1</v>
      </c>
      <c r="Q15">
        <v>85000</v>
      </c>
      <c r="R15" t="str">
        <v>West</v>
      </c>
      <c r="S15" t="str">
        <v>Tunde Bakare</v>
      </c>
      <c r="T15" t="str">
        <v>Card</v>
      </c>
      <c r="U15">
        <v>0</v>
      </c>
    </row>
    <row r="16" spans="1:21" x14ac:dyDescent="0.25">
      <c r="A16" t="str">
        <v>Headset</v>
      </c>
      <c r="B16">
        <v>4</v>
      </c>
      <c r="C16">
        <v>15000</v>
      </c>
      <c r="L16">
        <v>3155</v>
      </c>
      <c r="M16" s="11">
        <v>45672</v>
      </c>
      <c r="N16" t="str">
        <v>Electronics</v>
      </c>
      <c r="O16" t="str">
        <v>CameraLens</v>
      </c>
      <c r="P16">
        <v>1</v>
      </c>
      <c r="Q16">
        <v>85000</v>
      </c>
      <c r="R16" t="str">
        <v>East</v>
      </c>
      <c r="S16" t="str">
        <v>Femi Adebayo</v>
      </c>
      <c r="T16" t="str">
        <v>Card</v>
      </c>
      <c r="U16">
        <v>0</v>
      </c>
    </row>
    <row r="17" spans="1:21" x14ac:dyDescent="0.25">
      <c r="A17" t="str">
        <v>Necklace</v>
      </c>
      <c r="B17">
        <v>6</v>
      </c>
      <c r="C17">
        <v>8000</v>
      </c>
      <c r="L17">
        <v>3010</v>
      </c>
      <c r="M17" s="11">
        <v>45671</v>
      </c>
      <c r="N17" t="str">
        <v>Electronics</v>
      </c>
      <c r="O17" t="str">
        <v>Tablet</v>
      </c>
      <c r="P17">
        <v>2</v>
      </c>
      <c r="Q17">
        <v>80000</v>
      </c>
      <c r="R17" t="str">
        <v>South</v>
      </c>
      <c r="S17" t="str">
        <v>Chidi Nwosu</v>
      </c>
      <c r="T17" t="str">
        <v>Card</v>
      </c>
      <c r="U17">
        <v>5</v>
      </c>
    </row>
    <row r="18" spans="1:21" x14ac:dyDescent="0.25">
      <c r="A18" t="str">
        <v>Rug</v>
      </c>
      <c r="B18">
        <v>2</v>
      </c>
      <c r="C18">
        <v>45000</v>
      </c>
      <c r="L18">
        <v>3116</v>
      </c>
      <c r="M18" s="11">
        <v>45684</v>
      </c>
      <c r="N18" t="str">
        <v>Electronics</v>
      </c>
      <c r="O18" t="str">
        <v>NoiseCancellingHeadphones</v>
      </c>
      <c r="P18">
        <v>2</v>
      </c>
      <c r="Q18">
        <v>75000</v>
      </c>
      <c r="R18" t="str">
        <v>West</v>
      </c>
      <c r="S18" t="str">
        <v>Tunde Bakare</v>
      </c>
      <c r="T18" t="str">
        <v>Card</v>
      </c>
      <c r="U18">
        <v>10</v>
      </c>
    </row>
    <row r="19" spans="1:21" x14ac:dyDescent="0.25">
      <c r="A19" t="str">
        <v>Projector</v>
      </c>
      <c r="B19">
        <v>1</v>
      </c>
      <c r="C19">
        <v>250000</v>
      </c>
      <c r="L19">
        <v>3025</v>
      </c>
      <c r="M19" s="11">
        <v>45679</v>
      </c>
      <c r="N19" t="str">
        <v>Electronics</v>
      </c>
      <c r="O19" t="str">
        <v>Printer</v>
      </c>
      <c r="P19">
        <v>1</v>
      </c>
      <c r="Q19">
        <v>65000</v>
      </c>
      <c r="R19" t="str">
        <v>North</v>
      </c>
      <c r="S19" t="str">
        <v>Abiola Ogun</v>
      </c>
      <c r="T19" t="str">
        <v>Card</v>
      </c>
      <c r="U19">
        <v>0</v>
      </c>
    </row>
    <row r="20" spans="1:21" x14ac:dyDescent="0.25">
      <c r="A20" t="str">
        <v>FlipFlops</v>
      </c>
      <c r="B20">
        <v>7</v>
      </c>
      <c r="C20">
        <v>5000</v>
      </c>
      <c r="L20">
        <v>3046</v>
      </c>
      <c r="M20" s="11">
        <v>45689</v>
      </c>
      <c r="N20" t="str">
        <v>Electronics</v>
      </c>
      <c r="O20" t="str">
        <v>HardDrive</v>
      </c>
      <c r="P20">
        <v>1</v>
      </c>
      <c r="Q20">
        <v>55000</v>
      </c>
      <c r="R20" t="str">
        <v>South</v>
      </c>
      <c r="S20" t="str">
        <v>Chidi Nwosu</v>
      </c>
      <c r="T20" t="str">
        <v>Card</v>
      </c>
      <c r="U20">
        <v>0</v>
      </c>
    </row>
    <row r="21" spans="1:21" x14ac:dyDescent="0.25">
      <c r="A21" t="str">
        <v>Curtains</v>
      </c>
      <c r="B21">
        <v>3</v>
      </c>
      <c r="C21">
        <v>20000</v>
      </c>
      <c r="L21">
        <v>3058</v>
      </c>
      <c r="M21" s="11">
        <v>45695</v>
      </c>
      <c r="N21" t="str">
        <v>Electronics</v>
      </c>
      <c r="O21" t="str">
        <v>GraphicsTablet</v>
      </c>
      <c r="P21">
        <v>1</v>
      </c>
      <c r="Q21">
        <v>45000</v>
      </c>
      <c r="R21" t="str">
        <v>South</v>
      </c>
      <c r="S21" t="str">
        <v>Chidi Nwosu</v>
      </c>
      <c r="T21" t="str">
        <v>Card</v>
      </c>
      <c r="U21">
        <v>0</v>
      </c>
    </row>
    <row r="22" spans="1:21" x14ac:dyDescent="0.25">
      <c r="A22" t="str">
        <v>CardReader</v>
      </c>
      <c r="B22">
        <v>2</v>
      </c>
      <c r="C22">
        <v>15000</v>
      </c>
      <c r="L22">
        <v>3137</v>
      </c>
      <c r="M22" s="11">
        <v>45705</v>
      </c>
      <c r="N22" t="str">
        <v>Electronics</v>
      </c>
      <c r="O22" t="str">
        <v>SmartSpeaker</v>
      </c>
      <c r="P22">
        <v>2</v>
      </c>
      <c r="Q22">
        <v>45000</v>
      </c>
      <c r="R22" t="str">
        <v>North</v>
      </c>
      <c r="S22" t="str">
        <v>Abiola Ogun</v>
      </c>
      <c r="T22" t="str">
        <v>Card</v>
      </c>
      <c r="U22">
        <v>10</v>
      </c>
    </row>
    <row r="23" spans="1:21" x14ac:dyDescent="0.25">
      <c r="A23" t="str">
        <v>Raincoat</v>
      </c>
      <c r="B23">
        <v>1</v>
      </c>
      <c r="C23">
        <v>18000</v>
      </c>
      <c r="L23">
        <v>3222</v>
      </c>
      <c r="M23" s="11">
        <v>45693</v>
      </c>
      <c r="N23" t="str">
        <v>Electronics</v>
      </c>
      <c r="O23" t="str">
        <v>VideoDoorbell</v>
      </c>
      <c r="P23">
        <v>1</v>
      </c>
      <c r="Q23">
        <v>45000</v>
      </c>
      <c r="R23" t="str">
        <v>South</v>
      </c>
      <c r="S23" t="str">
        <v>Chidi Nwosu</v>
      </c>
      <c r="T23" t="str">
        <v>Card</v>
      </c>
      <c r="U23">
        <v>0</v>
      </c>
    </row>
    <row r="24" spans="1:21" x14ac:dyDescent="0.25">
      <c r="A24" t="str">
        <v>TVRemoteHolder</v>
      </c>
      <c r="B24">
        <v>8</v>
      </c>
      <c r="C24">
        <v>2000</v>
      </c>
      <c r="L24">
        <v>3013</v>
      </c>
      <c r="M24" s="11">
        <v>45673</v>
      </c>
      <c r="N24" t="str">
        <v>Electronics</v>
      </c>
      <c r="O24" t="str">
        <v>Smartwatch</v>
      </c>
      <c r="P24">
        <v>2</v>
      </c>
      <c r="Q24">
        <v>35000</v>
      </c>
      <c r="R24" t="str">
        <v>North</v>
      </c>
      <c r="S24" t="str">
        <v>Abiola Ogun</v>
      </c>
      <c r="T24" t="str">
        <v>Card</v>
      </c>
      <c r="U24">
        <v>0</v>
      </c>
    </row>
    <row r="25" spans="1:21" x14ac:dyDescent="0.25">
      <c r="A25" t="str">
        <v>PhoneStand</v>
      </c>
      <c r="B25">
        <v>7</v>
      </c>
      <c r="C25">
        <v>4000</v>
      </c>
      <c r="L25">
        <v>3101</v>
      </c>
      <c r="M25" s="11">
        <v>45669</v>
      </c>
      <c r="N25" t="str">
        <v>Electronics</v>
      </c>
      <c r="O25" t="str">
        <v>BluetoothSpeaker</v>
      </c>
      <c r="P25">
        <v>3</v>
      </c>
      <c r="Q25">
        <v>35000</v>
      </c>
      <c r="R25" t="str">
        <v>North</v>
      </c>
      <c r="S25" t="str">
        <v>Abiola Ogun</v>
      </c>
      <c r="T25" t="str">
        <v>Card</v>
      </c>
      <c r="U25">
        <v>10</v>
      </c>
    </row>
    <row r="26" spans="1:21" x14ac:dyDescent="0.25">
      <c r="A26" t="str">
        <v>Kaftan</v>
      </c>
      <c r="B26">
        <v>3</v>
      </c>
      <c r="C26">
        <v>25000</v>
      </c>
      <c r="L26">
        <v>3158</v>
      </c>
      <c r="M26" s="11">
        <v>45675</v>
      </c>
      <c r="N26" t="str">
        <v>Electronics</v>
      </c>
      <c r="O26" t="str">
        <v>SmartThermostat</v>
      </c>
      <c r="P26">
        <v>1</v>
      </c>
      <c r="Q26">
        <v>35000</v>
      </c>
      <c r="R26" t="str">
        <v>South</v>
      </c>
      <c r="S26" t="str">
        <v>Chidi Nwosu</v>
      </c>
      <c r="T26" t="str">
        <v>Card</v>
      </c>
      <c r="U26">
        <v>5</v>
      </c>
    </row>
    <row r="27" spans="1:21" x14ac:dyDescent="0.25">
      <c r="A27" t="str">
        <v>FloorLamp</v>
      </c>
      <c r="B27">
        <v>2</v>
      </c>
      <c r="C27">
        <v>25000</v>
      </c>
      <c r="L27">
        <v>3028</v>
      </c>
      <c r="M27" s="11">
        <v>45680</v>
      </c>
      <c r="N27" t="str">
        <v>Electronics</v>
      </c>
      <c r="O27" t="str">
        <v>Speaker</v>
      </c>
      <c r="P27">
        <v>3</v>
      </c>
      <c r="Q27">
        <v>30000</v>
      </c>
      <c r="R27" t="str">
        <v>West</v>
      </c>
      <c r="S27" t="str">
        <v>Tunde Bakare</v>
      </c>
      <c r="T27" t="str">
        <v>Card</v>
      </c>
      <c r="U27">
        <v>0</v>
      </c>
    </row>
    <row r="28" spans="1:21" x14ac:dyDescent="0.25">
      <c r="A28" t="str">
        <v>OfficeStool</v>
      </c>
      <c r="B28">
        <v>4</v>
      </c>
      <c r="C28">
        <v>12000</v>
      </c>
      <c r="L28">
        <v>3007</v>
      </c>
      <c r="M28" s="11">
        <v>45670</v>
      </c>
      <c r="N28" t="str">
        <v>Electronics</v>
      </c>
      <c r="O28" t="str">
        <v>Headphones</v>
      </c>
      <c r="P28">
        <v>3</v>
      </c>
      <c r="Q28">
        <v>25000</v>
      </c>
      <c r="R28" t="str">
        <v>East</v>
      </c>
      <c r="S28" t="str">
        <v>Femi Adebayo</v>
      </c>
      <c r="T28" t="str">
        <v>Card</v>
      </c>
      <c r="U28">
        <v>10</v>
      </c>
    </row>
    <row r="29" spans="1:21" x14ac:dyDescent="0.25">
      <c r="A29" t="str">
        <v>WirelessMouse</v>
      </c>
      <c r="B29">
        <v>5</v>
      </c>
      <c r="C29">
        <v>8000</v>
      </c>
      <c r="L29">
        <v>3031</v>
      </c>
      <c r="M29" s="11">
        <v>45682</v>
      </c>
      <c r="N29" t="str">
        <v>Electronics</v>
      </c>
      <c r="O29" t="str">
        <v>Webcam</v>
      </c>
      <c r="P29">
        <v>2</v>
      </c>
      <c r="Q29">
        <v>25000</v>
      </c>
      <c r="R29" t="str">
        <v>East</v>
      </c>
      <c r="S29" t="str">
        <v>Femi Adebayo</v>
      </c>
      <c r="T29" t="str">
        <v>Card</v>
      </c>
      <c r="U29">
        <v>0</v>
      </c>
    </row>
    <row r="30" spans="1:21" x14ac:dyDescent="0.25">
      <c r="A30" t="str">
        <v>BomberJacket</v>
      </c>
      <c r="B30">
        <v>2</v>
      </c>
      <c r="C30">
        <v>45000</v>
      </c>
      <c r="L30">
        <v>3064</v>
      </c>
      <c r="M30" s="11">
        <v>45698</v>
      </c>
      <c r="N30" t="str">
        <v>Electronics</v>
      </c>
      <c r="O30" t="str">
        <v>FitnessTracker</v>
      </c>
      <c r="P30">
        <v>2</v>
      </c>
      <c r="Q30">
        <v>25000</v>
      </c>
      <c r="R30" t="str">
        <v>West</v>
      </c>
      <c r="S30" t="str">
        <v>Tunde Bakare</v>
      </c>
      <c r="T30" t="str">
        <v>Card</v>
      </c>
      <c r="U30">
        <v>5</v>
      </c>
    </row>
    <row r="31" spans="1:21" x14ac:dyDescent="0.25">
      <c r="A31" t="str">
        <v>Futon</v>
      </c>
      <c r="B31">
        <v>2</v>
      </c>
      <c r="C31">
        <v>65000</v>
      </c>
      <c r="L31">
        <v>3085</v>
      </c>
      <c r="M31" s="11">
        <v>45709</v>
      </c>
      <c r="N31" t="str">
        <v>Electronics</v>
      </c>
      <c r="O31" t="str">
        <v>DockingStation</v>
      </c>
      <c r="P31">
        <v>1</v>
      </c>
      <c r="Q31">
        <v>25000</v>
      </c>
      <c r="R31" t="str">
        <v>North</v>
      </c>
      <c r="S31" t="str">
        <v>Abiola Ogun</v>
      </c>
      <c r="T31" t="str">
        <v>Card</v>
      </c>
      <c r="U31">
        <v>0</v>
      </c>
    </row>
    <row r="32" spans="1:21" x14ac:dyDescent="0.25">
      <c r="A32" t="str">
        <v>HDMICable</v>
      </c>
      <c r="B32">
        <v>6</v>
      </c>
      <c r="C32">
        <v>4000</v>
      </c>
      <c r="L32">
        <v>3113</v>
      </c>
      <c r="M32" s="11">
        <v>45681</v>
      </c>
      <c r="N32" t="str">
        <v>Electronics</v>
      </c>
      <c r="O32" t="str">
        <v>GamingMouse</v>
      </c>
      <c r="P32">
        <v>3</v>
      </c>
      <c r="Q32">
        <v>25000</v>
      </c>
      <c r="R32" t="str">
        <v>North</v>
      </c>
      <c r="S32" t="str">
        <v>Abiola Ogun</v>
      </c>
      <c r="T32" t="str">
        <v>Card</v>
      </c>
      <c r="U32">
        <v>5</v>
      </c>
    </row>
    <row r="33" spans="1:21" x14ac:dyDescent="0.25">
      <c r="A33" t="str">
        <v>Chinos</v>
      </c>
      <c r="B33">
        <v>4</v>
      </c>
      <c r="C33">
        <v>18000</v>
      </c>
      <c r="L33">
        <v>3173</v>
      </c>
      <c r="M33" s="11">
        <v>45690</v>
      </c>
      <c r="N33" t="str">
        <v>Electronics</v>
      </c>
      <c r="O33" t="str">
        <v>VoltageRegulator</v>
      </c>
      <c r="P33">
        <v>2</v>
      </c>
      <c r="Q33">
        <v>25000</v>
      </c>
      <c r="R33" t="str">
        <v>North</v>
      </c>
      <c r="S33" t="str">
        <v>Abiola Ogun</v>
      </c>
      <c r="T33" t="str">
        <v>Card</v>
      </c>
      <c r="U33">
        <v>0</v>
      </c>
    </row>
    <row r="34" spans="1:21" x14ac:dyDescent="0.25">
      <c r="A34" t="str">
        <v>CornerShelf</v>
      </c>
      <c r="B34">
        <v>2</v>
      </c>
      <c r="C34">
        <v>22000</v>
      </c>
      <c r="L34">
        <v>3228</v>
      </c>
      <c r="M34" s="11">
        <v>45699</v>
      </c>
      <c r="N34" t="str">
        <v>Electronics</v>
      </c>
      <c r="O34" t="str">
        <v>CarSpeakers</v>
      </c>
      <c r="P34">
        <v>2</v>
      </c>
      <c r="Q34">
        <v>25000</v>
      </c>
      <c r="R34" t="str">
        <v>West</v>
      </c>
      <c r="S34" t="str">
        <v>Tunde Bakare</v>
      </c>
      <c r="T34" t="str">
        <v>Card</v>
      </c>
      <c r="U34">
        <v>0</v>
      </c>
    </row>
    <row r="35" spans="1:21" x14ac:dyDescent="0.25">
      <c r="A35" t="str">
        <v>WirelessCharger</v>
      </c>
      <c r="B35">
        <v>3</v>
      </c>
      <c r="C35">
        <v>15000</v>
      </c>
      <c r="L35">
        <v>3237</v>
      </c>
      <c r="M35" s="11">
        <v>45708</v>
      </c>
      <c r="N35" t="str">
        <v>Electronics</v>
      </c>
      <c r="O35" t="str">
        <v>NoiseMachine</v>
      </c>
      <c r="P35">
        <v>2</v>
      </c>
      <c r="Q35">
        <v>25000</v>
      </c>
      <c r="R35" t="str">
        <v>North</v>
      </c>
      <c r="S35" t="str">
        <v>Abiola Ogun</v>
      </c>
      <c r="T35" t="str">
        <v>Card</v>
      </c>
      <c r="U35">
        <v>5</v>
      </c>
    </row>
    <row r="36" spans="1:21" x14ac:dyDescent="0.25">
      <c r="A36" t="str">
        <v>CropTop</v>
      </c>
      <c r="B36">
        <v>6</v>
      </c>
      <c r="C36">
        <v>6000</v>
      </c>
      <c r="L36">
        <v>3034</v>
      </c>
      <c r="M36" s="11">
        <v>45683</v>
      </c>
      <c r="N36" t="str">
        <v>Electronics</v>
      </c>
      <c r="O36" t="str">
        <v>Router</v>
      </c>
      <c r="P36">
        <v>2</v>
      </c>
      <c r="Q36">
        <v>22000</v>
      </c>
      <c r="R36" t="str">
        <v>South</v>
      </c>
      <c r="S36" t="str">
        <v>Chidi Nwosu</v>
      </c>
      <c r="T36" t="str">
        <v>Card</v>
      </c>
      <c r="U36">
        <v>0</v>
      </c>
    </row>
    <row r="37" spans="1:21" x14ac:dyDescent="0.25">
      <c r="A37" t="str">
        <v>ShowerCaddy</v>
      </c>
      <c r="B37">
        <v>5</v>
      </c>
      <c r="C37">
        <v>5000</v>
      </c>
      <c r="L37">
        <v>3094</v>
      </c>
      <c r="M37" s="11">
        <v>45713</v>
      </c>
      <c r="N37" t="str">
        <v>Electronics</v>
      </c>
      <c r="O37" t="str">
        <v>SmartScale</v>
      </c>
      <c r="P37">
        <v>2</v>
      </c>
      <c r="Q37">
        <v>22000</v>
      </c>
      <c r="R37" t="str">
        <v>South</v>
      </c>
      <c r="S37" t="str">
        <v>Chidi Nwosu</v>
      </c>
      <c r="T37" t="str">
        <v>Card</v>
      </c>
      <c r="U37">
        <v>10</v>
      </c>
    </row>
    <row r="38" spans="1:21" x14ac:dyDescent="0.25">
      <c r="A38" t="str">
        <v>LightningCable</v>
      </c>
      <c r="B38">
        <v>6</v>
      </c>
      <c r="C38">
        <v>6000</v>
      </c>
      <c r="L38">
        <v>3049</v>
      </c>
      <c r="M38" s="11">
        <v>45691</v>
      </c>
      <c r="N38" t="str">
        <v>Electronics</v>
      </c>
      <c r="O38" t="str">
        <v>Microphone</v>
      </c>
      <c r="P38">
        <v>2</v>
      </c>
      <c r="Q38">
        <v>20000</v>
      </c>
      <c r="R38" t="str">
        <v>North</v>
      </c>
      <c r="S38" t="str">
        <v>Abiola Ogun</v>
      </c>
      <c r="T38" t="str">
        <v>Card</v>
      </c>
      <c r="U38">
        <v>0</v>
      </c>
    </row>
    <row r="39" spans="1:21" x14ac:dyDescent="0.25">
      <c r="A39" t="str">
        <v>BowTie</v>
      </c>
      <c r="B39">
        <v>6</v>
      </c>
      <c r="C39">
        <v>5000</v>
      </c>
      <c r="L39">
        <v>3140</v>
      </c>
      <c r="M39" s="11">
        <v>45708</v>
      </c>
      <c r="N39" t="str">
        <v>Electronics</v>
      </c>
      <c r="O39" t="str">
        <v>ExternalDVDDrive</v>
      </c>
      <c r="P39">
        <v>1</v>
      </c>
      <c r="Q39">
        <v>20000</v>
      </c>
      <c r="R39" t="str">
        <v>West</v>
      </c>
      <c r="S39" t="str">
        <v>Tunde Bakare</v>
      </c>
      <c r="T39" t="str">
        <v>Card</v>
      </c>
      <c r="U39">
        <v>0</v>
      </c>
    </row>
    <row r="40" spans="1:21" x14ac:dyDescent="0.25">
      <c r="A40" t="str">
        <v>PictureFrame</v>
      </c>
      <c r="B40">
        <v>6</v>
      </c>
      <c r="C40">
        <v>5000</v>
      </c>
      <c r="L40">
        <v>3134</v>
      </c>
      <c r="M40" s="11">
        <v>45702</v>
      </c>
      <c r="N40" t="str">
        <v>Electronics</v>
      </c>
      <c r="O40" t="str">
        <v>LaptopStand</v>
      </c>
      <c r="P40">
        <v>3</v>
      </c>
      <c r="Q40">
        <v>18000</v>
      </c>
      <c r="R40" t="str">
        <v>South</v>
      </c>
      <c r="S40" t="str">
        <v>Chidi Nwosu</v>
      </c>
      <c r="T40" t="str">
        <v>Card</v>
      </c>
      <c r="U40">
        <v>5</v>
      </c>
    </row>
    <row r="41" spans="1:21" x14ac:dyDescent="0.25">
      <c r="A41" t="str">
        <v>CameraLens</v>
      </c>
      <c r="B41">
        <v>1</v>
      </c>
      <c r="C41">
        <v>85000</v>
      </c>
      <c r="L41">
        <v>3194</v>
      </c>
      <c r="M41" s="11">
        <v>45711</v>
      </c>
      <c r="N41" t="str">
        <v>Electronics</v>
      </c>
      <c r="O41" t="str">
        <v>RechargeableFan</v>
      </c>
      <c r="P41">
        <v>2</v>
      </c>
      <c r="Q41">
        <v>18000</v>
      </c>
      <c r="R41" t="str">
        <v>South</v>
      </c>
      <c r="S41" t="str">
        <v>Chidi Nwosu</v>
      </c>
      <c r="T41" t="str">
        <v>Card</v>
      </c>
      <c r="U41">
        <v>0</v>
      </c>
    </row>
    <row r="42" spans="1:21" x14ac:dyDescent="0.25">
      <c r="A42" t="str">
        <v>WaistBag</v>
      </c>
      <c r="B42">
        <v>3</v>
      </c>
      <c r="C42">
        <v>10000</v>
      </c>
      <c r="L42">
        <v>3019</v>
      </c>
      <c r="M42" s="11">
        <v>45676</v>
      </c>
      <c r="N42" t="str">
        <v>Electronics</v>
      </c>
      <c r="O42" t="str">
        <v>Keyboard</v>
      </c>
      <c r="P42">
        <v>5</v>
      </c>
      <c r="Q42">
        <v>15000</v>
      </c>
      <c r="R42" t="str">
        <v>East</v>
      </c>
      <c r="S42" t="str">
        <v>Femi Adebayo</v>
      </c>
      <c r="T42" t="str">
        <v>Card</v>
      </c>
      <c r="U42">
        <v>5</v>
      </c>
    </row>
    <row r="43" spans="1:21" x14ac:dyDescent="0.25">
      <c r="A43" t="str">
        <v>BathMat</v>
      </c>
      <c r="B43">
        <v>6</v>
      </c>
      <c r="C43">
        <v>4000</v>
      </c>
      <c r="L43">
        <v>3043</v>
      </c>
      <c r="M43" s="11">
        <v>45688</v>
      </c>
      <c r="N43" t="str">
        <v>Electronics</v>
      </c>
      <c r="O43" t="str">
        <v>PowerBank</v>
      </c>
      <c r="P43">
        <v>3</v>
      </c>
      <c r="Q43">
        <v>15000</v>
      </c>
      <c r="R43" t="str">
        <v>East</v>
      </c>
      <c r="S43" t="str">
        <v>Femi Adebayo</v>
      </c>
      <c r="T43" t="str">
        <v>Card</v>
      </c>
      <c r="U43">
        <v>10</v>
      </c>
    </row>
    <row r="44" spans="1:21" x14ac:dyDescent="0.25">
      <c r="A44" t="str">
        <v>Calculator</v>
      </c>
      <c r="B44">
        <v>2</v>
      </c>
      <c r="C44">
        <v>15000</v>
      </c>
      <c r="L44">
        <v>3055</v>
      </c>
      <c r="M44" s="11">
        <v>45694</v>
      </c>
      <c r="N44" t="str">
        <v>Electronics</v>
      </c>
      <c r="O44" t="str">
        <v>Headset</v>
      </c>
      <c r="P44">
        <v>4</v>
      </c>
      <c r="Q44">
        <v>15000</v>
      </c>
      <c r="R44" t="str">
        <v>East</v>
      </c>
      <c r="S44" t="str">
        <v>Femi Adebayo</v>
      </c>
      <c r="T44" t="str">
        <v>Card</v>
      </c>
      <c r="U44">
        <v>0</v>
      </c>
    </row>
    <row r="45" spans="1:21" x14ac:dyDescent="0.25">
      <c r="A45" t="str">
        <v>LegWarmers</v>
      </c>
      <c r="B45">
        <v>5</v>
      </c>
      <c r="C45">
        <v>5000</v>
      </c>
      <c r="L45">
        <v>3079</v>
      </c>
      <c r="M45" s="11">
        <v>45706</v>
      </c>
      <c r="N45" t="str">
        <v>Electronics</v>
      </c>
      <c r="O45" t="str">
        <v>CardReader</v>
      </c>
      <c r="P45">
        <v>2</v>
      </c>
      <c r="Q45">
        <v>15000</v>
      </c>
      <c r="R45" t="str">
        <v>East</v>
      </c>
      <c r="S45" t="str">
        <v>Femi Adebayo</v>
      </c>
      <c r="T45" t="str">
        <v>Card</v>
      </c>
      <c r="U45">
        <v>0</v>
      </c>
    </row>
    <row r="46" spans="1:21" x14ac:dyDescent="0.25">
      <c r="A46" t="str">
        <v>VanityTable</v>
      </c>
      <c r="B46">
        <v>1</v>
      </c>
      <c r="C46">
        <v>85000</v>
      </c>
      <c r="L46">
        <v>3131</v>
      </c>
      <c r="M46" s="11">
        <v>45699</v>
      </c>
      <c r="N46" t="str">
        <v>Electronics</v>
      </c>
      <c r="O46" t="str">
        <v>WirelessCharger</v>
      </c>
      <c r="P46">
        <v>3</v>
      </c>
      <c r="Q46">
        <v>15000</v>
      </c>
      <c r="R46" t="str">
        <v>East</v>
      </c>
      <c r="S46" t="str">
        <v>Femi Adebayo</v>
      </c>
      <c r="T46" t="str">
        <v>Card</v>
      </c>
      <c r="U46">
        <v>0</v>
      </c>
    </row>
    <row r="47" spans="1:21" x14ac:dyDescent="0.25">
      <c r="A47" t="str">
        <v>LensCleaner</v>
      </c>
      <c r="B47">
        <v>6</v>
      </c>
      <c r="C47">
        <v>3000</v>
      </c>
      <c r="L47">
        <v>3167</v>
      </c>
      <c r="M47" s="11">
        <v>45684</v>
      </c>
      <c r="N47" t="str">
        <v>Electronics</v>
      </c>
      <c r="O47" t="str">
        <v>Calculator</v>
      </c>
      <c r="P47">
        <v>2</v>
      </c>
      <c r="Q47">
        <v>15000</v>
      </c>
      <c r="R47" t="str">
        <v>East</v>
      </c>
      <c r="S47" t="str">
        <v>Femi Adebayo</v>
      </c>
      <c r="T47" t="str">
        <v>Card</v>
      </c>
      <c r="U47">
        <v>0</v>
      </c>
    </row>
    <row r="48" spans="1:21" x14ac:dyDescent="0.25">
      <c r="A48" t="str">
        <v>TieDyeShirt</v>
      </c>
      <c r="B48">
        <v>3</v>
      </c>
      <c r="C48">
        <v>12000</v>
      </c>
      <c r="L48">
        <v>3185</v>
      </c>
      <c r="M48" s="11">
        <v>45702</v>
      </c>
      <c r="N48" t="str">
        <v>Electronics</v>
      </c>
      <c r="O48" t="str">
        <v>AntivirusUSB</v>
      </c>
      <c r="P48">
        <v>2</v>
      </c>
      <c r="Q48">
        <v>15000</v>
      </c>
      <c r="R48" t="str">
        <v>North</v>
      </c>
      <c r="S48" t="str">
        <v>Abiola Ogun</v>
      </c>
      <c r="T48" t="str">
        <v>Card</v>
      </c>
      <c r="U48">
        <v>5</v>
      </c>
    </row>
    <row r="49" spans="1:21" x14ac:dyDescent="0.25">
      <c r="A49" t="str">
        <v>PetCrate</v>
      </c>
      <c r="B49">
        <v>1</v>
      </c>
      <c r="C49">
        <v>35000</v>
      </c>
      <c r="L49">
        <v>3197</v>
      </c>
      <c r="M49" s="11">
        <v>45714</v>
      </c>
      <c r="N49" t="str">
        <v>Electronics</v>
      </c>
      <c r="O49" t="str">
        <v>Kettle</v>
      </c>
      <c r="P49">
        <v>2</v>
      </c>
      <c r="Q49">
        <v>15000</v>
      </c>
      <c r="R49" t="str">
        <v>North</v>
      </c>
      <c r="S49" t="str">
        <v>Abiola Ogun</v>
      </c>
      <c r="T49" t="str">
        <v>Card</v>
      </c>
      <c r="U49">
        <v>0</v>
      </c>
    </row>
    <row r="50" spans="1:21" x14ac:dyDescent="0.25">
      <c r="A50" t="str">
        <v>Drone</v>
      </c>
      <c r="B50">
        <v>1</v>
      </c>
      <c r="C50">
        <v>250000</v>
      </c>
      <c r="L50">
        <v>3070</v>
      </c>
      <c r="M50" s="11">
        <v>45701</v>
      </c>
      <c r="N50" t="str">
        <v>Electronics</v>
      </c>
      <c r="O50" t="str">
        <v>ExternalBattery</v>
      </c>
      <c r="P50">
        <v>3</v>
      </c>
      <c r="Q50">
        <v>12000</v>
      </c>
      <c r="R50" t="str">
        <v>South</v>
      </c>
      <c r="S50" t="str">
        <v>Chidi Nwosu</v>
      </c>
      <c r="T50" t="str">
        <v>Card</v>
      </c>
      <c r="U50">
        <v>0</v>
      </c>
    </row>
    <row r="51" spans="1:21" x14ac:dyDescent="0.25">
      <c r="A51" t="str">
        <v>Agbada</v>
      </c>
      <c r="B51">
        <v>1</v>
      </c>
      <c r="C51">
        <v>85000</v>
      </c>
      <c r="L51">
        <v>3122</v>
      </c>
      <c r="M51" s="11">
        <v>45690</v>
      </c>
      <c r="N51" t="str">
        <v>Electronics</v>
      </c>
      <c r="O51" t="str">
        <v>DeskFan</v>
      </c>
      <c r="P51">
        <v>2</v>
      </c>
      <c r="Q51">
        <v>12000</v>
      </c>
      <c r="R51" t="str">
        <v>South</v>
      </c>
      <c r="S51" t="str">
        <v>Chidi Nwosu</v>
      </c>
      <c r="T51" t="str">
        <v>Card</v>
      </c>
      <c r="U51">
        <v>0</v>
      </c>
    </row>
    <row r="52" spans="1:21" x14ac:dyDescent="0.25">
      <c r="A52" t="str">
        <v>PrayerMat</v>
      </c>
      <c r="B52">
        <v>3</v>
      </c>
      <c r="C52">
        <v>10000</v>
      </c>
      <c r="L52">
        <v>3240</v>
      </c>
      <c r="M52" s="11">
        <v>45711</v>
      </c>
      <c r="N52" t="str">
        <v>Electronics</v>
      </c>
      <c r="O52" t="str">
        <v>DigitalPictureFrame</v>
      </c>
      <c r="P52">
        <v>2</v>
      </c>
      <c r="Q52">
        <v>12000</v>
      </c>
      <c r="R52" t="str">
        <v>West</v>
      </c>
      <c r="S52" t="str">
        <v>Tunde Bakare</v>
      </c>
      <c r="T52" t="str">
        <v>Card</v>
      </c>
      <c r="U52">
        <v>10</v>
      </c>
    </row>
    <row r="53" spans="1:21" x14ac:dyDescent="0.25">
      <c r="A53" t="str">
        <v>AccentChair</v>
      </c>
      <c r="B53">
        <v>2</v>
      </c>
      <c r="C53">
        <v>95000</v>
      </c>
      <c r="L53">
        <v>3128</v>
      </c>
      <c r="M53" s="11">
        <v>45696</v>
      </c>
      <c r="N53" t="str">
        <v>Electronics</v>
      </c>
      <c r="O53" t="str">
        <v>MemoryCard</v>
      </c>
      <c r="P53">
        <v>5</v>
      </c>
      <c r="Q53">
        <v>10000</v>
      </c>
      <c r="R53" t="str">
        <v>West</v>
      </c>
      <c r="S53" t="str">
        <v>Tunde Bakare</v>
      </c>
      <c r="T53" t="str">
        <v>Card</v>
      </c>
      <c r="U53">
        <v>0</v>
      </c>
    </row>
    <row r="54" spans="1:21" x14ac:dyDescent="0.25">
      <c r="A54" t="str">
        <v>Soundbar</v>
      </c>
      <c r="B54">
        <v>2</v>
      </c>
      <c r="C54">
        <v>120000</v>
      </c>
      <c r="L54">
        <v>3164</v>
      </c>
      <c r="M54" s="11">
        <v>45681</v>
      </c>
      <c r="N54" t="str">
        <v>Electronics</v>
      </c>
      <c r="O54" t="str">
        <v>AlarmClock</v>
      </c>
      <c r="P54">
        <v>3</v>
      </c>
      <c r="Q54">
        <v>9000</v>
      </c>
      <c r="R54" t="str">
        <v>West</v>
      </c>
      <c r="S54" t="str">
        <v>Tunde Bakare</v>
      </c>
      <c r="T54" t="str">
        <v>Card</v>
      </c>
      <c r="U54">
        <v>10</v>
      </c>
    </row>
    <row r="55" spans="1:21" x14ac:dyDescent="0.25">
      <c r="A55" t="str">
        <v>Windbreaker</v>
      </c>
      <c r="B55">
        <v>2</v>
      </c>
      <c r="C55">
        <v>35000</v>
      </c>
      <c r="L55">
        <v>3040</v>
      </c>
      <c r="M55" s="11">
        <v>45686</v>
      </c>
      <c r="N55" t="str">
        <v>Electronics</v>
      </c>
      <c r="O55" t="str">
        <v>Charger</v>
      </c>
      <c r="P55">
        <v>8</v>
      </c>
      <c r="Q55">
        <v>8000</v>
      </c>
      <c r="R55" t="str">
        <v>West</v>
      </c>
      <c r="S55" t="str">
        <v>Tunde Bakare</v>
      </c>
      <c r="T55" t="str">
        <v>Card</v>
      </c>
      <c r="U55">
        <v>5</v>
      </c>
    </row>
    <row r="56" spans="1:21" x14ac:dyDescent="0.25">
      <c r="A56" t="str">
        <v>BarCabinet</v>
      </c>
      <c r="B56">
        <v>1</v>
      </c>
      <c r="C56">
        <v>120000</v>
      </c>
      <c r="L56">
        <v>3061</v>
      </c>
      <c r="M56" s="11">
        <v>45697</v>
      </c>
      <c r="N56" t="str">
        <v>Electronics</v>
      </c>
      <c r="O56" t="str">
        <v>SmartLight</v>
      </c>
      <c r="P56">
        <v>5</v>
      </c>
      <c r="Q56">
        <v>8000</v>
      </c>
      <c r="R56" t="str">
        <v>North</v>
      </c>
      <c r="S56" t="str">
        <v>Abiola Ogun</v>
      </c>
      <c r="T56" t="str">
        <v>Card</v>
      </c>
      <c r="U56">
        <v>10</v>
      </c>
    </row>
    <row r="57" spans="1:21" x14ac:dyDescent="0.25">
      <c r="A57" t="str">
        <v>MicroSDCard</v>
      </c>
      <c r="B57">
        <v>8</v>
      </c>
      <c r="C57">
        <v>5000</v>
      </c>
      <c r="L57">
        <v>3082</v>
      </c>
      <c r="M57" s="11">
        <v>45707</v>
      </c>
      <c r="N57" t="str">
        <v>Electronics</v>
      </c>
      <c r="O57" t="str">
        <v>SmartPlug</v>
      </c>
      <c r="P57">
        <v>4</v>
      </c>
      <c r="Q57">
        <v>8000</v>
      </c>
      <c r="R57" t="str">
        <v>South</v>
      </c>
      <c r="S57" t="str">
        <v>Chidi Nwosu</v>
      </c>
      <c r="T57" t="str">
        <v>Card</v>
      </c>
      <c r="U57">
        <v>0</v>
      </c>
    </row>
    <row r="58" spans="1:21" x14ac:dyDescent="0.25">
      <c r="A58" t="str">
        <v>HikingBoots</v>
      </c>
      <c r="B58">
        <v>1</v>
      </c>
      <c r="C58">
        <v>55000</v>
      </c>
      <c r="L58">
        <v>3107</v>
      </c>
      <c r="M58" s="11">
        <v>45675</v>
      </c>
      <c r="N58" t="str">
        <v>Electronics</v>
      </c>
      <c r="O58" t="str">
        <v>WirelessMouse</v>
      </c>
      <c r="P58">
        <v>5</v>
      </c>
      <c r="Q58">
        <v>8000</v>
      </c>
      <c r="R58" t="str">
        <v>East</v>
      </c>
      <c r="S58" t="str">
        <v>Femi Adebayo</v>
      </c>
      <c r="T58" t="str">
        <v>Card</v>
      </c>
      <c r="U58">
        <v>0</v>
      </c>
    </row>
    <row r="59" spans="1:21" x14ac:dyDescent="0.25">
      <c r="A59" t="str">
        <v>ShagRug</v>
      </c>
      <c r="B59">
        <v>1</v>
      </c>
      <c r="C59">
        <v>35000</v>
      </c>
      <c r="L59">
        <v>3152</v>
      </c>
      <c r="M59" s="11">
        <v>45669</v>
      </c>
      <c r="N59" t="str">
        <v>Electronics</v>
      </c>
      <c r="O59" t="str">
        <v>StylusPen</v>
      </c>
      <c r="P59">
        <v>4</v>
      </c>
      <c r="Q59">
        <v>8000</v>
      </c>
      <c r="R59" t="str">
        <v>West</v>
      </c>
      <c r="S59" t="str">
        <v>Tunde Bakare</v>
      </c>
      <c r="T59" t="str">
        <v>Card</v>
      </c>
      <c r="U59">
        <v>0</v>
      </c>
    </row>
    <row r="60" spans="1:21" x14ac:dyDescent="0.25">
      <c r="A60" t="str">
        <v>HDMISwitch</v>
      </c>
      <c r="B60">
        <v>3</v>
      </c>
      <c r="C60">
        <v>8000</v>
      </c>
      <c r="L60">
        <v>3161</v>
      </c>
      <c r="M60" s="11">
        <v>45678</v>
      </c>
      <c r="N60" t="str">
        <v>Electronics</v>
      </c>
      <c r="O60" t="str">
        <v>CarCharger</v>
      </c>
      <c r="P60">
        <v>5</v>
      </c>
      <c r="Q60">
        <v>8000</v>
      </c>
      <c r="R60" t="str">
        <v>North</v>
      </c>
      <c r="S60" t="str">
        <v>Abiola Ogun</v>
      </c>
      <c r="T60" t="str">
        <v>Card</v>
      </c>
      <c r="U60">
        <v>5</v>
      </c>
    </row>
    <row r="61" spans="1:21" x14ac:dyDescent="0.25">
      <c r="A61" t="str">
        <v>Leggings</v>
      </c>
      <c r="B61">
        <v>7</v>
      </c>
      <c r="C61">
        <v>8000</v>
      </c>
      <c r="L61">
        <v>3170</v>
      </c>
      <c r="M61" s="11">
        <v>45687</v>
      </c>
      <c r="N61" t="str">
        <v>Electronics</v>
      </c>
      <c r="O61" t="str">
        <v>DigitalClock</v>
      </c>
      <c r="P61">
        <v>4</v>
      </c>
      <c r="Q61">
        <v>8000</v>
      </c>
      <c r="R61" t="str">
        <v>South</v>
      </c>
      <c r="S61" t="str">
        <v>Chidi Nwosu</v>
      </c>
      <c r="T61" t="str">
        <v>Card</v>
      </c>
      <c r="U61">
        <v>0</v>
      </c>
    </row>
    <row r="62" spans="1:21" x14ac:dyDescent="0.25">
      <c r="A62" t="str">
        <v>FloatingShelf</v>
      </c>
      <c r="B62">
        <v>6</v>
      </c>
      <c r="C62">
        <v>15000</v>
      </c>
      <c r="L62">
        <v>3210</v>
      </c>
      <c r="M62" s="11">
        <v>45681</v>
      </c>
      <c r="N62" t="str">
        <v>Electronics</v>
      </c>
      <c r="O62" t="str">
        <v>TabletCase</v>
      </c>
      <c r="P62">
        <v>4</v>
      </c>
      <c r="Q62">
        <v>8000</v>
      </c>
      <c r="R62" t="str">
        <v>South</v>
      </c>
      <c r="S62" t="str">
        <v>Chidi Nwosu</v>
      </c>
      <c r="T62" t="str">
        <v>Card</v>
      </c>
      <c r="U62">
        <v>0</v>
      </c>
    </row>
    <row r="63" spans="1:21" x14ac:dyDescent="0.25">
      <c r="A63" t="str">
        <v>CarMount</v>
      </c>
      <c r="B63">
        <v>6</v>
      </c>
      <c r="C63">
        <v>3000</v>
      </c>
      <c r="L63">
        <v>3216</v>
      </c>
      <c r="M63" s="11">
        <v>45687</v>
      </c>
      <c r="N63" t="str">
        <v>Electronics</v>
      </c>
      <c r="O63" t="str">
        <v>WebcamRingLight</v>
      </c>
      <c r="P63">
        <v>2</v>
      </c>
      <c r="Q63">
        <v>8000</v>
      </c>
      <c r="R63" t="str">
        <v>West</v>
      </c>
      <c r="S63" t="str">
        <v>Tunde Bakare</v>
      </c>
      <c r="T63" t="str">
        <v>Card</v>
      </c>
      <c r="U63">
        <v>5</v>
      </c>
    </row>
    <row r="64" spans="1:21" x14ac:dyDescent="0.25">
      <c r="A64" s="7" t="s">
        <v>272</v>
      </c>
      <c r="B64" s="7"/>
      <c r="C64" s="7"/>
      <c r="L64">
        <v>3231</v>
      </c>
      <c r="M64" s="11">
        <v>45702</v>
      </c>
      <c r="N64" t="str">
        <v>Electronics</v>
      </c>
      <c r="O64" t="str">
        <v>HDMISwitch</v>
      </c>
      <c r="P64">
        <v>3</v>
      </c>
      <c r="Q64">
        <v>8000</v>
      </c>
      <c r="R64" t="str">
        <v>East</v>
      </c>
      <c r="S64" t="str">
        <v>Femi Adebayo</v>
      </c>
      <c r="T64" t="str">
        <v>Card</v>
      </c>
      <c r="U64">
        <v>0</v>
      </c>
    </row>
    <row r="65" spans="1:21" x14ac:dyDescent="0.25">
      <c r="A65" s="12" t="s">
        <v>269</v>
      </c>
      <c r="B65" s="12"/>
      <c r="C65" s="12"/>
      <c r="D65" s="12"/>
      <c r="E65" s="12"/>
      <c r="F65" s="12"/>
      <c r="G65" s="12"/>
      <c r="H65" s="12"/>
      <c r="I65" s="12"/>
      <c r="J65" s="12"/>
      <c r="L65">
        <v>3149</v>
      </c>
      <c r="M65" s="11">
        <v>45717</v>
      </c>
      <c r="N65" t="str">
        <v>Electronics</v>
      </c>
      <c r="O65" t="str">
        <v>TabletStand</v>
      </c>
      <c r="P65">
        <v>5</v>
      </c>
      <c r="Q65">
        <v>7000</v>
      </c>
      <c r="R65" t="str">
        <v>North</v>
      </c>
      <c r="S65" t="str">
        <v>Abiola Ogun</v>
      </c>
      <c r="T65" t="str">
        <v>Card</v>
      </c>
      <c r="U65">
        <v>0</v>
      </c>
    </row>
    <row r="66" spans="1:21" x14ac:dyDescent="0.25">
      <c r="A66" s="2" t="s">
        <v>0</v>
      </c>
      <c r="B66" s="10" t="s">
        <v>1</v>
      </c>
      <c r="C66" s="3" t="s">
        <v>2</v>
      </c>
      <c r="D66" s="3" t="s">
        <v>3</v>
      </c>
      <c r="E66" s="3" t="s">
        <v>4</v>
      </c>
      <c r="F66" s="6" t="s">
        <v>5</v>
      </c>
      <c r="G66" s="3" t="s">
        <v>6</v>
      </c>
      <c r="H66" s="3" t="s">
        <v>7</v>
      </c>
      <c r="I66" s="3" t="s">
        <v>8</v>
      </c>
      <c r="J66" s="4" t="s">
        <v>9</v>
      </c>
      <c r="L66">
        <v>3182</v>
      </c>
      <c r="M66" s="11">
        <v>45699</v>
      </c>
      <c r="N66" t="str">
        <v>Electronics</v>
      </c>
      <c r="O66" t="str">
        <v>ExtensionCord</v>
      </c>
      <c r="P66">
        <v>5</v>
      </c>
      <c r="Q66">
        <v>7000</v>
      </c>
      <c r="R66" t="str">
        <v>South</v>
      </c>
      <c r="S66" t="str">
        <v>Chidi Nwosu</v>
      </c>
      <c r="T66" t="str">
        <v>Card</v>
      </c>
      <c r="U66">
        <v>5</v>
      </c>
    </row>
    <row r="67" spans="1:21" x14ac:dyDescent="0.25">
      <c r="A67" cm="1">
        <f t="array" ref="A67:J311">_xlfn._xlws.SORT(deepseek_csv_20260422_7f7afa[], 1, 1)</f>
        <v>3001</v>
      </c>
      <c r="B67" s="11">
        <v>45667</v>
      </c>
      <c r="C67" t="str">
        <v>Electronics</v>
      </c>
      <c r="D67" t="str">
        <v>Laptop</v>
      </c>
      <c r="E67">
        <v>3</v>
      </c>
      <c r="F67">
        <v>450000</v>
      </c>
      <c r="G67" t="str">
        <v>North</v>
      </c>
      <c r="H67" t="str">
        <v>Abiola Ogun</v>
      </c>
      <c r="I67" t="str">
        <v>Card</v>
      </c>
      <c r="J67">
        <v>5</v>
      </c>
      <c r="L67">
        <v>3076</v>
      </c>
      <c r="M67" s="11">
        <v>45704</v>
      </c>
      <c r="N67" t="str">
        <v>Electronics</v>
      </c>
      <c r="O67" t="str">
        <v>USBHub</v>
      </c>
      <c r="P67">
        <v>4</v>
      </c>
      <c r="Q67">
        <v>6000</v>
      </c>
      <c r="R67" t="str">
        <v>West</v>
      </c>
      <c r="S67" t="str">
        <v>Tunde Bakare</v>
      </c>
      <c r="T67" t="str">
        <v>Card</v>
      </c>
      <c r="U67">
        <v>0</v>
      </c>
    </row>
    <row r="68" spans="1:21" x14ac:dyDescent="0.25">
      <c r="A68">
        <v>3002</v>
      </c>
      <c r="B68" s="11">
        <v>45667</v>
      </c>
      <c r="C68" t="str">
        <v>Clothing</v>
      </c>
      <c r="D68" t="str">
        <v>Jeans</v>
      </c>
      <c r="E68">
        <v>5</v>
      </c>
      <c r="F68">
        <v>15000</v>
      </c>
      <c r="G68" t="str">
        <v>South</v>
      </c>
      <c r="H68" t="str">
        <v>Chidi Nwosu</v>
      </c>
      <c r="I68" t="str">
        <v>Cash</v>
      </c>
      <c r="J68">
        <v>0</v>
      </c>
      <c r="L68">
        <v>3143</v>
      </c>
      <c r="M68" s="11">
        <v>45711</v>
      </c>
      <c r="N68" t="str">
        <v>Electronics</v>
      </c>
      <c r="O68" t="str">
        <v>LightningCable</v>
      </c>
      <c r="P68">
        <v>6</v>
      </c>
      <c r="Q68">
        <v>6000</v>
      </c>
      <c r="R68" t="str">
        <v>East</v>
      </c>
      <c r="S68" t="str">
        <v>Femi Adebayo</v>
      </c>
      <c r="T68" t="str">
        <v>Card</v>
      </c>
      <c r="U68">
        <v>0</v>
      </c>
    </row>
    <row r="69" spans="1:21" x14ac:dyDescent="0.25">
      <c r="A69">
        <v>3003</v>
      </c>
      <c r="B69" s="11">
        <v>45668</v>
      </c>
      <c r="C69" t="str">
        <v>Furniture</v>
      </c>
      <c r="D69" t="str">
        <v>Office Chair</v>
      </c>
      <c r="E69">
        <v>2</v>
      </c>
      <c r="F69">
        <v>75000</v>
      </c>
      <c r="G69" t="str">
        <v>East</v>
      </c>
      <c r="H69" t="str">
        <v>Femi Adebayo</v>
      </c>
      <c r="I69" t="str">
        <v>Transfer</v>
      </c>
      <c r="J69">
        <v>10</v>
      </c>
      <c r="L69">
        <v>3188</v>
      </c>
      <c r="M69" s="11">
        <v>45705</v>
      </c>
      <c r="N69" t="str">
        <v>Electronics</v>
      </c>
      <c r="O69" t="str">
        <v>RouterStand</v>
      </c>
      <c r="P69">
        <v>4</v>
      </c>
      <c r="Q69">
        <v>6000</v>
      </c>
      <c r="R69" t="str">
        <v>West</v>
      </c>
      <c r="S69" t="str">
        <v>Tunde Bakare</v>
      </c>
      <c r="T69" t="str">
        <v>Card</v>
      </c>
      <c r="U69">
        <v>10</v>
      </c>
    </row>
    <row r="70" spans="1:21" x14ac:dyDescent="0.25">
      <c r="A70">
        <v>3004</v>
      </c>
      <c r="B70" s="11">
        <v>45668</v>
      </c>
      <c r="C70" t="str">
        <v>Electronics</v>
      </c>
      <c r="D70" t="str">
        <v>Smartphone</v>
      </c>
      <c r="E70">
        <v>2</v>
      </c>
      <c r="F70">
        <v>120000</v>
      </c>
      <c r="G70" t="str">
        <v>West</v>
      </c>
      <c r="H70" t="str">
        <v>Tunde Bakare</v>
      </c>
      <c r="I70" t="str">
        <v>Card</v>
      </c>
      <c r="J70">
        <v>0</v>
      </c>
      <c r="L70">
        <v>3234</v>
      </c>
      <c r="M70" s="11">
        <v>45705</v>
      </c>
      <c r="N70" t="str">
        <v>Electronics</v>
      </c>
      <c r="O70" t="str">
        <v>USBWallOutlet</v>
      </c>
      <c r="P70">
        <v>3</v>
      </c>
      <c r="Q70">
        <v>6000</v>
      </c>
      <c r="R70" t="str">
        <v>South</v>
      </c>
      <c r="S70" t="str">
        <v>Chidi Nwosu</v>
      </c>
      <c r="T70" t="str">
        <v>Card</v>
      </c>
      <c r="U70">
        <v>5</v>
      </c>
    </row>
    <row r="71" spans="1:21" x14ac:dyDescent="0.25">
      <c r="A71">
        <v>3005</v>
      </c>
      <c r="B71" s="11">
        <v>45669</v>
      </c>
      <c r="C71" t="str">
        <v>Clothing</v>
      </c>
      <c r="D71" t="str">
        <v>TShirt</v>
      </c>
      <c r="E71">
        <v>8</v>
      </c>
      <c r="F71">
        <v>5000</v>
      </c>
      <c r="G71" t="str">
        <v>North</v>
      </c>
      <c r="H71" t="str">
        <v>Abiola Ogun</v>
      </c>
      <c r="I71" t="str">
        <v>Cash</v>
      </c>
      <c r="J71">
        <v>5</v>
      </c>
      <c r="L71">
        <v>3022</v>
      </c>
      <c r="M71" s="11">
        <v>45677</v>
      </c>
      <c r="N71" t="str">
        <v>Electronics</v>
      </c>
      <c r="O71" t="str">
        <v>Mouse</v>
      </c>
      <c r="P71">
        <v>8</v>
      </c>
      <c r="Q71">
        <v>5000</v>
      </c>
      <c r="R71" t="str">
        <v>South</v>
      </c>
      <c r="S71" t="str">
        <v>Chidi Nwosu</v>
      </c>
      <c r="T71" t="str">
        <v>Card</v>
      </c>
      <c r="U71">
        <v>10</v>
      </c>
    </row>
    <row r="72" spans="1:21" x14ac:dyDescent="0.25">
      <c r="A72">
        <v>3006</v>
      </c>
      <c r="B72" s="11">
        <v>45669</v>
      </c>
      <c r="C72" t="str">
        <v>Furniture</v>
      </c>
      <c r="D72" t="str">
        <v>Dining Table</v>
      </c>
      <c r="E72">
        <v>1</v>
      </c>
      <c r="F72">
        <v>150000</v>
      </c>
      <c r="G72" t="str">
        <v>South</v>
      </c>
      <c r="H72" t="str">
        <v>Chidi Nwosu</v>
      </c>
      <c r="I72" t="str">
        <v>Transfer</v>
      </c>
      <c r="J72">
        <v>0</v>
      </c>
      <c r="L72">
        <v>3176</v>
      </c>
      <c r="M72" s="11">
        <v>45693</v>
      </c>
      <c r="N72" t="str">
        <v>Electronics</v>
      </c>
      <c r="O72" t="str">
        <v>SelfieStick</v>
      </c>
      <c r="P72">
        <v>5</v>
      </c>
      <c r="Q72">
        <v>5000</v>
      </c>
      <c r="R72" t="str">
        <v>West</v>
      </c>
      <c r="S72" t="str">
        <v>Tunde Bakare</v>
      </c>
      <c r="T72" t="str">
        <v>Card</v>
      </c>
      <c r="U72">
        <v>0</v>
      </c>
    </row>
    <row r="73" spans="1:21" x14ac:dyDescent="0.25">
      <c r="A73">
        <v>3007</v>
      </c>
      <c r="B73" s="11">
        <v>45670</v>
      </c>
      <c r="C73" t="str">
        <v>Electronics</v>
      </c>
      <c r="D73" t="str">
        <v>Headphones</v>
      </c>
      <c r="E73">
        <v>3</v>
      </c>
      <c r="F73">
        <v>25000</v>
      </c>
      <c r="G73" t="str">
        <v>East</v>
      </c>
      <c r="H73" t="str">
        <v>Femi Adebayo</v>
      </c>
      <c r="I73" t="str">
        <v>Card</v>
      </c>
      <c r="J73">
        <v>10</v>
      </c>
      <c r="L73">
        <v>3213</v>
      </c>
      <c r="M73" s="11">
        <v>45684</v>
      </c>
      <c r="N73" t="str">
        <v>Electronics</v>
      </c>
      <c r="O73" t="str">
        <v>LEDStrip</v>
      </c>
      <c r="P73">
        <v>3</v>
      </c>
      <c r="Q73">
        <v>5000</v>
      </c>
      <c r="R73" t="str">
        <v>North</v>
      </c>
      <c r="S73" t="str">
        <v>Abiola Ogun</v>
      </c>
      <c r="T73" t="str">
        <v>Card</v>
      </c>
      <c r="U73">
        <v>5</v>
      </c>
    </row>
    <row r="74" spans="1:21" x14ac:dyDescent="0.25">
      <c r="A74">
        <v>3008</v>
      </c>
      <c r="B74" s="11">
        <v>45670</v>
      </c>
      <c r="C74" t="str">
        <v>Clothing</v>
      </c>
      <c r="D74" t="str">
        <v>Jacket</v>
      </c>
      <c r="E74">
        <v>2</v>
      </c>
      <c r="F74">
        <v>35000</v>
      </c>
      <c r="G74" t="str">
        <v>West</v>
      </c>
      <c r="H74" t="str">
        <v>Tunde Bakare</v>
      </c>
      <c r="I74" t="str">
        <v>Cash</v>
      </c>
      <c r="J74">
        <v>0</v>
      </c>
      <c r="L74">
        <v>3219</v>
      </c>
      <c r="M74" s="11">
        <v>45690</v>
      </c>
      <c r="N74" t="str">
        <v>Electronics</v>
      </c>
      <c r="O74" t="str">
        <v>MicroSDCard</v>
      </c>
      <c r="P74">
        <v>8</v>
      </c>
      <c r="Q74">
        <v>5000</v>
      </c>
      <c r="R74" t="str">
        <v>East</v>
      </c>
      <c r="S74" t="str">
        <v>Femi Adebayo</v>
      </c>
      <c r="T74" t="str">
        <v>Card</v>
      </c>
      <c r="U74">
        <v>10</v>
      </c>
    </row>
    <row r="75" spans="1:21" x14ac:dyDescent="0.25">
      <c r="A75">
        <v>3009</v>
      </c>
      <c r="B75" s="11">
        <v>45671</v>
      </c>
      <c r="C75" t="str">
        <v>Furniture</v>
      </c>
      <c r="D75" t="str">
        <v>Bed Frame</v>
      </c>
      <c r="E75">
        <v>1</v>
      </c>
      <c r="F75">
        <v>120000</v>
      </c>
      <c r="G75" t="str">
        <v>North</v>
      </c>
      <c r="H75" t="str">
        <v>Abiola Ogun</v>
      </c>
      <c r="I75" t="str">
        <v>Transfer</v>
      </c>
      <c r="J75">
        <v>15</v>
      </c>
      <c r="L75">
        <v>3091</v>
      </c>
      <c r="M75" s="11">
        <v>45712</v>
      </c>
      <c r="N75" t="str">
        <v>Electronics</v>
      </c>
      <c r="O75" t="str">
        <v>PhoneStand</v>
      </c>
      <c r="P75">
        <v>7</v>
      </c>
      <c r="Q75">
        <v>4000</v>
      </c>
      <c r="R75" t="str">
        <v>East</v>
      </c>
      <c r="S75" t="str">
        <v>Femi Adebayo</v>
      </c>
      <c r="T75" t="str">
        <v>Card</v>
      </c>
      <c r="U75">
        <v>5</v>
      </c>
    </row>
    <row r="76" spans="1:21" x14ac:dyDescent="0.25">
      <c r="A76">
        <v>3010</v>
      </c>
      <c r="B76" s="11">
        <v>45671</v>
      </c>
      <c r="C76" t="str">
        <v>Electronics</v>
      </c>
      <c r="D76" t="str">
        <v>Tablet</v>
      </c>
      <c r="E76">
        <v>2</v>
      </c>
      <c r="F76">
        <v>80000</v>
      </c>
      <c r="G76" t="str">
        <v>South</v>
      </c>
      <c r="H76" t="str">
        <v>Chidi Nwosu</v>
      </c>
      <c r="I76" t="str">
        <v>Card</v>
      </c>
      <c r="J76">
        <v>5</v>
      </c>
      <c r="L76">
        <v>3104</v>
      </c>
      <c r="M76" s="11">
        <v>45672</v>
      </c>
      <c r="N76" t="str">
        <v>Electronics</v>
      </c>
      <c r="O76" t="str">
        <v>SmartBulb</v>
      </c>
      <c r="P76">
        <v>6</v>
      </c>
      <c r="Q76">
        <v>4000</v>
      </c>
      <c r="R76" t="str">
        <v>West</v>
      </c>
      <c r="S76" t="str">
        <v>Tunde Bakare</v>
      </c>
      <c r="T76" t="str">
        <v>Card</v>
      </c>
      <c r="U76">
        <v>0</v>
      </c>
    </row>
    <row r="77" spans="1:21" x14ac:dyDescent="0.25">
      <c r="A77">
        <v>3011</v>
      </c>
      <c r="B77" s="11">
        <v>45672</v>
      </c>
      <c r="C77" t="str">
        <v>Clothing</v>
      </c>
      <c r="D77" t="str">
        <v>Sneakers</v>
      </c>
      <c r="E77">
        <v>3</v>
      </c>
      <c r="F77">
        <v>25000</v>
      </c>
      <c r="G77" t="str">
        <v>East</v>
      </c>
      <c r="H77" t="str">
        <v>Femi Adebayo</v>
      </c>
      <c r="I77" t="str">
        <v>Cash</v>
      </c>
      <c r="J77">
        <v>0</v>
      </c>
      <c r="L77">
        <v>3119</v>
      </c>
      <c r="M77" s="11">
        <v>45687</v>
      </c>
      <c r="N77" t="str">
        <v>Electronics</v>
      </c>
      <c r="O77" t="str">
        <v>HDMICable</v>
      </c>
      <c r="P77">
        <v>6</v>
      </c>
      <c r="Q77">
        <v>4000</v>
      </c>
      <c r="R77" t="str">
        <v>East</v>
      </c>
      <c r="S77" t="str">
        <v>Femi Adebayo</v>
      </c>
      <c r="T77" t="str">
        <v>Card</v>
      </c>
      <c r="U77">
        <v>0</v>
      </c>
    </row>
    <row r="78" spans="1:21" x14ac:dyDescent="0.25">
      <c r="A78">
        <v>3012</v>
      </c>
      <c r="B78" s="11">
        <v>45672</v>
      </c>
      <c r="C78" t="str">
        <v>Furniture</v>
      </c>
      <c r="D78" t="str">
        <v>Bookshelf</v>
      </c>
      <c r="E78">
        <v>2</v>
      </c>
      <c r="F78">
        <v>45000</v>
      </c>
      <c r="G78" t="str">
        <v>West</v>
      </c>
      <c r="H78" t="str">
        <v>Tunde Bakare</v>
      </c>
      <c r="I78" t="str">
        <v>Transfer</v>
      </c>
      <c r="J78">
        <v>0</v>
      </c>
      <c r="L78">
        <v>3088</v>
      </c>
      <c r="M78" s="11">
        <v>45710</v>
      </c>
      <c r="N78" t="str">
        <v>Electronics</v>
      </c>
      <c r="O78" t="str">
        <v>ScreenProtector</v>
      </c>
      <c r="P78">
        <v>10</v>
      </c>
      <c r="Q78">
        <v>3000</v>
      </c>
      <c r="R78" t="str">
        <v>West</v>
      </c>
      <c r="S78" t="str">
        <v>Tunde Bakare</v>
      </c>
      <c r="T78" t="str">
        <v>Card</v>
      </c>
      <c r="U78">
        <v>5</v>
      </c>
    </row>
    <row r="79" spans="1:21" x14ac:dyDescent="0.25">
      <c r="A79">
        <v>3013</v>
      </c>
      <c r="B79" s="11">
        <v>45673</v>
      </c>
      <c r="C79" t="str">
        <v>Electronics</v>
      </c>
      <c r="D79" t="str">
        <v>Smartwatch</v>
      </c>
      <c r="E79">
        <v>2</v>
      </c>
      <c r="F79">
        <v>35000</v>
      </c>
      <c r="G79" t="str">
        <v>North</v>
      </c>
      <c r="H79" t="str">
        <v>Abiola Ogun</v>
      </c>
      <c r="I79" t="str">
        <v>Card</v>
      </c>
      <c r="J79">
        <v>0</v>
      </c>
      <c r="L79">
        <v>3097</v>
      </c>
      <c r="M79" s="11">
        <v>45715</v>
      </c>
      <c r="N79" t="str">
        <v>Electronics</v>
      </c>
      <c r="O79" t="str">
        <v>CableOrganizer</v>
      </c>
      <c r="P79">
        <v>6</v>
      </c>
      <c r="Q79">
        <v>3000</v>
      </c>
      <c r="R79" t="str">
        <v>North</v>
      </c>
      <c r="S79" t="str">
        <v>Abiola Ogun</v>
      </c>
      <c r="T79" t="str">
        <v>Card</v>
      </c>
      <c r="U79">
        <v>0</v>
      </c>
    </row>
    <row r="80" spans="1:21" x14ac:dyDescent="0.25">
      <c r="A80">
        <v>3014</v>
      </c>
      <c r="B80" s="11">
        <v>45673</v>
      </c>
      <c r="C80" t="str">
        <v>Clothing</v>
      </c>
      <c r="D80" t="str">
        <v>Hat</v>
      </c>
      <c r="E80">
        <v>5</v>
      </c>
      <c r="F80">
        <v>8000</v>
      </c>
      <c r="G80" t="str">
        <v>South</v>
      </c>
      <c r="H80" t="str">
        <v>Chidi Nwosu</v>
      </c>
      <c r="I80" t="str">
        <v>Cash</v>
      </c>
      <c r="J80">
        <v>5</v>
      </c>
      <c r="L80">
        <v>3125</v>
      </c>
      <c r="M80" s="11">
        <v>45693</v>
      </c>
      <c r="N80" t="str">
        <v>Electronics</v>
      </c>
      <c r="O80" t="str">
        <v>USBFan</v>
      </c>
      <c r="P80">
        <v>7</v>
      </c>
      <c r="Q80">
        <v>3000</v>
      </c>
      <c r="R80" t="str">
        <v>North</v>
      </c>
      <c r="S80" t="str">
        <v>Abiola Ogun</v>
      </c>
      <c r="T80" t="str">
        <v>Card</v>
      </c>
      <c r="U80">
        <v>0</v>
      </c>
    </row>
    <row r="81" spans="1:21" x14ac:dyDescent="0.25">
      <c r="A81">
        <v>3015</v>
      </c>
      <c r="B81" s="11">
        <v>45674</v>
      </c>
      <c r="C81" t="str">
        <v>Furniture</v>
      </c>
      <c r="D81" t="str">
        <v>Office Desk</v>
      </c>
      <c r="E81">
        <v>1</v>
      </c>
      <c r="F81">
        <v>85000</v>
      </c>
      <c r="G81" t="str">
        <v>East</v>
      </c>
      <c r="H81" t="str">
        <v>Femi Adebayo</v>
      </c>
      <c r="I81" t="str">
        <v>Transfer</v>
      </c>
      <c r="J81">
        <v>0</v>
      </c>
      <c r="L81">
        <v>3179</v>
      </c>
      <c r="M81" s="11">
        <v>45696</v>
      </c>
      <c r="N81" t="str">
        <v>Electronics</v>
      </c>
      <c r="O81" t="str">
        <v>LensCleaner</v>
      </c>
      <c r="P81">
        <v>6</v>
      </c>
      <c r="Q81">
        <v>3000</v>
      </c>
      <c r="R81" t="str">
        <v>East</v>
      </c>
      <c r="S81" t="str">
        <v>Femi Adebayo</v>
      </c>
      <c r="T81" t="str">
        <v>Card</v>
      </c>
      <c r="U81">
        <v>0</v>
      </c>
    </row>
    <row r="82" spans="1:21" x14ac:dyDescent="0.25">
      <c r="A82">
        <v>3016</v>
      </c>
      <c r="B82" s="11">
        <v>45674</v>
      </c>
      <c r="C82" t="str">
        <v>Electronics</v>
      </c>
      <c r="D82" t="str">
        <v>Monitor</v>
      </c>
      <c r="E82">
        <v>2</v>
      </c>
      <c r="F82">
        <v>120000</v>
      </c>
      <c r="G82" t="str">
        <v>West</v>
      </c>
      <c r="H82" t="str">
        <v>Tunde Bakare</v>
      </c>
      <c r="I82" t="str">
        <v>Card</v>
      </c>
      <c r="J82">
        <v>10</v>
      </c>
      <c r="L82">
        <v>3243</v>
      </c>
      <c r="M82" s="11">
        <v>45714</v>
      </c>
      <c r="N82" t="str">
        <v>Electronics</v>
      </c>
      <c r="O82" t="str">
        <v>CarMount</v>
      </c>
      <c r="P82">
        <v>6</v>
      </c>
      <c r="Q82">
        <v>3000</v>
      </c>
      <c r="R82" t="str">
        <v>East</v>
      </c>
      <c r="S82" t="str">
        <v>Femi Adebayo</v>
      </c>
      <c r="T82" t="str">
        <v>Card</v>
      </c>
      <c r="U82">
        <v>0</v>
      </c>
    </row>
    <row r="83" spans="1:21" x14ac:dyDescent="0.25">
      <c r="A83">
        <v>3017</v>
      </c>
      <c r="B83" s="11">
        <v>45675</v>
      </c>
      <c r="C83" t="str">
        <v>Clothing</v>
      </c>
      <c r="D83" t="str">
        <v>Dress</v>
      </c>
      <c r="E83">
        <v>3</v>
      </c>
      <c r="F83">
        <v>22000</v>
      </c>
      <c r="G83" t="str">
        <v>North</v>
      </c>
      <c r="H83" t="str">
        <v>Abiola Ogun</v>
      </c>
      <c r="I83" t="str">
        <v>Cash</v>
      </c>
      <c r="J83">
        <v>0</v>
      </c>
      <c r="L83">
        <v>3037</v>
      </c>
      <c r="M83" s="11">
        <v>45685</v>
      </c>
      <c r="N83" t="str">
        <v>Electronics</v>
      </c>
      <c r="O83" t="str">
        <v>USBCable</v>
      </c>
      <c r="P83">
        <v>15</v>
      </c>
      <c r="Q83">
        <v>2000</v>
      </c>
      <c r="R83" t="str">
        <v>North</v>
      </c>
      <c r="S83" t="str">
        <v>Abiola Ogun</v>
      </c>
      <c r="T83" t="str">
        <v>Card</v>
      </c>
      <c r="U83">
        <v>10</v>
      </c>
    </row>
    <row r="84" spans="1:21" x14ac:dyDescent="0.25">
      <c r="A84">
        <v>3018</v>
      </c>
      <c r="B84" s="11">
        <v>45675</v>
      </c>
      <c r="C84" t="str">
        <v>Furniture</v>
      </c>
      <c r="D84" t="str">
        <v>Wardrobe</v>
      </c>
      <c r="E84">
        <v>1</v>
      </c>
      <c r="F84">
        <v>180000</v>
      </c>
      <c r="G84" t="str">
        <v>South</v>
      </c>
      <c r="H84" t="str">
        <v>Chidi Nwosu</v>
      </c>
      <c r="I84" t="str">
        <v>Transfer</v>
      </c>
      <c r="J84">
        <v>0</v>
      </c>
      <c r="L84">
        <v>3146</v>
      </c>
      <c r="M84" s="11">
        <v>45714</v>
      </c>
      <c r="N84" t="str">
        <v>Electronics</v>
      </c>
      <c r="O84" t="str">
        <v>PhoneGrip</v>
      </c>
      <c r="P84">
        <v>10</v>
      </c>
      <c r="Q84">
        <v>2000</v>
      </c>
      <c r="R84" t="str">
        <v>South</v>
      </c>
      <c r="S84" t="str">
        <v>Chidi Nwosu</v>
      </c>
      <c r="T84" t="str">
        <v>Card</v>
      </c>
      <c r="U84">
        <v>0</v>
      </c>
    </row>
    <row r="85" spans="1:21" x14ac:dyDescent="0.25">
      <c r="A85">
        <v>3019</v>
      </c>
      <c r="B85" s="11">
        <v>45676</v>
      </c>
      <c r="C85" t="str">
        <v>Electronics</v>
      </c>
      <c r="D85" t="str">
        <v>Keyboard</v>
      </c>
      <c r="E85">
        <v>5</v>
      </c>
      <c r="F85">
        <v>15000</v>
      </c>
      <c r="G85" t="str">
        <v>East</v>
      </c>
      <c r="H85" t="str">
        <v>Femi Adebayo</v>
      </c>
      <c r="I85" t="str">
        <v>Card</v>
      </c>
      <c r="J85">
        <v>5</v>
      </c>
      <c r="L85">
        <v>3110</v>
      </c>
      <c r="M85" s="11">
        <v>45678</v>
      </c>
      <c r="N85" t="str">
        <v>Electronics</v>
      </c>
      <c r="O85" t="str">
        <v>WebcamCover</v>
      </c>
      <c r="P85">
        <v>12</v>
      </c>
      <c r="Q85">
        <v>1500</v>
      </c>
      <c r="R85" t="str">
        <v>South</v>
      </c>
      <c r="S85" t="str">
        <v>Chidi Nwosu</v>
      </c>
      <c r="T85" t="str">
        <v>Card</v>
      </c>
      <c r="U85">
        <v>0</v>
      </c>
    </row>
    <row r="86" spans="1:21" x14ac:dyDescent="0.25">
      <c r="A86">
        <v>3020</v>
      </c>
      <c r="B86" s="11">
        <v>45676</v>
      </c>
      <c r="C86" t="str">
        <v>Clothing</v>
      </c>
      <c r="D86" t="str">
        <v>Shorts</v>
      </c>
      <c r="E86">
        <v>6</v>
      </c>
      <c r="F86">
        <v>7000</v>
      </c>
      <c r="G86" t="str">
        <v>West</v>
      </c>
      <c r="H86" t="str">
        <v>Tunde Bakare</v>
      </c>
      <c r="I86" t="str">
        <v>Cash</v>
      </c>
      <c r="J86">
        <v>0</v>
      </c>
    </row>
    <row r="87" spans="1:21" x14ac:dyDescent="0.25">
      <c r="A87">
        <v>3021</v>
      </c>
      <c r="B87" s="11">
        <v>45677</v>
      </c>
      <c r="C87" t="str">
        <v>Furniture</v>
      </c>
      <c r="D87" t="str">
        <v>Sofa Set</v>
      </c>
      <c r="E87">
        <v>1</v>
      </c>
      <c r="F87">
        <v>250000</v>
      </c>
      <c r="G87" t="str">
        <v>North</v>
      </c>
      <c r="H87" t="str">
        <v>Abiola Ogun</v>
      </c>
      <c r="I87" t="str">
        <v>Transfer</v>
      </c>
      <c r="J87">
        <v>0</v>
      </c>
    </row>
    <row r="88" spans="1:21" x14ac:dyDescent="0.25">
      <c r="A88">
        <v>3022</v>
      </c>
      <c r="B88" s="11">
        <v>45677</v>
      </c>
      <c r="C88" t="str">
        <v>Electronics</v>
      </c>
      <c r="D88" t="str">
        <v>Mouse</v>
      </c>
      <c r="E88">
        <v>8</v>
      </c>
      <c r="F88">
        <v>5000</v>
      </c>
      <c r="G88" t="str">
        <v>South</v>
      </c>
      <c r="H88" t="str">
        <v>Chidi Nwosu</v>
      </c>
      <c r="I88" t="str">
        <v>Card</v>
      </c>
      <c r="J88">
        <v>10</v>
      </c>
      <c r="L88" s="9" t="s">
        <v>270</v>
      </c>
      <c r="M88" s="9"/>
      <c r="N88" s="9"/>
      <c r="O88" s="9"/>
    </row>
    <row r="89" spans="1:21" x14ac:dyDescent="0.25">
      <c r="A89">
        <v>3023</v>
      </c>
      <c r="B89" s="11">
        <v>45678</v>
      </c>
      <c r="C89" t="str">
        <v>Clothing</v>
      </c>
      <c r="D89" t="str">
        <v>Sweater</v>
      </c>
      <c r="E89">
        <v>3</v>
      </c>
      <c r="F89">
        <v>18000</v>
      </c>
      <c r="G89" t="str">
        <v>East</v>
      </c>
      <c r="H89" t="str">
        <v>Femi Adebayo</v>
      </c>
      <c r="I89" t="str">
        <v>Cash</v>
      </c>
      <c r="J89">
        <v>0</v>
      </c>
      <c r="L89" s="2" t="s">
        <v>0</v>
      </c>
      <c r="M89" s="14" t="s">
        <v>1</v>
      </c>
      <c r="N89" s="3" t="s">
        <v>2</v>
      </c>
      <c r="O89" s="3" t="s">
        <v>3</v>
      </c>
    </row>
    <row r="90" spans="1:21" x14ac:dyDescent="0.25">
      <c r="A90">
        <v>3024</v>
      </c>
      <c r="B90" s="11">
        <v>45678</v>
      </c>
      <c r="C90" t="str">
        <v>Furniture</v>
      </c>
      <c r="D90" t="str">
        <v>Nightstand</v>
      </c>
      <c r="E90">
        <v>3</v>
      </c>
      <c r="F90">
        <v>25000</v>
      </c>
      <c r="G90" t="str">
        <v>West</v>
      </c>
      <c r="H90" t="str">
        <v>Tunde Bakare</v>
      </c>
      <c r="I90" t="str">
        <v>Transfer</v>
      </c>
      <c r="J90">
        <v>5</v>
      </c>
      <c r="L90" cm="1">
        <f t="array" ref="L90:O334">_xlfn.SORTBY(deepseek_csv_20260422_7f7afa[[OrderID]:[ProductName]], deepseek_csv_20260422_7f7afa[UnitsSold], -1)</f>
        <v>3037</v>
      </c>
      <c r="M90" s="11">
        <v>45685</v>
      </c>
      <c r="N90" t="str">
        <v>Electronics</v>
      </c>
      <c r="O90" t="str">
        <v>USBCable</v>
      </c>
    </row>
    <row r="91" spans="1:21" x14ac:dyDescent="0.25">
      <c r="A91">
        <v>3025</v>
      </c>
      <c r="B91" s="11">
        <v>45679</v>
      </c>
      <c r="C91" t="str">
        <v>Electronics</v>
      </c>
      <c r="D91" t="str">
        <v>Printer</v>
      </c>
      <c r="E91">
        <v>1</v>
      </c>
      <c r="F91">
        <v>65000</v>
      </c>
      <c r="G91" t="str">
        <v>North</v>
      </c>
      <c r="H91" t="str">
        <v>Abiola Ogun</v>
      </c>
      <c r="I91" t="str">
        <v>Card</v>
      </c>
      <c r="J91">
        <v>0</v>
      </c>
      <c r="L91">
        <v>3056</v>
      </c>
      <c r="M91" s="11">
        <v>45694</v>
      </c>
      <c r="N91" t="str">
        <v>Clothing</v>
      </c>
      <c r="O91" t="str">
        <v>Socks</v>
      </c>
    </row>
    <row r="92" spans="1:21" x14ac:dyDescent="0.25">
      <c r="A92">
        <v>3026</v>
      </c>
      <c r="B92" s="11">
        <v>45679</v>
      </c>
      <c r="C92" t="str">
        <v>Clothing</v>
      </c>
      <c r="D92" t="str">
        <v>Blazer</v>
      </c>
      <c r="E92">
        <v>1</v>
      </c>
      <c r="F92">
        <v>40000</v>
      </c>
      <c r="G92" t="str">
        <v>South</v>
      </c>
      <c r="H92" t="str">
        <v>Chidi Nwosu</v>
      </c>
      <c r="I92" t="str">
        <v>Cash</v>
      </c>
      <c r="J92">
        <v>15</v>
      </c>
      <c r="L92">
        <v>3110</v>
      </c>
      <c r="M92" s="11">
        <v>45678</v>
      </c>
      <c r="N92" t="str">
        <v>Electronics</v>
      </c>
      <c r="O92" t="str">
        <v>WebcamCover</v>
      </c>
    </row>
    <row r="93" spans="1:21" x14ac:dyDescent="0.25">
      <c r="A93">
        <v>3027</v>
      </c>
      <c r="B93" s="11">
        <v>45680</v>
      </c>
      <c r="C93" t="str">
        <v>Furniture</v>
      </c>
      <c r="D93" t="str">
        <v>Coffee Table</v>
      </c>
      <c r="E93">
        <v>2</v>
      </c>
      <c r="F93">
        <v>55000</v>
      </c>
      <c r="G93" t="str">
        <v>East</v>
      </c>
      <c r="H93" t="str">
        <v>Femi Adebayo</v>
      </c>
      <c r="I93" t="str">
        <v>Transfer</v>
      </c>
      <c r="J93">
        <v>0</v>
      </c>
      <c r="L93">
        <v>3150</v>
      </c>
      <c r="M93" s="11">
        <v>45717</v>
      </c>
      <c r="N93" t="str">
        <v>Clothing</v>
      </c>
      <c r="O93" t="str">
        <v>FaceMaskPack</v>
      </c>
    </row>
    <row r="94" spans="1:21" x14ac:dyDescent="0.25">
      <c r="A94">
        <v>3028</v>
      </c>
      <c r="B94" s="11">
        <v>45680</v>
      </c>
      <c r="C94" t="str">
        <v>Electronics</v>
      </c>
      <c r="D94" t="str">
        <v>Speaker</v>
      </c>
      <c r="E94">
        <v>3</v>
      </c>
      <c r="F94">
        <v>30000</v>
      </c>
      <c r="G94" t="str">
        <v>West</v>
      </c>
      <c r="H94" t="str">
        <v>Tunde Bakare</v>
      </c>
      <c r="I94" t="str">
        <v>Card</v>
      </c>
      <c r="J94">
        <v>0</v>
      </c>
      <c r="L94">
        <v>3178</v>
      </c>
      <c r="M94" s="11">
        <v>45695</v>
      </c>
      <c r="N94" t="str">
        <v>Furniture</v>
      </c>
      <c r="O94" t="str">
        <v>WallHook</v>
      </c>
    </row>
    <row r="95" spans="1:21" x14ac:dyDescent="0.25">
      <c r="A95">
        <v>3029</v>
      </c>
      <c r="B95" s="11">
        <v>45681</v>
      </c>
      <c r="C95" t="str">
        <v>Clothing</v>
      </c>
      <c r="D95" t="str">
        <v>Skirt</v>
      </c>
      <c r="E95">
        <v>4</v>
      </c>
      <c r="F95">
        <v>12000</v>
      </c>
      <c r="G95" t="str">
        <v>North</v>
      </c>
      <c r="H95" t="str">
        <v>Abiola Ogun</v>
      </c>
      <c r="I95" t="str">
        <v>Cash</v>
      </c>
      <c r="J95">
        <v>5</v>
      </c>
      <c r="L95">
        <v>3088</v>
      </c>
      <c r="M95" s="11">
        <v>45710</v>
      </c>
      <c r="N95" t="str">
        <v>Electronics</v>
      </c>
      <c r="O95" t="str">
        <v>ScreenProtector</v>
      </c>
    </row>
    <row r="96" spans="1:21" x14ac:dyDescent="0.25">
      <c r="A96">
        <v>3030</v>
      </c>
      <c r="B96" s="11">
        <v>45681</v>
      </c>
      <c r="C96" t="str">
        <v>Furniture</v>
      </c>
      <c r="D96" t="str">
        <v>Drawer Unit</v>
      </c>
      <c r="E96">
        <v>2</v>
      </c>
      <c r="F96">
        <v>40000</v>
      </c>
      <c r="G96" t="str">
        <v>South</v>
      </c>
      <c r="H96" t="str">
        <v>Chidi Nwosu</v>
      </c>
      <c r="I96" t="str">
        <v>Transfer</v>
      </c>
      <c r="J96">
        <v>0</v>
      </c>
      <c r="L96">
        <v>3146</v>
      </c>
      <c r="M96" s="11">
        <v>45714</v>
      </c>
      <c r="N96" t="str">
        <v>Electronics</v>
      </c>
      <c r="O96" t="str">
        <v>PhoneGrip</v>
      </c>
    </row>
    <row r="97" spans="1:15" x14ac:dyDescent="0.25">
      <c r="A97">
        <v>3031</v>
      </c>
      <c r="B97" s="11">
        <v>45682</v>
      </c>
      <c r="C97" t="str">
        <v>Electronics</v>
      </c>
      <c r="D97" t="str">
        <v>Webcam</v>
      </c>
      <c r="E97">
        <v>2</v>
      </c>
      <c r="F97">
        <v>25000</v>
      </c>
      <c r="G97" t="str">
        <v>East</v>
      </c>
      <c r="H97" t="str">
        <v>Femi Adebayo</v>
      </c>
      <c r="I97" t="str">
        <v>Card</v>
      </c>
      <c r="J97">
        <v>0</v>
      </c>
      <c r="L97">
        <v>3193</v>
      </c>
      <c r="M97" s="11">
        <v>45710</v>
      </c>
      <c r="N97" t="str">
        <v>Furniture</v>
      </c>
      <c r="O97" t="str">
        <v>CoatHook</v>
      </c>
    </row>
    <row r="98" spans="1:15" x14ac:dyDescent="0.25">
      <c r="A98">
        <v>3032</v>
      </c>
      <c r="B98" s="11">
        <v>45682</v>
      </c>
      <c r="C98" t="str">
        <v>Clothing</v>
      </c>
      <c r="D98" t="str">
        <v>Cardigan</v>
      </c>
      <c r="E98">
        <v>3</v>
      </c>
      <c r="F98">
        <v>15000</v>
      </c>
      <c r="G98" t="str">
        <v>West</v>
      </c>
      <c r="H98" t="str">
        <v>Tunde Bakare</v>
      </c>
      <c r="I98" t="str">
        <v>Cash</v>
      </c>
      <c r="J98">
        <v>10</v>
      </c>
      <c r="L98">
        <v>3005</v>
      </c>
      <c r="M98" s="11">
        <v>45669</v>
      </c>
      <c r="N98" t="str">
        <v>Clothing</v>
      </c>
      <c r="O98" t="str">
        <v>TShirt</v>
      </c>
    </row>
    <row r="99" spans="1:15" x14ac:dyDescent="0.25">
      <c r="A99">
        <v>3033</v>
      </c>
      <c r="B99" s="11">
        <v>45683</v>
      </c>
      <c r="C99" t="str">
        <v>Furniture</v>
      </c>
      <c r="D99" t="str">
        <v>Shoe Rack</v>
      </c>
      <c r="E99">
        <v>2</v>
      </c>
      <c r="F99">
        <v>15000</v>
      </c>
      <c r="G99" t="str">
        <v>North</v>
      </c>
      <c r="H99" t="str">
        <v>Abiola Ogun</v>
      </c>
      <c r="I99" t="str">
        <v>Transfer</v>
      </c>
      <c r="J99">
        <v>0</v>
      </c>
      <c r="L99">
        <v>3022</v>
      </c>
      <c r="M99" s="11">
        <v>45677</v>
      </c>
      <c r="N99" t="str">
        <v>Electronics</v>
      </c>
      <c r="O99" t="str">
        <v>Mouse</v>
      </c>
    </row>
    <row r="100" spans="1:15" x14ac:dyDescent="0.25">
      <c r="A100">
        <v>3034</v>
      </c>
      <c r="B100" s="11">
        <v>45683</v>
      </c>
      <c r="C100" t="str">
        <v>Electronics</v>
      </c>
      <c r="D100" t="str">
        <v>Router</v>
      </c>
      <c r="E100">
        <v>2</v>
      </c>
      <c r="F100">
        <v>22000</v>
      </c>
      <c r="G100" t="str">
        <v>South</v>
      </c>
      <c r="H100" t="str">
        <v>Chidi Nwosu</v>
      </c>
      <c r="I100" t="str">
        <v>Card</v>
      </c>
      <c r="J100">
        <v>0</v>
      </c>
      <c r="L100">
        <v>3040</v>
      </c>
      <c r="M100" s="11">
        <v>45686</v>
      </c>
      <c r="N100" t="str">
        <v>Electronics</v>
      </c>
      <c r="O100" t="str">
        <v>Charger</v>
      </c>
    </row>
    <row r="101" spans="1:15" x14ac:dyDescent="0.25">
      <c r="A101">
        <v>3035</v>
      </c>
      <c r="B101" s="11">
        <v>45684</v>
      </c>
      <c r="C101" t="str">
        <v>Clothing</v>
      </c>
      <c r="D101" t="str">
        <v>Leggings</v>
      </c>
      <c r="E101">
        <v>6</v>
      </c>
      <c r="F101">
        <v>8000</v>
      </c>
      <c r="G101" t="str">
        <v>East</v>
      </c>
      <c r="H101" t="str">
        <v>Femi Adebayo</v>
      </c>
      <c r="I101" t="str">
        <v>Cash</v>
      </c>
      <c r="J101">
        <v>5</v>
      </c>
      <c r="L101">
        <v>3053</v>
      </c>
      <c r="M101" s="11">
        <v>45693</v>
      </c>
      <c r="N101" t="str">
        <v>Clothing</v>
      </c>
      <c r="O101" t="str">
        <v>Bracelet</v>
      </c>
    </row>
    <row r="102" spans="1:15" x14ac:dyDescent="0.25">
      <c r="A102">
        <v>3036</v>
      </c>
      <c r="B102" s="11">
        <v>45684</v>
      </c>
      <c r="C102" t="str">
        <v>Furniture</v>
      </c>
      <c r="D102" t="str">
        <v>Desk Lamp</v>
      </c>
      <c r="E102">
        <v>3</v>
      </c>
      <c r="F102">
        <v>12000</v>
      </c>
      <c r="G102" t="str">
        <v>West</v>
      </c>
      <c r="H102" t="str">
        <v>Tunde Bakare</v>
      </c>
      <c r="I102" t="str">
        <v>Transfer</v>
      </c>
      <c r="J102">
        <v>0</v>
      </c>
      <c r="L102">
        <v>3062</v>
      </c>
      <c r="M102" s="11">
        <v>45697</v>
      </c>
      <c r="N102" t="str">
        <v>Clothing</v>
      </c>
      <c r="O102" t="str">
        <v>Cap</v>
      </c>
    </row>
    <row r="103" spans="1:15" x14ac:dyDescent="0.25">
      <c r="A103">
        <v>3037</v>
      </c>
      <c r="B103" s="11">
        <v>45685</v>
      </c>
      <c r="C103" t="str">
        <v>Electronics</v>
      </c>
      <c r="D103" t="str">
        <v>USBCable</v>
      </c>
      <c r="E103">
        <v>15</v>
      </c>
      <c r="F103">
        <v>2000</v>
      </c>
      <c r="G103" t="str">
        <v>North</v>
      </c>
      <c r="H103" t="str">
        <v>Abiola Ogun</v>
      </c>
      <c r="I103" t="str">
        <v>Card</v>
      </c>
      <c r="J103">
        <v>10</v>
      </c>
      <c r="L103">
        <v>3074</v>
      </c>
      <c r="M103" s="11">
        <v>45703</v>
      </c>
      <c r="N103" t="str">
        <v>Clothing</v>
      </c>
      <c r="O103" t="str">
        <v>TankTop</v>
      </c>
    </row>
    <row r="104" spans="1:15" x14ac:dyDescent="0.25">
      <c r="A104">
        <v>3038</v>
      </c>
      <c r="B104" s="11">
        <v>45685</v>
      </c>
      <c r="C104" t="str">
        <v>Clothing</v>
      </c>
      <c r="D104" t="str">
        <v>Vest</v>
      </c>
      <c r="E104">
        <v>5</v>
      </c>
      <c r="F104">
        <v>5000</v>
      </c>
      <c r="G104" t="str">
        <v>South</v>
      </c>
      <c r="H104" t="str">
        <v>Chidi Nwosu</v>
      </c>
      <c r="I104" t="str">
        <v>Cash</v>
      </c>
      <c r="J104">
        <v>0</v>
      </c>
      <c r="L104">
        <v>3087</v>
      </c>
      <c r="M104" s="11">
        <v>45710</v>
      </c>
      <c r="N104" t="str">
        <v>Furniture</v>
      </c>
      <c r="O104" t="str">
        <v>TVRemoteHolder</v>
      </c>
    </row>
    <row r="105" spans="1:15" x14ac:dyDescent="0.25">
      <c r="A105">
        <v>3039</v>
      </c>
      <c r="B105" s="11">
        <v>45686</v>
      </c>
      <c r="C105" t="str">
        <v>Furniture</v>
      </c>
      <c r="D105" t="str">
        <v>Mirror</v>
      </c>
      <c r="E105">
        <v>2</v>
      </c>
      <c r="F105">
        <v>25000</v>
      </c>
      <c r="G105" t="str">
        <v>East</v>
      </c>
      <c r="H105" t="str">
        <v>Femi Adebayo</v>
      </c>
      <c r="I105" t="str">
        <v>Transfer</v>
      </c>
      <c r="J105">
        <v>0</v>
      </c>
      <c r="L105">
        <v>3148</v>
      </c>
      <c r="M105" s="11">
        <v>45716</v>
      </c>
      <c r="N105" t="str">
        <v>Furniture</v>
      </c>
      <c r="O105" t="str">
        <v>PlantPot</v>
      </c>
    </row>
    <row r="106" spans="1:15" x14ac:dyDescent="0.25">
      <c r="A106">
        <v>3040</v>
      </c>
      <c r="B106" s="11">
        <v>45686</v>
      </c>
      <c r="C106" t="str">
        <v>Electronics</v>
      </c>
      <c r="D106" t="str">
        <v>Charger</v>
      </c>
      <c r="E106">
        <v>8</v>
      </c>
      <c r="F106">
        <v>8000</v>
      </c>
      <c r="G106" t="str">
        <v>West</v>
      </c>
      <c r="H106" t="str">
        <v>Tunde Bakare</v>
      </c>
      <c r="I106" t="str">
        <v>Card</v>
      </c>
      <c r="J106">
        <v>5</v>
      </c>
      <c r="L106">
        <v>3177</v>
      </c>
      <c r="M106" s="11">
        <v>45694</v>
      </c>
      <c r="N106" t="str">
        <v>Clothing</v>
      </c>
      <c r="O106" t="str">
        <v>AnkleSocks</v>
      </c>
    </row>
    <row r="107" spans="1:15" x14ac:dyDescent="0.25">
      <c r="A107">
        <v>3041</v>
      </c>
      <c r="B107" s="11">
        <v>45687</v>
      </c>
      <c r="C107" t="str">
        <v>Clothing</v>
      </c>
      <c r="D107" t="str">
        <v>Scarf</v>
      </c>
      <c r="E107">
        <v>7</v>
      </c>
      <c r="F107">
        <v>3000</v>
      </c>
      <c r="G107" t="str">
        <v>North</v>
      </c>
      <c r="H107" t="str">
        <v>Abiola Ogun</v>
      </c>
      <c r="I107" t="str">
        <v>Cash</v>
      </c>
      <c r="J107">
        <v>0</v>
      </c>
      <c r="L107">
        <v>3180</v>
      </c>
      <c r="M107" s="11">
        <v>45697</v>
      </c>
      <c r="N107" t="str">
        <v>Clothing</v>
      </c>
      <c r="O107" t="str">
        <v>Headband</v>
      </c>
    </row>
    <row r="108" spans="1:15" x14ac:dyDescent="0.25">
      <c r="A108">
        <v>3042</v>
      </c>
      <c r="B108" s="11">
        <v>45687</v>
      </c>
      <c r="C108" t="str">
        <v>Furniture</v>
      </c>
      <c r="D108" t="str">
        <v>CoatRack</v>
      </c>
      <c r="E108">
        <v>2</v>
      </c>
      <c r="F108">
        <v>18000</v>
      </c>
      <c r="G108" t="str">
        <v>South</v>
      </c>
      <c r="H108" t="str">
        <v>Chidi Nwosu</v>
      </c>
      <c r="I108" t="str">
        <v>Transfer</v>
      </c>
      <c r="J108">
        <v>0</v>
      </c>
      <c r="L108">
        <v>3219</v>
      </c>
      <c r="M108" s="11">
        <v>45690</v>
      </c>
      <c r="N108" t="str">
        <v>Electronics</v>
      </c>
      <c r="O108" t="str">
        <v>MicroSDCard</v>
      </c>
    </row>
    <row r="109" spans="1:15" x14ac:dyDescent="0.25">
      <c r="A109">
        <v>3043</v>
      </c>
      <c r="B109" s="11">
        <v>45688</v>
      </c>
      <c r="C109" t="str">
        <v>Electronics</v>
      </c>
      <c r="D109" t="str">
        <v>PowerBank</v>
      </c>
      <c r="E109">
        <v>3</v>
      </c>
      <c r="F109">
        <v>15000</v>
      </c>
      <c r="G109" t="str">
        <v>East</v>
      </c>
      <c r="H109" t="str">
        <v>Femi Adebayo</v>
      </c>
      <c r="I109" t="str">
        <v>Card</v>
      </c>
      <c r="J109">
        <v>10</v>
      </c>
      <c r="L109">
        <v>3041</v>
      </c>
      <c r="M109" s="11">
        <v>45687</v>
      </c>
      <c r="N109" t="str">
        <v>Clothing</v>
      </c>
      <c r="O109" t="str">
        <v>Scarf</v>
      </c>
    </row>
    <row r="110" spans="1:15" x14ac:dyDescent="0.25">
      <c r="A110">
        <v>3044</v>
      </c>
      <c r="B110" s="11">
        <v>45688</v>
      </c>
      <c r="C110" t="str">
        <v>Clothing</v>
      </c>
      <c r="D110" t="str">
        <v>Gloves</v>
      </c>
      <c r="E110">
        <v>6</v>
      </c>
      <c r="F110">
        <v>4000</v>
      </c>
      <c r="G110" t="str">
        <v>West</v>
      </c>
      <c r="H110" t="str">
        <v>Tunde Bakare</v>
      </c>
      <c r="I110" t="str">
        <v>Cash</v>
      </c>
      <c r="J110">
        <v>0</v>
      </c>
      <c r="L110">
        <v>3071</v>
      </c>
      <c r="M110" s="11">
        <v>45702</v>
      </c>
      <c r="N110" t="str">
        <v>Clothing</v>
      </c>
      <c r="O110" t="str">
        <v>FlipFlops</v>
      </c>
    </row>
    <row r="111" spans="1:15" x14ac:dyDescent="0.25">
      <c r="A111">
        <v>3045</v>
      </c>
      <c r="B111" s="11">
        <v>45689</v>
      </c>
      <c r="C111" t="str">
        <v>Furniture</v>
      </c>
      <c r="D111" t="str">
        <v>MagazineRack</v>
      </c>
      <c r="E111">
        <v>2</v>
      </c>
      <c r="F111">
        <v>10000</v>
      </c>
      <c r="G111" t="str">
        <v>North</v>
      </c>
      <c r="H111" t="str">
        <v>Abiola Ogun</v>
      </c>
      <c r="I111" t="str">
        <v>Transfer</v>
      </c>
      <c r="J111">
        <v>5</v>
      </c>
      <c r="L111">
        <v>3078</v>
      </c>
      <c r="M111" s="11">
        <v>45705</v>
      </c>
      <c r="N111" t="str">
        <v>Furniture</v>
      </c>
      <c r="O111" t="str">
        <v>KeyHolder</v>
      </c>
    </row>
    <row r="112" spans="1:15" x14ac:dyDescent="0.25">
      <c r="A112">
        <v>3046</v>
      </c>
      <c r="B112" s="11">
        <v>45689</v>
      </c>
      <c r="C112" t="str">
        <v>Electronics</v>
      </c>
      <c r="D112" t="str">
        <v>HardDrive</v>
      </c>
      <c r="E112">
        <v>1</v>
      </c>
      <c r="F112">
        <v>55000</v>
      </c>
      <c r="G112" t="str">
        <v>South</v>
      </c>
      <c r="H112" t="str">
        <v>Chidi Nwosu</v>
      </c>
      <c r="I112" t="str">
        <v>Card</v>
      </c>
      <c r="J112">
        <v>0</v>
      </c>
      <c r="L112">
        <v>3091</v>
      </c>
      <c r="M112" s="11">
        <v>45712</v>
      </c>
      <c r="N112" t="str">
        <v>Electronics</v>
      </c>
      <c r="O112" t="str">
        <v>PhoneStand</v>
      </c>
    </row>
    <row r="113" spans="1:15" x14ac:dyDescent="0.25">
      <c r="A113">
        <v>3047</v>
      </c>
      <c r="B113" s="11">
        <v>45690</v>
      </c>
      <c r="C113" t="str">
        <v>Clothing</v>
      </c>
      <c r="D113" t="str">
        <v>Belt</v>
      </c>
      <c r="E113">
        <v>6</v>
      </c>
      <c r="F113">
        <v>6000</v>
      </c>
      <c r="G113" t="str">
        <v>East</v>
      </c>
      <c r="H113" t="str">
        <v>Femi Adebayo</v>
      </c>
      <c r="I113" t="str">
        <v>Cash</v>
      </c>
      <c r="J113">
        <v>0</v>
      </c>
      <c r="L113">
        <v>3125</v>
      </c>
      <c r="M113" s="11">
        <v>45693</v>
      </c>
      <c r="N113" t="str">
        <v>Electronics</v>
      </c>
      <c r="O113" t="str">
        <v>USBFan</v>
      </c>
    </row>
    <row r="114" spans="1:15" x14ac:dyDescent="0.25">
      <c r="A114">
        <v>3048</v>
      </c>
      <c r="B114" s="11">
        <v>45690</v>
      </c>
      <c r="C114" t="str">
        <v>Furniture</v>
      </c>
      <c r="D114" t="str">
        <v>FilingCabinet</v>
      </c>
      <c r="E114">
        <v>1</v>
      </c>
      <c r="F114">
        <v>35000</v>
      </c>
      <c r="G114" t="str">
        <v>West</v>
      </c>
      <c r="H114" t="str">
        <v>Tunde Bakare</v>
      </c>
      <c r="I114" t="str">
        <v>Transfer</v>
      </c>
      <c r="J114">
        <v>10</v>
      </c>
      <c r="L114">
        <v>3144</v>
      </c>
      <c r="M114" s="11">
        <v>45712</v>
      </c>
      <c r="N114" t="str">
        <v>Clothing</v>
      </c>
      <c r="O114" t="str">
        <v>CardHolder</v>
      </c>
    </row>
    <row r="115" spans="1:15" x14ac:dyDescent="0.25">
      <c r="A115">
        <v>3049</v>
      </c>
      <c r="B115" s="11">
        <v>45691</v>
      </c>
      <c r="C115" t="str">
        <v>Electronics</v>
      </c>
      <c r="D115" t="str">
        <v>Microphone</v>
      </c>
      <c r="E115">
        <v>2</v>
      </c>
      <c r="F115">
        <v>20000</v>
      </c>
      <c r="G115" t="str">
        <v>North</v>
      </c>
      <c r="H115" t="str">
        <v>Abiola Ogun</v>
      </c>
      <c r="I115" t="str">
        <v>Card</v>
      </c>
      <c r="J115">
        <v>0</v>
      </c>
      <c r="L115">
        <v>3235</v>
      </c>
      <c r="M115" s="11">
        <v>45706</v>
      </c>
      <c r="N115" t="str">
        <v>Clothing</v>
      </c>
      <c r="O115" t="str">
        <v>Leggings</v>
      </c>
    </row>
    <row r="116" spans="1:15" x14ac:dyDescent="0.25">
      <c r="A116">
        <v>3050</v>
      </c>
      <c r="B116" s="11">
        <v>45691</v>
      </c>
      <c r="C116" t="str">
        <v>Clothing</v>
      </c>
      <c r="D116" t="str">
        <v>Slippers</v>
      </c>
      <c r="E116">
        <v>5</v>
      </c>
      <c r="F116">
        <v>7000</v>
      </c>
      <c r="G116" t="str">
        <v>South</v>
      </c>
      <c r="H116" t="str">
        <v>Chidi Nwosu</v>
      </c>
      <c r="I116" t="str">
        <v>Cash</v>
      </c>
      <c r="J116">
        <v>0</v>
      </c>
      <c r="L116">
        <v>3020</v>
      </c>
      <c r="M116" s="11">
        <v>45676</v>
      </c>
      <c r="N116" t="str">
        <v>Clothing</v>
      </c>
      <c r="O116" t="str">
        <v>Shorts</v>
      </c>
    </row>
    <row r="117" spans="1:15" x14ac:dyDescent="0.25">
      <c r="A117">
        <v>3051</v>
      </c>
      <c r="B117" s="11">
        <v>45692</v>
      </c>
      <c r="C117" t="str">
        <v>Furniture</v>
      </c>
      <c r="D117" t="str">
        <v>BeanBag</v>
      </c>
      <c r="E117">
        <v>3</v>
      </c>
      <c r="F117">
        <v>25000</v>
      </c>
      <c r="G117" t="str">
        <v>East</v>
      </c>
      <c r="H117" t="str">
        <v>Femi Adebayo</v>
      </c>
      <c r="I117" t="str">
        <v>Transfer</v>
      </c>
      <c r="J117">
        <v>5</v>
      </c>
      <c r="L117">
        <v>3035</v>
      </c>
      <c r="M117" s="11">
        <v>45684</v>
      </c>
      <c r="N117" t="str">
        <v>Clothing</v>
      </c>
      <c r="O117" t="str">
        <v>Leggings</v>
      </c>
    </row>
    <row r="118" spans="1:15" x14ac:dyDescent="0.25">
      <c r="A118">
        <v>3052</v>
      </c>
      <c r="B118" s="11">
        <v>45692</v>
      </c>
      <c r="C118" t="str">
        <v>Electronics</v>
      </c>
      <c r="D118" t="str">
        <v>Camera</v>
      </c>
      <c r="E118">
        <v>1</v>
      </c>
      <c r="F118">
        <v>180000</v>
      </c>
      <c r="G118" t="str">
        <v>West</v>
      </c>
      <c r="H118" t="str">
        <v>Tunde Bakare</v>
      </c>
      <c r="I118" t="str">
        <v>Card</v>
      </c>
      <c r="J118">
        <v>0</v>
      </c>
      <c r="L118">
        <v>3044</v>
      </c>
      <c r="M118" s="11">
        <v>45688</v>
      </c>
      <c r="N118" t="str">
        <v>Clothing</v>
      </c>
      <c r="O118" t="str">
        <v>Gloves</v>
      </c>
    </row>
    <row r="119" spans="1:15" x14ac:dyDescent="0.25">
      <c r="A119">
        <v>3053</v>
      </c>
      <c r="B119" s="11">
        <v>45693</v>
      </c>
      <c r="C119" t="str">
        <v>Clothing</v>
      </c>
      <c r="D119" t="str">
        <v>Bracelet</v>
      </c>
      <c r="E119">
        <v>8</v>
      </c>
      <c r="F119">
        <v>5000</v>
      </c>
      <c r="G119" t="str">
        <v>North</v>
      </c>
      <c r="H119" t="str">
        <v>Abiola Ogun</v>
      </c>
      <c r="I119" t="str">
        <v>Cash</v>
      </c>
      <c r="J119">
        <v>10</v>
      </c>
      <c r="L119">
        <v>3047</v>
      </c>
      <c r="M119" s="11">
        <v>45690</v>
      </c>
      <c r="N119" t="str">
        <v>Clothing</v>
      </c>
      <c r="O119" t="str">
        <v>Belt</v>
      </c>
    </row>
    <row r="120" spans="1:15" x14ac:dyDescent="0.25">
      <c r="A120">
        <v>3054</v>
      </c>
      <c r="B120" s="11">
        <v>45693</v>
      </c>
      <c r="C120" t="str">
        <v>Furniture</v>
      </c>
      <c r="D120" t="str">
        <v>WallClock</v>
      </c>
      <c r="E120">
        <v>3</v>
      </c>
      <c r="F120">
        <v>12000</v>
      </c>
      <c r="G120" t="str">
        <v>South</v>
      </c>
      <c r="H120" t="str">
        <v>Chidi Nwosu</v>
      </c>
      <c r="I120" t="str">
        <v>Transfer</v>
      </c>
      <c r="J120">
        <v>0</v>
      </c>
      <c r="L120">
        <v>3059</v>
      </c>
      <c r="M120" s="11">
        <v>45696</v>
      </c>
      <c r="N120" t="str">
        <v>Clothing</v>
      </c>
      <c r="O120" t="str">
        <v>Necklace</v>
      </c>
    </row>
    <row r="121" spans="1:15" x14ac:dyDescent="0.25">
      <c r="A121">
        <v>3055</v>
      </c>
      <c r="B121" s="11">
        <v>45694</v>
      </c>
      <c r="C121" t="str">
        <v>Electronics</v>
      </c>
      <c r="D121" t="str">
        <v>Headset</v>
      </c>
      <c r="E121">
        <v>4</v>
      </c>
      <c r="F121">
        <v>15000</v>
      </c>
      <c r="G121" t="str">
        <v>East</v>
      </c>
      <c r="H121" t="str">
        <v>Femi Adebayo</v>
      </c>
      <c r="I121" t="str">
        <v>Card</v>
      </c>
      <c r="J121">
        <v>0</v>
      </c>
      <c r="L121">
        <v>3089</v>
      </c>
      <c r="M121" s="11">
        <v>45711</v>
      </c>
      <c r="N121" t="str">
        <v>Clothing</v>
      </c>
      <c r="O121" t="str">
        <v>Necktie</v>
      </c>
    </row>
    <row r="122" spans="1:15" x14ac:dyDescent="0.25">
      <c r="A122">
        <v>3056</v>
      </c>
      <c r="B122" s="11">
        <v>45694</v>
      </c>
      <c r="C122" t="str">
        <v>Clothing</v>
      </c>
      <c r="D122" t="str">
        <v>Socks</v>
      </c>
      <c r="E122">
        <v>12</v>
      </c>
      <c r="F122">
        <v>2000</v>
      </c>
      <c r="G122" t="str">
        <v>West</v>
      </c>
      <c r="H122" t="str">
        <v>Tunde Bakare</v>
      </c>
      <c r="I122" t="str">
        <v>Cash</v>
      </c>
      <c r="J122">
        <v>5</v>
      </c>
      <c r="L122">
        <v>3097</v>
      </c>
      <c r="M122" s="11">
        <v>45715</v>
      </c>
      <c r="N122" t="str">
        <v>Electronics</v>
      </c>
      <c r="O122" t="str">
        <v>CableOrganizer</v>
      </c>
    </row>
    <row r="123" spans="1:15" x14ac:dyDescent="0.25">
      <c r="A123">
        <v>3057</v>
      </c>
      <c r="B123" s="11">
        <v>45695</v>
      </c>
      <c r="C123" t="str">
        <v>Furniture</v>
      </c>
      <c r="D123" t="str">
        <v>PlantStand</v>
      </c>
      <c r="E123">
        <v>3</v>
      </c>
      <c r="F123">
        <v>8000</v>
      </c>
      <c r="G123" t="str">
        <v>North</v>
      </c>
      <c r="H123" t="str">
        <v>Abiola Ogun</v>
      </c>
      <c r="I123" t="str">
        <v>Transfer</v>
      </c>
      <c r="J123">
        <v>0</v>
      </c>
      <c r="L123">
        <v>3104</v>
      </c>
      <c r="M123" s="11">
        <v>45672</v>
      </c>
      <c r="N123" t="str">
        <v>Electronics</v>
      </c>
      <c r="O123" t="str">
        <v>SmartBulb</v>
      </c>
    </row>
    <row r="124" spans="1:15" x14ac:dyDescent="0.25">
      <c r="A124">
        <v>3058</v>
      </c>
      <c r="B124" s="11">
        <v>45695</v>
      </c>
      <c r="C124" t="str">
        <v>Electronics</v>
      </c>
      <c r="D124" t="str">
        <v>GraphicsTablet</v>
      </c>
      <c r="E124">
        <v>1</v>
      </c>
      <c r="F124">
        <v>45000</v>
      </c>
      <c r="G124" t="str">
        <v>South</v>
      </c>
      <c r="H124" t="str">
        <v>Chidi Nwosu</v>
      </c>
      <c r="I124" t="str">
        <v>Card</v>
      </c>
      <c r="J124">
        <v>0</v>
      </c>
      <c r="L124">
        <v>3119</v>
      </c>
      <c r="M124" s="11">
        <v>45687</v>
      </c>
      <c r="N124" t="str">
        <v>Electronics</v>
      </c>
      <c r="O124" t="str">
        <v>HDMICable</v>
      </c>
    </row>
    <row r="125" spans="1:15" x14ac:dyDescent="0.25">
      <c r="A125">
        <v>3059</v>
      </c>
      <c r="B125" s="11">
        <v>45696</v>
      </c>
      <c r="C125" t="str">
        <v>Clothing</v>
      </c>
      <c r="D125" t="str">
        <v>Necklace</v>
      </c>
      <c r="E125">
        <v>6</v>
      </c>
      <c r="F125">
        <v>8000</v>
      </c>
      <c r="G125" t="str">
        <v>East</v>
      </c>
      <c r="H125" t="str">
        <v>Femi Adebayo</v>
      </c>
      <c r="I125" t="str">
        <v>Cash</v>
      </c>
      <c r="J125">
        <v>5</v>
      </c>
      <c r="L125">
        <v>3135</v>
      </c>
      <c r="M125" s="11">
        <v>45703</v>
      </c>
      <c r="N125" t="str">
        <v>Clothing</v>
      </c>
      <c r="O125" t="str">
        <v>CropTop</v>
      </c>
    </row>
    <row r="126" spans="1:15" x14ac:dyDescent="0.25">
      <c r="A126">
        <v>3060</v>
      </c>
      <c r="B126" s="11">
        <v>45696</v>
      </c>
      <c r="C126" t="str">
        <v>Furniture</v>
      </c>
      <c r="D126" t="str">
        <v>BarStool</v>
      </c>
      <c r="E126">
        <v>4</v>
      </c>
      <c r="F126">
        <v>20000</v>
      </c>
      <c r="G126" t="str">
        <v>West</v>
      </c>
      <c r="H126" t="str">
        <v>Tunde Bakare</v>
      </c>
      <c r="I126" t="str">
        <v>Transfer</v>
      </c>
      <c r="J126">
        <v>0</v>
      </c>
      <c r="L126">
        <v>3138</v>
      </c>
      <c r="M126" s="11">
        <v>45706</v>
      </c>
      <c r="N126" t="str">
        <v>Clothing</v>
      </c>
      <c r="O126" t="str">
        <v>BermudaShorts</v>
      </c>
    </row>
    <row r="127" spans="1:15" x14ac:dyDescent="0.25">
      <c r="A127">
        <v>3061</v>
      </c>
      <c r="B127" s="11">
        <v>45697</v>
      </c>
      <c r="C127" t="str">
        <v>Electronics</v>
      </c>
      <c r="D127" t="str">
        <v>SmartLight</v>
      </c>
      <c r="E127">
        <v>5</v>
      </c>
      <c r="F127">
        <v>8000</v>
      </c>
      <c r="G127" t="str">
        <v>North</v>
      </c>
      <c r="H127" t="str">
        <v>Abiola Ogun</v>
      </c>
      <c r="I127" t="str">
        <v>Card</v>
      </c>
      <c r="J127">
        <v>10</v>
      </c>
      <c r="L127">
        <v>3143</v>
      </c>
      <c r="M127" s="11">
        <v>45711</v>
      </c>
      <c r="N127" t="str">
        <v>Electronics</v>
      </c>
      <c r="O127" t="str">
        <v>LightningCable</v>
      </c>
    </row>
    <row r="128" spans="1:15" x14ac:dyDescent="0.25">
      <c r="A128">
        <v>3062</v>
      </c>
      <c r="B128" s="11">
        <v>45697</v>
      </c>
      <c r="C128" t="str">
        <v>Clothing</v>
      </c>
      <c r="D128" t="str">
        <v>Cap</v>
      </c>
      <c r="E128">
        <v>8</v>
      </c>
      <c r="F128">
        <v>4000</v>
      </c>
      <c r="G128" t="str">
        <v>South</v>
      </c>
      <c r="H128" t="str">
        <v>Chidi Nwosu</v>
      </c>
      <c r="I128" t="str">
        <v>Cash</v>
      </c>
      <c r="J128">
        <v>0</v>
      </c>
      <c r="L128">
        <v>3147</v>
      </c>
      <c r="M128" s="11">
        <v>45715</v>
      </c>
      <c r="N128" t="str">
        <v>Clothing</v>
      </c>
      <c r="O128" t="str">
        <v>BowTie</v>
      </c>
    </row>
    <row r="129" spans="1:15" x14ac:dyDescent="0.25">
      <c r="A129">
        <v>3063</v>
      </c>
      <c r="B129" s="11">
        <v>45698</v>
      </c>
      <c r="C129" t="str">
        <v>Furniture</v>
      </c>
      <c r="D129" t="str">
        <v>Rug</v>
      </c>
      <c r="E129">
        <v>2</v>
      </c>
      <c r="F129">
        <v>45000</v>
      </c>
      <c r="G129" t="str">
        <v>East</v>
      </c>
      <c r="H129" t="str">
        <v>Femi Adebayo</v>
      </c>
      <c r="I129" t="str">
        <v>Transfer</v>
      </c>
      <c r="J129">
        <v>0</v>
      </c>
      <c r="L129">
        <v>3151</v>
      </c>
      <c r="M129" s="11">
        <v>45668</v>
      </c>
      <c r="N129" t="str">
        <v>Furniture</v>
      </c>
      <c r="O129" t="str">
        <v>PictureFrame</v>
      </c>
    </row>
    <row r="130" spans="1:15" x14ac:dyDescent="0.25">
      <c r="A130">
        <v>3064</v>
      </c>
      <c r="B130" s="11">
        <v>45698</v>
      </c>
      <c r="C130" t="str">
        <v>Electronics</v>
      </c>
      <c r="D130" t="str">
        <v>FitnessTracker</v>
      </c>
      <c r="E130">
        <v>2</v>
      </c>
      <c r="F130">
        <v>25000</v>
      </c>
      <c r="G130" t="str">
        <v>West</v>
      </c>
      <c r="H130" t="str">
        <v>Tunde Bakare</v>
      </c>
      <c r="I130" t="str">
        <v>Card</v>
      </c>
      <c r="J130">
        <v>5</v>
      </c>
      <c r="L130">
        <v>3157</v>
      </c>
      <c r="M130" s="11">
        <v>45674</v>
      </c>
      <c r="N130" t="str">
        <v>Furniture</v>
      </c>
      <c r="O130" t="str">
        <v>Cushion</v>
      </c>
    </row>
    <row r="131" spans="1:15" x14ac:dyDescent="0.25">
      <c r="A131">
        <v>3065</v>
      </c>
      <c r="B131" s="11">
        <v>45699</v>
      </c>
      <c r="C131" t="str">
        <v>Clothing</v>
      </c>
      <c r="D131" t="str">
        <v>Handbag</v>
      </c>
      <c r="E131">
        <v>1</v>
      </c>
      <c r="F131">
        <v>35000</v>
      </c>
      <c r="G131" t="str">
        <v>North</v>
      </c>
      <c r="H131" t="str">
        <v>Abiola Ogun</v>
      </c>
      <c r="I131" t="str">
        <v>Cash</v>
      </c>
      <c r="J131">
        <v>0</v>
      </c>
      <c r="L131">
        <v>3163</v>
      </c>
      <c r="M131" s="11">
        <v>45680</v>
      </c>
      <c r="N131" t="str">
        <v>Furniture</v>
      </c>
      <c r="O131" t="str">
        <v>BathMat</v>
      </c>
    </row>
    <row r="132" spans="1:15" x14ac:dyDescent="0.25">
      <c r="A132">
        <v>3066</v>
      </c>
      <c r="B132" s="11">
        <v>45699</v>
      </c>
      <c r="C132" t="str">
        <v>Furniture</v>
      </c>
      <c r="D132" t="str">
        <v>TVStand</v>
      </c>
      <c r="E132">
        <v>1</v>
      </c>
      <c r="F132">
        <v>65000</v>
      </c>
      <c r="G132" t="str">
        <v>South</v>
      </c>
      <c r="H132" t="str">
        <v>Chidi Nwosu</v>
      </c>
      <c r="I132" t="str">
        <v>Transfer</v>
      </c>
      <c r="J132">
        <v>15</v>
      </c>
      <c r="L132">
        <v>3179</v>
      </c>
      <c r="M132" s="11">
        <v>45696</v>
      </c>
      <c r="N132" t="str">
        <v>Electronics</v>
      </c>
      <c r="O132" t="str">
        <v>LensCleaner</v>
      </c>
    </row>
    <row r="133" spans="1:15" x14ac:dyDescent="0.25">
      <c r="A133">
        <v>3067</v>
      </c>
      <c r="B133" s="11">
        <v>45700</v>
      </c>
      <c r="C133" t="str">
        <v>Electronics</v>
      </c>
      <c r="D133" t="str">
        <v>Projector</v>
      </c>
      <c r="E133">
        <v>1</v>
      </c>
      <c r="F133">
        <v>250000</v>
      </c>
      <c r="G133" t="str">
        <v>East</v>
      </c>
      <c r="H133" t="str">
        <v>Femi Adebayo</v>
      </c>
      <c r="I133" t="str">
        <v>Card</v>
      </c>
      <c r="J133">
        <v>0</v>
      </c>
      <c r="L133">
        <v>3229</v>
      </c>
      <c r="M133" s="11">
        <v>45700</v>
      </c>
      <c r="N133" t="str">
        <v>Clothing</v>
      </c>
      <c r="O133" t="str">
        <v>FlipFlops</v>
      </c>
    </row>
    <row r="134" spans="1:15" x14ac:dyDescent="0.25">
      <c r="A134">
        <v>3068</v>
      </c>
      <c r="B134" s="11">
        <v>45700</v>
      </c>
      <c r="C134" t="str">
        <v>Clothing</v>
      </c>
      <c r="D134" t="str">
        <v>PoloShirt</v>
      </c>
      <c r="E134">
        <v>4</v>
      </c>
      <c r="F134">
        <v>10000</v>
      </c>
      <c r="G134" t="str">
        <v>West</v>
      </c>
      <c r="H134" t="str">
        <v>Tunde Bakare</v>
      </c>
      <c r="I134" t="str">
        <v>Cash</v>
      </c>
      <c r="J134">
        <v>5</v>
      </c>
      <c r="L134">
        <v>3239</v>
      </c>
      <c r="M134" s="11">
        <v>45710</v>
      </c>
      <c r="N134" t="str">
        <v>Furniture</v>
      </c>
      <c r="O134" t="str">
        <v>FloatingShelf</v>
      </c>
    </row>
    <row r="135" spans="1:15" x14ac:dyDescent="0.25">
      <c r="A135">
        <v>3069</v>
      </c>
      <c r="B135" s="11">
        <v>45701</v>
      </c>
      <c r="C135" t="str">
        <v>Furniture</v>
      </c>
      <c r="D135" t="str">
        <v>LaundryBasket</v>
      </c>
      <c r="E135">
        <v>3</v>
      </c>
      <c r="F135">
        <v>8000</v>
      </c>
      <c r="G135" t="str">
        <v>North</v>
      </c>
      <c r="H135" t="str">
        <v>Abiola Ogun</v>
      </c>
      <c r="I135" t="str">
        <v>Transfer</v>
      </c>
      <c r="J135">
        <v>0</v>
      </c>
      <c r="L135">
        <v>3243</v>
      </c>
      <c r="M135" s="11">
        <v>45714</v>
      </c>
      <c r="N135" t="str">
        <v>Electronics</v>
      </c>
      <c r="O135" t="str">
        <v>CarMount</v>
      </c>
    </row>
    <row r="136" spans="1:15" x14ac:dyDescent="0.25">
      <c r="A136">
        <v>3070</v>
      </c>
      <c r="B136" s="11">
        <v>45701</v>
      </c>
      <c r="C136" t="str">
        <v>Electronics</v>
      </c>
      <c r="D136" t="str">
        <v>ExternalBattery</v>
      </c>
      <c r="E136">
        <v>3</v>
      </c>
      <c r="F136">
        <v>12000</v>
      </c>
      <c r="G136" t="str">
        <v>South</v>
      </c>
      <c r="H136" t="str">
        <v>Chidi Nwosu</v>
      </c>
      <c r="I136" t="str">
        <v>Card</v>
      </c>
      <c r="J136">
        <v>0</v>
      </c>
      <c r="L136">
        <v>3002</v>
      </c>
      <c r="M136" s="11">
        <v>45667</v>
      </c>
      <c r="N136" t="str">
        <v>Clothing</v>
      </c>
      <c r="O136" t="str">
        <v>Jeans</v>
      </c>
    </row>
    <row r="137" spans="1:15" x14ac:dyDescent="0.25">
      <c r="A137">
        <v>3071</v>
      </c>
      <c r="B137" s="11">
        <v>45702</v>
      </c>
      <c r="C137" t="str">
        <v>Clothing</v>
      </c>
      <c r="D137" t="str">
        <v>FlipFlops</v>
      </c>
      <c r="E137">
        <v>7</v>
      </c>
      <c r="F137">
        <v>5000</v>
      </c>
      <c r="G137" t="str">
        <v>East</v>
      </c>
      <c r="H137" t="str">
        <v>Femi Adebayo</v>
      </c>
      <c r="I137" t="str">
        <v>Cash</v>
      </c>
      <c r="J137">
        <v>10</v>
      </c>
      <c r="L137">
        <v>3014</v>
      </c>
      <c r="M137" s="11">
        <v>45673</v>
      </c>
      <c r="N137" t="str">
        <v>Clothing</v>
      </c>
      <c r="O137" t="str">
        <v>Hat</v>
      </c>
    </row>
    <row r="138" spans="1:15" x14ac:dyDescent="0.25">
      <c r="A138">
        <v>3072</v>
      </c>
      <c r="B138" s="11">
        <v>45702</v>
      </c>
      <c r="C138" t="str">
        <v>Furniture</v>
      </c>
      <c r="D138" t="str">
        <v>Stool</v>
      </c>
      <c r="E138">
        <v>5</v>
      </c>
      <c r="F138">
        <v>7000</v>
      </c>
      <c r="G138" t="str">
        <v>West</v>
      </c>
      <c r="H138" t="str">
        <v>Tunde Bakare</v>
      </c>
      <c r="I138" t="str">
        <v>Transfer</v>
      </c>
      <c r="J138">
        <v>0</v>
      </c>
      <c r="L138">
        <v>3019</v>
      </c>
      <c r="M138" s="11">
        <v>45676</v>
      </c>
      <c r="N138" t="str">
        <v>Electronics</v>
      </c>
      <c r="O138" t="str">
        <v>Keyboard</v>
      </c>
    </row>
    <row r="139" spans="1:15" x14ac:dyDescent="0.25">
      <c r="A139">
        <v>3073</v>
      </c>
      <c r="B139" s="11">
        <v>45703</v>
      </c>
      <c r="C139" t="str">
        <v>Electronics</v>
      </c>
      <c r="D139" t="str">
        <v>VRHeadset</v>
      </c>
      <c r="E139">
        <v>1</v>
      </c>
      <c r="F139">
        <v>150000</v>
      </c>
      <c r="G139" t="str">
        <v>North</v>
      </c>
      <c r="H139" t="str">
        <v>Abiola Ogun</v>
      </c>
      <c r="I139" t="str">
        <v>Card</v>
      </c>
      <c r="J139">
        <v>0</v>
      </c>
      <c r="L139">
        <v>3038</v>
      </c>
      <c r="M139" s="11">
        <v>45685</v>
      </c>
      <c r="N139" t="str">
        <v>Clothing</v>
      </c>
      <c r="O139" t="str">
        <v>Vest</v>
      </c>
    </row>
    <row r="140" spans="1:15" x14ac:dyDescent="0.25">
      <c r="A140">
        <v>3074</v>
      </c>
      <c r="B140" s="11">
        <v>45703</v>
      </c>
      <c r="C140" t="str">
        <v>Clothing</v>
      </c>
      <c r="D140" t="str">
        <v>TankTop</v>
      </c>
      <c r="E140">
        <v>8</v>
      </c>
      <c r="F140">
        <v>4000</v>
      </c>
      <c r="G140" t="str">
        <v>South</v>
      </c>
      <c r="H140" t="str">
        <v>Chidi Nwosu</v>
      </c>
      <c r="I140" t="str">
        <v>Cash</v>
      </c>
      <c r="J140">
        <v>5</v>
      </c>
      <c r="L140">
        <v>3050</v>
      </c>
      <c r="M140" s="11">
        <v>45691</v>
      </c>
      <c r="N140" t="str">
        <v>Clothing</v>
      </c>
      <c r="O140" t="str">
        <v>Slippers</v>
      </c>
    </row>
    <row r="141" spans="1:15" x14ac:dyDescent="0.25">
      <c r="A141">
        <v>3075</v>
      </c>
      <c r="B141" s="11">
        <v>45704</v>
      </c>
      <c r="C141" t="str">
        <v>Furniture</v>
      </c>
      <c r="D141" t="str">
        <v>Curtains</v>
      </c>
      <c r="E141">
        <v>3</v>
      </c>
      <c r="F141">
        <v>20000</v>
      </c>
      <c r="G141" t="str">
        <v>East</v>
      </c>
      <c r="H141" t="str">
        <v>Femi Adebayo</v>
      </c>
      <c r="I141" t="str">
        <v>Transfer</v>
      </c>
      <c r="J141">
        <v>0</v>
      </c>
      <c r="L141">
        <v>3061</v>
      </c>
      <c r="M141" s="11">
        <v>45697</v>
      </c>
      <c r="N141" t="str">
        <v>Electronics</v>
      </c>
      <c r="O141" t="str">
        <v>SmartLight</v>
      </c>
    </row>
    <row r="142" spans="1:15" x14ac:dyDescent="0.25">
      <c r="A142">
        <v>3076</v>
      </c>
      <c r="B142" s="11">
        <v>45704</v>
      </c>
      <c r="C142" t="str">
        <v>Electronics</v>
      </c>
      <c r="D142" t="str">
        <v>USBHub</v>
      </c>
      <c r="E142">
        <v>4</v>
      </c>
      <c r="F142">
        <v>6000</v>
      </c>
      <c r="G142" t="str">
        <v>West</v>
      </c>
      <c r="H142" t="str">
        <v>Tunde Bakare</v>
      </c>
      <c r="I142" t="str">
        <v>Card</v>
      </c>
      <c r="J142">
        <v>0</v>
      </c>
      <c r="L142">
        <v>3072</v>
      </c>
      <c r="M142" s="11">
        <v>45702</v>
      </c>
      <c r="N142" t="str">
        <v>Furniture</v>
      </c>
      <c r="O142" t="str">
        <v>Stool</v>
      </c>
    </row>
    <row r="143" spans="1:15" x14ac:dyDescent="0.25">
      <c r="A143">
        <v>3077</v>
      </c>
      <c r="B143" s="11">
        <v>45705</v>
      </c>
      <c r="C143" t="str">
        <v>Clothing</v>
      </c>
      <c r="D143" t="str">
        <v>Sandals</v>
      </c>
      <c r="E143">
        <v>3</v>
      </c>
      <c r="F143">
        <v>12000</v>
      </c>
      <c r="G143" t="str">
        <v>North</v>
      </c>
      <c r="H143" t="str">
        <v>Abiola Ogun</v>
      </c>
      <c r="I143" t="str">
        <v>Cash</v>
      </c>
      <c r="J143">
        <v>5</v>
      </c>
      <c r="L143">
        <v>3106</v>
      </c>
      <c r="M143" s="11">
        <v>45674</v>
      </c>
      <c r="N143" t="str">
        <v>Furniture</v>
      </c>
      <c r="O143" t="str">
        <v>PatioChair</v>
      </c>
    </row>
    <row r="144" spans="1:15" x14ac:dyDescent="0.25">
      <c r="A144">
        <v>3078</v>
      </c>
      <c r="B144" s="11">
        <v>45705</v>
      </c>
      <c r="C144" t="str">
        <v>Furniture</v>
      </c>
      <c r="D144" t="str">
        <v>KeyHolder</v>
      </c>
      <c r="E144">
        <v>7</v>
      </c>
      <c r="F144">
        <v>3000</v>
      </c>
      <c r="G144" t="str">
        <v>South</v>
      </c>
      <c r="H144" t="str">
        <v>Chidi Nwosu</v>
      </c>
      <c r="I144" t="str">
        <v>Transfer</v>
      </c>
      <c r="J144">
        <v>0</v>
      </c>
      <c r="L144">
        <v>3107</v>
      </c>
      <c r="M144" s="11">
        <v>45675</v>
      </c>
      <c r="N144" t="str">
        <v>Electronics</v>
      </c>
      <c r="O144" t="str">
        <v>WirelessMouse</v>
      </c>
    </row>
    <row r="145" spans="1:15" x14ac:dyDescent="0.25">
      <c r="A145">
        <v>3079</v>
      </c>
      <c r="B145" s="11">
        <v>45706</v>
      </c>
      <c r="C145" t="str">
        <v>Electronics</v>
      </c>
      <c r="D145" t="str">
        <v>CardReader</v>
      </c>
      <c r="E145">
        <v>2</v>
      </c>
      <c r="F145">
        <v>15000</v>
      </c>
      <c r="G145" t="str">
        <v>East</v>
      </c>
      <c r="H145" t="str">
        <v>Femi Adebayo</v>
      </c>
      <c r="I145" t="str">
        <v>Card</v>
      </c>
      <c r="J145">
        <v>0</v>
      </c>
      <c r="L145">
        <v>3114</v>
      </c>
      <c r="M145" s="11">
        <v>45682</v>
      </c>
      <c r="N145" t="str">
        <v>Clothing</v>
      </c>
      <c r="O145" t="str">
        <v>Blouse</v>
      </c>
    </row>
    <row r="146" spans="1:15" x14ac:dyDescent="0.25">
      <c r="A146">
        <v>3080</v>
      </c>
      <c r="B146" s="11">
        <v>45706</v>
      </c>
      <c r="C146" t="str">
        <v>Clothing</v>
      </c>
      <c r="D146" t="str">
        <v>Watch</v>
      </c>
      <c r="E146">
        <v>1</v>
      </c>
      <c r="F146">
        <v>25000</v>
      </c>
      <c r="G146" t="str">
        <v>West</v>
      </c>
      <c r="H146" t="str">
        <v>Tunde Bakare</v>
      </c>
      <c r="I146" t="str">
        <v>Cash</v>
      </c>
      <c r="J146">
        <v>10</v>
      </c>
      <c r="L146">
        <v>3118</v>
      </c>
      <c r="M146" s="11">
        <v>45686</v>
      </c>
      <c r="N146" t="str">
        <v>Furniture</v>
      </c>
      <c r="O146" t="str">
        <v>BeanBagCover</v>
      </c>
    </row>
    <row r="147" spans="1:15" x14ac:dyDescent="0.25">
      <c r="A147">
        <v>3081</v>
      </c>
      <c r="B147" s="11">
        <v>45707</v>
      </c>
      <c r="C147" t="str">
        <v>Furniture</v>
      </c>
      <c r="D147" t="str">
        <v>WallShelf</v>
      </c>
      <c r="E147">
        <v>3</v>
      </c>
      <c r="F147">
        <v>12000</v>
      </c>
      <c r="G147" t="str">
        <v>North</v>
      </c>
      <c r="H147" t="str">
        <v>Abiola Ogun</v>
      </c>
      <c r="I147" t="str">
        <v>Transfer</v>
      </c>
      <c r="J147">
        <v>0</v>
      </c>
      <c r="L147">
        <v>3128</v>
      </c>
      <c r="M147" s="11">
        <v>45696</v>
      </c>
      <c r="N147" t="str">
        <v>Electronics</v>
      </c>
      <c r="O147" t="str">
        <v>MemoryCard</v>
      </c>
    </row>
    <row r="148" spans="1:15" x14ac:dyDescent="0.25">
      <c r="A148">
        <v>3082</v>
      </c>
      <c r="B148" s="11">
        <v>45707</v>
      </c>
      <c r="C148" t="str">
        <v>Electronics</v>
      </c>
      <c r="D148" t="str">
        <v>SmartPlug</v>
      </c>
      <c r="E148">
        <v>4</v>
      </c>
      <c r="F148">
        <v>8000</v>
      </c>
      <c r="G148" t="str">
        <v>South</v>
      </c>
      <c r="H148" t="str">
        <v>Chidi Nwosu</v>
      </c>
      <c r="I148" t="str">
        <v>Card</v>
      </c>
      <c r="J148">
        <v>0</v>
      </c>
      <c r="L148">
        <v>3133</v>
      </c>
      <c r="M148" s="11">
        <v>45701</v>
      </c>
      <c r="N148" t="str">
        <v>Furniture</v>
      </c>
      <c r="O148" t="str">
        <v>MagazineHolder</v>
      </c>
    </row>
    <row r="149" spans="1:15" x14ac:dyDescent="0.25">
      <c r="A149">
        <v>3083</v>
      </c>
      <c r="B149" s="11">
        <v>45708</v>
      </c>
      <c r="C149" t="str">
        <v>Clothing</v>
      </c>
      <c r="D149" t="str">
        <v>Raincoat</v>
      </c>
      <c r="E149">
        <v>1</v>
      </c>
      <c r="F149">
        <v>18000</v>
      </c>
      <c r="G149" t="str">
        <v>East</v>
      </c>
      <c r="H149" t="str">
        <v>Femi Adebayo</v>
      </c>
      <c r="I149" t="str">
        <v>Cash</v>
      </c>
      <c r="J149">
        <v>5</v>
      </c>
      <c r="L149">
        <v>3139</v>
      </c>
      <c r="M149" s="11">
        <v>45707</v>
      </c>
      <c r="N149" t="str">
        <v>Furniture</v>
      </c>
      <c r="O149" t="str">
        <v>ShowerCaddy</v>
      </c>
    </row>
    <row r="150" spans="1:15" x14ac:dyDescent="0.25">
      <c r="A150">
        <v>3084</v>
      </c>
      <c r="B150" s="11">
        <v>45708</v>
      </c>
      <c r="C150" t="str">
        <v>Furniture</v>
      </c>
      <c r="D150" t="str">
        <v>PetBed</v>
      </c>
      <c r="E150">
        <v>3</v>
      </c>
      <c r="F150">
        <v>10000</v>
      </c>
      <c r="G150" t="str">
        <v>West</v>
      </c>
      <c r="H150" t="str">
        <v>Tunde Bakare</v>
      </c>
      <c r="I150" t="str">
        <v>Transfer</v>
      </c>
      <c r="J150">
        <v>0</v>
      </c>
      <c r="L150">
        <v>3145</v>
      </c>
      <c r="M150" s="11">
        <v>45713</v>
      </c>
      <c r="N150" t="str">
        <v>Furniture</v>
      </c>
      <c r="O150" t="str">
        <v>LetterTray</v>
      </c>
    </row>
    <row r="151" spans="1:15" x14ac:dyDescent="0.25">
      <c r="A151">
        <v>3085</v>
      </c>
      <c r="B151" s="11">
        <v>45709</v>
      </c>
      <c r="C151" t="str">
        <v>Electronics</v>
      </c>
      <c r="D151" t="str">
        <v>DockingStation</v>
      </c>
      <c r="E151">
        <v>1</v>
      </c>
      <c r="F151">
        <v>25000</v>
      </c>
      <c r="G151" t="str">
        <v>North</v>
      </c>
      <c r="H151" t="str">
        <v>Abiola Ogun</v>
      </c>
      <c r="I151" t="str">
        <v>Card</v>
      </c>
      <c r="J151">
        <v>0</v>
      </c>
      <c r="L151">
        <v>3149</v>
      </c>
      <c r="M151" s="11">
        <v>45717</v>
      </c>
      <c r="N151" t="str">
        <v>Electronics</v>
      </c>
      <c r="O151" t="str">
        <v>TabletStand</v>
      </c>
    </row>
    <row r="152" spans="1:15" x14ac:dyDescent="0.25">
      <c r="A152">
        <v>3086</v>
      </c>
      <c r="B152" s="11">
        <v>45709</v>
      </c>
      <c r="C152" t="str">
        <v>Clothing</v>
      </c>
      <c r="D152" t="str">
        <v>Pyjamas</v>
      </c>
      <c r="E152">
        <v>4</v>
      </c>
      <c r="F152">
        <v>9000</v>
      </c>
      <c r="G152" t="str">
        <v>South</v>
      </c>
      <c r="H152" t="str">
        <v>Chidi Nwosu</v>
      </c>
      <c r="I152" t="str">
        <v>Cash</v>
      </c>
      <c r="J152">
        <v>10</v>
      </c>
      <c r="L152">
        <v>3153</v>
      </c>
      <c r="M152" s="11">
        <v>45670</v>
      </c>
      <c r="N152" t="str">
        <v>Clothing</v>
      </c>
      <c r="O152" t="str">
        <v>SportsBra</v>
      </c>
    </row>
    <row r="153" spans="1:15" x14ac:dyDescent="0.25">
      <c r="A153">
        <v>3087</v>
      </c>
      <c r="B153" s="11">
        <v>45710</v>
      </c>
      <c r="C153" t="str">
        <v>Furniture</v>
      </c>
      <c r="D153" t="str">
        <v>TVRemoteHolder</v>
      </c>
      <c r="E153">
        <v>8</v>
      </c>
      <c r="F153">
        <v>2000</v>
      </c>
      <c r="G153" t="str">
        <v>East</v>
      </c>
      <c r="H153" t="str">
        <v>Femi Adebayo</v>
      </c>
      <c r="I153" t="str">
        <v>Transfer</v>
      </c>
      <c r="J153">
        <v>0</v>
      </c>
      <c r="L153">
        <v>3161</v>
      </c>
      <c r="M153" s="11">
        <v>45678</v>
      </c>
      <c r="N153" t="str">
        <v>Electronics</v>
      </c>
      <c r="O153" t="str">
        <v>CarCharger</v>
      </c>
    </row>
    <row r="154" spans="1:15" x14ac:dyDescent="0.25">
      <c r="A154">
        <v>3088</v>
      </c>
      <c r="B154" s="11">
        <v>45710</v>
      </c>
      <c r="C154" t="str">
        <v>Electronics</v>
      </c>
      <c r="D154" t="str">
        <v>ScreenProtector</v>
      </c>
      <c r="E154">
        <v>10</v>
      </c>
      <c r="F154">
        <v>3000</v>
      </c>
      <c r="G154" t="str">
        <v>West</v>
      </c>
      <c r="H154" t="str">
        <v>Tunde Bakare</v>
      </c>
      <c r="I154" t="str">
        <v>Card</v>
      </c>
      <c r="J154">
        <v>5</v>
      </c>
      <c r="L154">
        <v>3171</v>
      </c>
      <c r="M154" s="11">
        <v>45688</v>
      </c>
      <c r="N154" t="str">
        <v>Clothing</v>
      </c>
      <c r="O154" t="str">
        <v>LegWarmers</v>
      </c>
    </row>
    <row r="155" spans="1:15" x14ac:dyDescent="0.25">
      <c r="A155">
        <v>3089</v>
      </c>
      <c r="B155" s="11">
        <v>45711</v>
      </c>
      <c r="C155" t="str">
        <v>Clothing</v>
      </c>
      <c r="D155" t="str">
        <v>Necktie</v>
      </c>
      <c r="E155">
        <v>6</v>
      </c>
      <c r="F155">
        <v>5000</v>
      </c>
      <c r="G155" t="str">
        <v>North</v>
      </c>
      <c r="H155" t="str">
        <v>Abiola Ogun</v>
      </c>
      <c r="I155" t="str">
        <v>Cash</v>
      </c>
      <c r="J155">
        <v>0</v>
      </c>
      <c r="L155">
        <v>3176</v>
      </c>
      <c r="M155" s="11">
        <v>45693</v>
      </c>
      <c r="N155" t="str">
        <v>Electronics</v>
      </c>
      <c r="O155" t="str">
        <v>SelfieStick</v>
      </c>
    </row>
    <row r="156" spans="1:15" x14ac:dyDescent="0.25">
      <c r="A156">
        <v>3090</v>
      </c>
      <c r="B156" s="11">
        <v>45711</v>
      </c>
      <c r="C156" t="str">
        <v>Furniture</v>
      </c>
      <c r="D156" t="str">
        <v>FoldableTable</v>
      </c>
      <c r="E156">
        <v>3</v>
      </c>
      <c r="F156">
        <v>15000</v>
      </c>
      <c r="G156" t="str">
        <v>South</v>
      </c>
      <c r="H156" t="str">
        <v>Chidi Nwosu</v>
      </c>
      <c r="I156" t="str">
        <v>Transfer</v>
      </c>
      <c r="J156">
        <v>0</v>
      </c>
      <c r="L156">
        <v>3182</v>
      </c>
      <c r="M156" s="11">
        <v>45699</v>
      </c>
      <c r="N156" t="str">
        <v>Electronics</v>
      </c>
      <c r="O156" t="str">
        <v>ExtensionCord</v>
      </c>
    </row>
    <row r="157" spans="1:15" x14ac:dyDescent="0.25">
      <c r="A157">
        <v>3091</v>
      </c>
      <c r="B157" s="11">
        <v>45712</v>
      </c>
      <c r="C157" t="str">
        <v>Electronics</v>
      </c>
      <c r="D157" t="str">
        <v>PhoneStand</v>
      </c>
      <c r="E157">
        <v>7</v>
      </c>
      <c r="F157">
        <v>4000</v>
      </c>
      <c r="G157" t="str">
        <v>East</v>
      </c>
      <c r="H157" t="str">
        <v>Femi Adebayo</v>
      </c>
      <c r="I157" t="str">
        <v>Card</v>
      </c>
      <c r="J157">
        <v>5</v>
      </c>
      <c r="L157">
        <v>3192</v>
      </c>
      <c r="M157" s="11">
        <v>45709</v>
      </c>
      <c r="N157" t="str">
        <v>Clothing</v>
      </c>
      <c r="O157" t="str">
        <v>BaseballCap</v>
      </c>
    </row>
    <row r="158" spans="1:15" x14ac:dyDescent="0.25">
      <c r="A158">
        <v>3092</v>
      </c>
      <c r="B158" s="11">
        <v>45712</v>
      </c>
      <c r="C158" t="str">
        <v>Clothing</v>
      </c>
      <c r="D158" t="str">
        <v>Suspenders</v>
      </c>
      <c r="E158">
        <v>3</v>
      </c>
      <c r="F158">
        <v>6000</v>
      </c>
      <c r="G158" t="str">
        <v>West</v>
      </c>
      <c r="H158" t="str">
        <v>Tunde Bakare</v>
      </c>
      <c r="I158" t="str">
        <v>Cash</v>
      </c>
      <c r="J158">
        <v>0</v>
      </c>
      <c r="L158">
        <v>3198</v>
      </c>
      <c r="M158" s="11">
        <v>45715</v>
      </c>
      <c r="N158" t="str">
        <v>Clothing</v>
      </c>
      <c r="O158" t="str">
        <v>Hijab</v>
      </c>
    </row>
    <row r="159" spans="1:15" x14ac:dyDescent="0.25">
      <c r="A159">
        <v>3093</v>
      </c>
      <c r="B159" s="11">
        <v>45713</v>
      </c>
      <c r="C159" t="str">
        <v>Furniture</v>
      </c>
      <c r="D159" t="str">
        <v>VanityStool</v>
      </c>
      <c r="E159">
        <v>2</v>
      </c>
      <c r="F159">
        <v>18000</v>
      </c>
      <c r="G159" t="str">
        <v>North</v>
      </c>
      <c r="H159" t="str">
        <v>Abiola Ogun</v>
      </c>
      <c r="I159" t="str">
        <v>Transfer</v>
      </c>
      <c r="J159">
        <v>0</v>
      </c>
      <c r="L159">
        <v>3214</v>
      </c>
      <c r="M159" s="11">
        <v>45685</v>
      </c>
      <c r="N159" t="str">
        <v>Clothing</v>
      </c>
      <c r="O159" t="str">
        <v>JeansShorts</v>
      </c>
    </row>
    <row r="160" spans="1:15" x14ac:dyDescent="0.25">
      <c r="A160">
        <v>3094</v>
      </c>
      <c r="B160" s="11">
        <v>45713</v>
      </c>
      <c r="C160" t="str">
        <v>Electronics</v>
      </c>
      <c r="D160" t="str">
        <v>SmartScale</v>
      </c>
      <c r="E160">
        <v>2</v>
      </c>
      <c r="F160">
        <v>22000</v>
      </c>
      <c r="G160" t="str">
        <v>South</v>
      </c>
      <c r="H160" t="str">
        <v>Chidi Nwosu</v>
      </c>
      <c r="I160" t="str">
        <v>Card</v>
      </c>
      <c r="J160">
        <v>10</v>
      </c>
      <c r="L160">
        <v>3230</v>
      </c>
      <c r="M160" s="11">
        <v>45701</v>
      </c>
      <c r="N160" t="str">
        <v>Furniture</v>
      </c>
      <c r="O160" t="str">
        <v>DrawerOrganizer</v>
      </c>
    </row>
    <row r="161" spans="1:15" x14ac:dyDescent="0.25">
      <c r="A161">
        <v>3095</v>
      </c>
      <c r="B161" s="11">
        <v>45714</v>
      </c>
      <c r="C161" t="str">
        <v>Clothing</v>
      </c>
      <c r="D161" t="str">
        <v>Kaftan</v>
      </c>
      <c r="E161">
        <v>3</v>
      </c>
      <c r="F161">
        <v>25000</v>
      </c>
      <c r="G161" t="str">
        <v>East</v>
      </c>
      <c r="H161" t="str">
        <v>Femi Adebayo</v>
      </c>
      <c r="I161" t="str">
        <v>Cash</v>
      </c>
      <c r="J161">
        <v>0</v>
      </c>
      <c r="L161">
        <v>3241</v>
      </c>
      <c r="M161" s="11">
        <v>45712</v>
      </c>
      <c r="N161" t="str">
        <v>Clothing</v>
      </c>
      <c r="O161" t="str">
        <v>Suspenders</v>
      </c>
    </row>
    <row r="162" spans="1:15" x14ac:dyDescent="0.25">
      <c r="A162">
        <v>3096</v>
      </c>
      <c r="B162" s="11">
        <v>45714</v>
      </c>
      <c r="C162" t="str">
        <v>Furniture</v>
      </c>
      <c r="D162" t="str">
        <v>WallArt</v>
      </c>
      <c r="E162">
        <v>4</v>
      </c>
      <c r="F162">
        <v>15000</v>
      </c>
      <c r="G162" t="str">
        <v>West</v>
      </c>
      <c r="H162" t="str">
        <v>Tunde Bakare</v>
      </c>
      <c r="I162" t="str">
        <v>Transfer</v>
      </c>
      <c r="J162">
        <v>5</v>
      </c>
      <c r="L162">
        <v>3029</v>
      </c>
      <c r="M162" s="11">
        <v>45681</v>
      </c>
      <c r="N162" t="str">
        <v>Clothing</v>
      </c>
      <c r="O162" t="str">
        <v>Skirt</v>
      </c>
    </row>
    <row r="163" spans="1:15" x14ac:dyDescent="0.25">
      <c r="A163">
        <v>3097</v>
      </c>
      <c r="B163" s="11">
        <v>45715</v>
      </c>
      <c r="C163" t="str">
        <v>Electronics</v>
      </c>
      <c r="D163" t="str">
        <v>CableOrganizer</v>
      </c>
      <c r="E163">
        <v>6</v>
      </c>
      <c r="F163">
        <v>3000</v>
      </c>
      <c r="G163" t="str">
        <v>North</v>
      </c>
      <c r="H163" t="str">
        <v>Abiola Ogun</v>
      </c>
      <c r="I163" t="str">
        <v>Card</v>
      </c>
      <c r="J163">
        <v>0</v>
      </c>
      <c r="L163">
        <v>3055</v>
      </c>
      <c r="M163" s="11">
        <v>45694</v>
      </c>
      <c r="N163" t="str">
        <v>Electronics</v>
      </c>
      <c r="O163" t="str">
        <v>Headset</v>
      </c>
    </row>
    <row r="164" spans="1:15" x14ac:dyDescent="0.25">
      <c r="A164">
        <v>3098</v>
      </c>
      <c r="B164" s="11">
        <v>45715</v>
      </c>
      <c r="C164" t="str">
        <v>Clothing</v>
      </c>
      <c r="D164" t="str">
        <v>Cufflinks</v>
      </c>
      <c r="E164">
        <v>4</v>
      </c>
      <c r="F164">
        <v>8000</v>
      </c>
      <c r="G164" t="str">
        <v>South</v>
      </c>
      <c r="H164" t="str">
        <v>Chidi Nwosu</v>
      </c>
      <c r="I164" t="str">
        <v>Cash</v>
      </c>
      <c r="J164">
        <v>0</v>
      </c>
      <c r="L164">
        <v>3060</v>
      </c>
      <c r="M164" s="11">
        <v>45696</v>
      </c>
      <c r="N164" t="str">
        <v>Furniture</v>
      </c>
      <c r="O164" t="str">
        <v>BarStool</v>
      </c>
    </row>
    <row r="165" spans="1:15" x14ac:dyDescent="0.25">
      <c r="A165">
        <v>3099</v>
      </c>
      <c r="B165" s="11">
        <v>45716</v>
      </c>
      <c r="C165" t="str">
        <v>Furniture</v>
      </c>
      <c r="D165" t="str">
        <v>FloorLamp</v>
      </c>
      <c r="E165">
        <v>2</v>
      </c>
      <c r="F165">
        <v>25000</v>
      </c>
      <c r="G165" t="str">
        <v>East</v>
      </c>
      <c r="H165" t="str">
        <v>Femi Adebayo</v>
      </c>
      <c r="I165" t="str">
        <v>Transfer</v>
      </c>
      <c r="J165">
        <v>5</v>
      </c>
      <c r="L165">
        <v>3068</v>
      </c>
      <c r="M165" s="11">
        <v>45700</v>
      </c>
      <c r="N165" t="str">
        <v>Clothing</v>
      </c>
      <c r="O165" t="str">
        <v>PoloShirt</v>
      </c>
    </row>
    <row r="166" spans="1:15" x14ac:dyDescent="0.25">
      <c r="A166">
        <v>3100</v>
      </c>
      <c r="B166" s="11">
        <v>45716</v>
      </c>
      <c r="C166" t="str">
        <v>Electronics</v>
      </c>
      <c r="D166" t="str">
        <v>AirPurifier</v>
      </c>
      <c r="E166">
        <v>1</v>
      </c>
      <c r="F166">
        <v>85000</v>
      </c>
      <c r="G166" t="str">
        <v>West</v>
      </c>
      <c r="H166" t="str">
        <v>Tunde Bakare</v>
      </c>
      <c r="I166" t="str">
        <v>Card</v>
      </c>
      <c r="J166">
        <v>0</v>
      </c>
      <c r="L166">
        <v>3076</v>
      </c>
      <c r="M166" s="11">
        <v>45704</v>
      </c>
      <c r="N166" t="str">
        <v>Electronics</v>
      </c>
      <c r="O166" t="str">
        <v>USBHub</v>
      </c>
    </row>
    <row r="167" spans="1:15" x14ac:dyDescent="0.25">
      <c r="A167">
        <v>3101</v>
      </c>
      <c r="B167" s="11">
        <v>45669</v>
      </c>
      <c r="C167" t="str">
        <v>Electronics</v>
      </c>
      <c r="D167" t="str">
        <v>BluetoothSpeaker</v>
      </c>
      <c r="E167">
        <v>3</v>
      </c>
      <c r="F167">
        <v>35000</v>
      </c>
      <c r="G167" t="str">
        <v>North</v>
      </c>
      <c r="H167" t="str">
        <v>Abiola Ogun</v>
      </c>
      <c r="I167" t="str">
        <v>Card</v>
      </c>
      <c r="J167">
        <v>10</v>
      </c>
      <c r="L167">
        <v>3082</v>
      </c>
      <c r="M167" s="11">
        <v>45707</v>
      </c>
      <c r="N167" t="str">
        <v>Electronics</v>
      </c>
      <c r="O167" t="str">
        <v>SmartPlug</v>
      </c>
    </row>
    <row r="168" spans="1:15" x14ac:dyDescent="0.25">
      <c r="A168">
        <v>3102</v>
      </c>
      <c r="B168" s="11">
        <v>45670</v>
      </c>
      <c r="C168" t="str">
        <v>Clothing</v>
      </c>
      <c r="D168" t="str">
        <v>MaxiDress</v>
      </c>
      <c r="E168">
        <v>2</v>
      </c>
      <c r="F168">
        <v>28000</v>
      </c>
      <c r="G168" t="str">
        <v>South</v>
      </c>
      <c r="H168" t="str">
        <v>Chidi Nwosu</v>
      </c>
      <c r="I168" t="str">
        <v>Cash</v>
      </c>
      <c r="J168">
        <v>0</v>
      </c>
      <c r="L168">
        <v>3086</v>
      </c>
      <c r="M168" s="11">
        <v>45709</v>
      </c>
      <c r="N168" t="str">
        <v>Clothing</v>
      </c>
      <c r="O168" t="str">
        <v>Pyjamas</v>
      </c>
    </row>
    <row r="169" spans="1:15" x14ac:dyDescent="0.25">
      <c r="A169">
        <v>3103</v>
      </c>
      <c r="B169" s="11">
        <v>45671</v>
      </c>
      <c r="C169" t="str">
        <v>Furniture</v>
      </c>
      <c r="D169" t="str">
        <v>OfficeStool</v>
      </c>
      <c r="E169">
        <v>4</v>
      </c>
      <c r="F169">
        <v>12000</v>
      </c>
      <c r="G169" t="str">
        <v>East</v>
      </c>
      <c r="H169" t="str">
        <v>Femi Adebayo</v>
      </c>
      <c r="I169" t="str">
        <v>Transfer</v>
      </c>
      <c r="J169">
        <v>5</v>
      </c>
      <c r="L169">
        <v>3096</v>
      </c>
      <c r="M169" s="11">
        <v>45714</v>
      </c>
      <c r="N169" t="str">
        <v>Furniture</v>
      </c>
      <c r="O169" t="str">
        <v>WallArt</v>
      </c>
    </row>
    <row r="170" spans="1:15" x14ac:dyDescent="0.25">
      <c r="A170">
        <v>3104</v>
      </c>
      <c r="B170" s="11">
        <v>45672</v>
      </c>
      <c r="C170" t="str">
        <v>Electronics</v>
      </c>
      <c r="D170" t="str">
        <v>SmartBulb</v>
      </c>
      <c r="E170">
        <v>6</v>
      </c>
      <c r="F170">
        <v>4000</v>
      </c>
      <c r="G170" t="str">
        <v>West</v>
      </c>
      <c r="H170" t="str">
        <v>Tunde Bakare</v>
      </c>
      <c r="I170" t="str">
        <v>Card</v>
      </c>
      <c r="J170">
        <v>0</v>
      </c>
      <c r="L170">
        <v>3098</v>
      </c>
      <c r="M170" s="11">
        <v>45715</v>
      </c>
      <c r="N170" t="str">
        <v>Clothing</v>
      </c>
      <c r="O170" t="str">
        <v>Cufflinks</v>
      </c>
    </row>
    <row r="171" spans="1:15" x14ac:dyDescent="0.25">
      <c r="A171">
        <v>3105</v>
      </c>
      <c r="B171" s="11">
        <v>45673</v>
      </c>
      <c r="C171" t="str">
        <v>Clothing</v>
      </c>
      <c r="D171" t="str">
        <v>Hoodie</v>
      </c>
      <c r="E171">
        <v>3</v>
      </c>
      <c r="F171">
        <v>22000</v>
      </c>
      <c r="G171" t="str">
        <v>North</v>
      </c>
      <c r="H171" t="str">
        <v>Abiola Ogun</v>
      </c>
      <c r="I171" t="str">
        <v>Cash</v>
      </c>
      <c r="J171">
        <v>0</v>
      </c>
      <c r="L171">
        <v>3103</v>
      </c>
      <c r="M171" s="11">
        <v>45671</v>
      </c>
      <c r="N171" t="str">
        <v>Furniture</v>
      </c>
      <c r="O171" t="str">
        <v>OfficeStool</v>
      </c>
    </row>
    <row r="172" spans="1:15" x14ac:dyDescent="0.25">
      <c r="A172">
        <v>3106</v>
      </c>
      <c r="B172" s="11">
        <v>45674</v>
      </c>
      <c r="C172" t="str">
        <v>Furniture</v>
      </c>
      <c r="D172" t="str">
        <v>PatioChair</v>
      </c>
      <c r="E172">
        <v>5</v>
      </c>
      <c r="F172">
        <v>18000</v>
      </c>
      <c r="G172" t="str">
        <v>South</v>
      </c>
      <c r="H172" t="str">
        <v>Chidi Nwosu</v>
      </c>
      <c r="I172" t="str">
        <v>Transfer</v>
      </c>
      <c r="J172">
        <v>10</v>
      </c>
      <c r="L172">
        <v>3123</v>
      </c>
      <c r="M172" s="11">
        <v>45691</v>
      </c>
      <c r="N172" t="str">
        <v>Clothing</v>
      </c>
      <c r="O172" t="str">
        <v>Chinos</v>
      </c>
    </row>
    <row r="173" spans="1:15" x14ac:dyDescent="0.25">
      <c r="A173">
        <v>3107</v>
      </c>
      <c r="B173" s="11">
        <v>45675</v>
      </c>
      <c r="C173" t="str">
        <v>Electronics</v>
      </c>
      <c r="D173" t="str">
        <v>WirelessMouse</v>
      </c>
      <c r="E173">
        <v>5</v>
      </c>
      <c r="F173">
        <v>8000</v>
      </c>
      <c r="G173" t="str">
        <v>East</v>
      </c>
      <c r="H173" t="str">
        <v>Femi Adebayo</v>
      </c>
      <c r="I173" t="str">
        <v>Card</v>
      </c>
      <c r="J173">
        <v>0</v>
      </c>
      <c r="L173">
        <v>3129</v>
      </c>
      <c r="M173" s="11">
        <v>45697</v>
      </c>
      <c r="N173" t="str">
        <v>Clothing</v>
      </c>
      <c r="O173" t="str">
        <v>Sweatpants</v>
      </c>
    </row>
    <row r="174" spans="1:15" x14ac:dyDescent="0.25">
      <c r="A174">
        <v>3108</v>
      </c>
      <c r="B174" s="11">
        <v>45676</v>
      </c>
      <c r="C174" t="str">
        <v>Clothing</v>
      </c>
      <c r="D174" t="str">
        <v>Kimono</v>
      </c>
      <c r="E174">
        <v>2</v>
      </c>
      <c r="F174">
        <v>15000</v>
      </c>
      <c r="G174" t="str">
        <v>West</v>
      </c>
      <c r="H174" t="str">
        <v>Tunde Bakare</v>
      </c>
      <c r="I174" t="str">
        <v>Cash</v>
      </c>
      <c r="J174">
        <v>5</v>
      </c>
      <c r="L174">
        <v>3152</v>
      </c>
      <c r="M174" s="11">
        <v>45669</v>
      </c>
      <c r="N174" t="str">
        <v>Electronics</v>
      </c>
      <c r="O174" t="str">
        <v>StylusPen</v>
      </c>
    </row>
    <row r="175" spans="1:15" x14ac:dyDescent="0.25">
      <c r="A175">
        <v>3109</v>
      </c>
      <c r="B175" s="11">
        <v>45677</v>
      </c>
      <c r="C175" t="str">
        <v>Furniture</v>
      </c>
      <c r="D175" t="str">
        <v>Bookcase</v>
      </c>
      <c r="E175">
        <v>2</v>
      </c>
      <c r="F175">
        <v>55000</v>
      </c>
      <c r="G175" t="str">
        <v>North</v>
      </c>
      <c r="H175" t="str">
        <v>Abiola Ogun</v>
      </c>
      <c r="I175" t="str">
        <v>Transfer</v>
      </c>
      <c r="J175">
        <v>0</v>
      </c>
      <c r="L175">
        <v>3156</v>
      </c>
      <c r="M175" s="11">
        <v>45673</v>
      </c>
      <c r="N175" t="str">
        <v>Clothing</v>
      </c>
      <c r="O175" t="str">
        <v>Sunglasses</v>
      </c>
    </row>
    <row r="176" spans="1:15" x14ac:dyDescent="0.25">
      <c r="A176">
        <v>3110</v>
      </c>
      <c r="B176" s="11">
        <v>45678</v>
      </c>
      <c r="C176" t="str">
        <v>Electronics</v>
      </c>
      <c r="D176" t="str">
        <v>WebcamCover</v>
      </c>
      <c r="E176">
        <v>12</v>
      </c>
      <c r="F176">
        <v>1500</v>
      </c>
      <c r="G176" t="str">
        <v>South</v>
      </c>
      <c r="H176" t="str">
        <v>Chidi Nwosu</v>
      </c>
      <c r="I176" t="str">
        <v>Card</v>
      </c>
      <c r="J176">
        <v>0</v>
      </c>
      <c r="L176">
        <v>3165</v>
      </c>
      <c r="M176" s="11">
        <v>45682</v>
      </c>
      <c r="N176" t="str">
        <v>Clothing</v>
      </c>
      <c r="O176" t="str">
        <v>Shawl</v>
      </c>
    </row>
    <row r="177" spans="1:15" x14ac:dyDescent="0.25">
      <c r="A177">
        <v>3111</v>
      </c>
      <c r="B177" s="11">
        <v>45679</v>
      </c>
      <c r="C177" t="str">
        <v>Clothing</v>
      </c>
      <c r="D177" t="str">
        <v>BomberJacket</v>
      </c>
      <c r="E177">
        <v>2</v>
      </c>
      <c r="F177">
        <v>45000</v>
      </c>
      <c r="G177" t="str">
        <v>East</v>
      </c>
      <c r="H177" t="str">
        <v>Femi Adebayo</v>
      </c>
      <c r="I177" t="str">
        <v>Cash</v>
      </c>
      <c r="J177">
        <v>10</v>
      </c>
      <c r="L177">
        <v>3170</v>
      </c>
      <c r="M177" s="11">
        <v>45687</v>
      </c>
      <c r="N177" t="str">
        <v>Electronics</v>
      </c>
      <c r="O177" t="str">
        <v>DigitalClock</v>
      </c>
    </row>
    <row r="178" spans="1:15" x14ac:dyDescent="0.25">
      <c r="A178">
        <v>3112</v>
      </c>
      <c r="B178" s="11">
        <v>45680</v>
      </c>
      <c r="C178" t="str">
        <v>Furniture</v>
      </c>
      <c r="D178" t="str">
        <v>StorageOttoman</v>
      </c>
      <c r="E178">
        <v>2</v>
      </c>
      <c r="F178">
        <v>35000</v>
      </c>
      <c r="G178" t="str">
        <v>West</v>
      </c>
      <c r="H178" t="str">
        <v>Tunde Bakare</v>
      </c>
      <c r="I178" t="str">
        <v>Transfer</v>
      </c>
      <c r="J178">
        <v>0</v>
      </c>
      <c r="L178">
        <v>3174</v>
      </c>
      <c r="M178" s="11">
        <v>45691</v>
      </c>
      <c r="N178" t="str">
        <v>Clothing</v>
      </c>
      <c r="O178" t="str">
        <v>CorsetTop</v>
      </c>
    </row>
    <row r="179" spans="1:15" x14ac:dyDescent="0.25">
      <c r="A179">
        <v>3113</v>
      </c>
      <c r="B179" s="11">
        <v>45681</v>
      </c>
      <c r="C179" t="str">
        <v>Electronics</v>
      </c>
      <c r="D179" t="str">
        <v>GamingMouse</v>
      </c>
      <c r="E179">
        <v>3</v>
      </c>
      <c r="F179">
        <v>25000</v>
      </c>
      <c r="G179" t="str">
        <v>North</v>
      </c>
      <c r="H179" t="str">
        <v>Abiola Ogun</v>
      </c>
      <c r="I179" t="str">
        <v>Card</v>
      </c>
      <c r="J179">
        <v>5</v>
      </c>
      <c r="L179">
        <v>3188</v>
      </c>
      <c r="M179" s="11">
        <v>45705</v>
      </c>
      <c r="N179" t="str">
        <v>Electronics</v>
      </c>
      <c r="O179" t="str">
        <v>RouterStand</v>
      </c>
    </row>
    <row r="180" spans="1:15" x14ac:dyDescent="0.25">
      <c r="A180">
        <v>3114</v>
      </c>
      <c r="B180" s="11">
        <v>45682</v>
      </c>
      <c r="C180" t="str">
        <v>Clothing</v>
      </c>
      <c r="D180" t="str">
        <v>Blouse</v>
      </c>
      <c r="E180">
        <v>5</v>
      </c>
      <c r="F180">
        <v>12000</v>
      </c>
      <c r="G180" t="str">
        <v>South</v>
      </c>
      <c r="H180" t="str">
        <v>Chidi Nwosu</v>
      </c>
      <c r="I180" t="str">
        <v>Cash</v>
      </c>
      <c r="J180">
        <v>0</v>
      </c>
      <c r="L180">
        <v>3189</v>
      </c>
      <c r="M180" s="11">
        <v>45706</v>
      </c>
      <c r="N180" t="str">
        <v>Clothing</v>
      </c>
      <c r="O180" t="str">
        <v>FannyPack</v>
      </c>
    </row>
    <row r="181" spans="1:15" x14ac:dyDescent="0.25">
      <c r="A181">
        <v>3115</v>
      </c>
      <c r="B181" s="11">
        <v>45683</v>
      </c>
      <c r="C181" t="str">
        <v>Furniture</v>
      </c>
      <c r="D181" t="str">
        <v>Futon</v>
      </c>
      <c r="E181">
        <v>2</v>
      </c>
      <c r="F181">
        <v>65000</v>
      </c>
      <c r="G181" t="str">
        <v>East</v>
      </c>
      <c r="H181" t="str">
        <v>Femi Adebayo</v>
      </c>
      <c r="I181" t="str">
        <v>Transfer</v>
      </c>
      <c r="J181">
        <v>0</v>
      </c>
      <c r="L181">
        <v>3210</v>
      </c>
      <c r="M181" s="11">
        <v>45681</v>
      </c>
      <c r="N181" t="str">
        <v>Electronics</v>
      </c>
      <c r="O181" t="str">
        <v>TabletCase</v>
      </c>
    </row>
    <row r="182" spans="1:15" x14ac:dyDescent="0.25">
      <c r="A182">
        <v>3116</v>
      </c>
      <c r="B182" s="11">
        <v>45684</v>
      </c>
      <c r="C182" t="str">
        <v>Electronics</v>
      </c>
      <c r="D182" t="str">
        <v>NoiseCancellingHeadphones</v>
      </c>
      <c r="E182">
        <v>2</v>
      </c>
      <c r="F182">
        <v>75000</v>
      </c>
      <c r="G182" t="str">
        <v>West</v>
      </c>
      <c r="H182" t="str">
        <v>Tunde Bakare</v>
      </c>
      <c r="I182" t="str">
        <v>Card</v>
      </c>
      <c r="J182">
        <v>10</v>
      </c>
      <c r="L182">
        <v>3220</v>
      </c>
      <c r="M182" s="11">
        <v>45691</v>
      </c>
      <c r="N182" t="str">
        <v>Clothing</v>
      </c>
      <c r="O182" t="str">
        <v>SilkScarf</v>
      </c>
    </row>
    <row r="183" spans="1:15" x14ac:dyDescent="0.25">
      <c r="A183">
        <v>3117</v>
      </c>
      <c r="B183" s="11">
        <v>45685</v>
      </c>
      <c r="C183" t="str">
        <v>Clothing</v>
      </c>
      <c r="D183" t="str">
        <v>Tracksuit</v>
      </c>
      <c r="E183">
        <v>3</v>
      </c>
      <c r="F183">
        <v>20000</v>
      </c>
      <c r="G183" t="str">
        <v>North</v>
      </c>
      <c r="H183" t="str">
        <v>Abiola Ogun</v>
      </c>
      <c r="I183" t="str">
        <v>Cash</v>
      </c>
      <c r="J183">
        <v>0</v>
      </c>
      <c r="L183">
        <v>3233</v>
      </c>
      <c r="M183" s="11">
        <v>45704</v>
      </c>
      <c r="N183" t="str">
        <v>Furniture</v>
      </c>
      <c r="O183" t="str">
        <v>WallClock</v>
      </c>
    </row>
    <row r="184" spans="1:15" x14ac:dyDescent="0.25">
      <c r="A184">
        <v>3118</v>
      </c>
      <c r="B184" s="11">
        <v>45686</v>
      </c>
      <c r="C184" t="str">
        <v>Furniture</v>
      </c>
      <c r="D184" t="str">
        <v>BeanBagCover</v>
      </c>
      <c r="E184">
        <v>5</v>
      </c>
      <c r="F184">
        <v>8000</v>
      </c>
      <c r="G184" t="str">
        <v>South</v>
      </c>
      <c r="H184" t="str">
        <v>Chidi Nwosu</v>
      </c>
      <c r="I184" t="str">
        <v>Transfer</v>
      </c>
      <c r="J184">
        <v>5</v>
      </c>
      <c r="L184">
        <v>3242</v>
      </c>
      <c r="M184" s="11">
        <v>45713</v>
      </c>
      <c r="N184" t="str">
        <v>Furniture</v>
      </c>
      <c r="O184" t="str">
        <v>BarStool</v>
      </c>
    </row>
    <row r="185" spans="1:15" x14ac:dyDescent="0.25">
      <c r="A185">
        <v>3119</v>
      </c>
      <c r="B185" s="11">
        <v>45687</v>
      </c>
      <c r="C185" t="str">
        <v>Electronics</v>
      </c>
      <c r="D185" t="str">
        <v>HDMICable</v>
      </c>
      <c r="E185">
        <v>6</v>
      </c>
      <c r="F185">
        <v>4000</v>
      </c>
      <c r="G185" t="str">
        <v>East</v>
      </c>
      <c r="H185" t="str">
        <v>Femi Adebayo</v>
      </c>
      <c r="I185" t="str">
        <v>Card</v>
      </c>
      <c r="J185">
        <v>0</v>
      </c>
      <c r="L185">
        <v>3244</v>
      </c>
      <c r="M185" s="11">
        <v>45715</v>
      </c>
      <c r="N185" t="str">
        <v>Clothing</v>
      </c>
      <c r="O185" t="str">
        <v>NeckGaiter</v>
      </c>
    </row>
    <row r="186" spans="1:15" x14ac:dyDescent="0.25">
      <c r="A186">
        <v>3120</v>
      </c>
      <c r="B186" s="11">
        <v>45688</v>
      </c>
      <c r="C186" t="str">
        <v>Clothing</v>
      </c>
      <c r="D186" t="str">
        <v>FlannelShirt</v>
      </c>
      <c r="E186">
        <v>3</v>
      </c>
      <c r="F186">
        <v>15000</v>
      </c>
      <c r="G186" t="str">
        <v>West</v>
      </c>
      <c r="H186" t="str">
        <v>Tunde Bakare</v>
      </c>
      <c r="I186" t="str">
        <v>Cash</v>
      </c>
      <c r="J186">
        <v>0</v>
      </c>
      <c r="L186">
        <v>3001</v>
      </c>
      <c r="M186" s="11">
        <v>45667</v>
      </c>
      <c r="N186" t="str">
        <v>Electronics</v>
      </c>
      <c r="O186" t="str">
        <v>Laptop</v>
      </c>
    </row>
    <row r="187" spans="1:15" x14ac:dyDescent="0.25">
      <c r="A187">
        <v>3121</v>
      </c>
      <c r="B187" s="11">
        <v>45689</v>
      </c>
      <c r="C187" t="str">
        <v>Furniture</v>
      </c>
      <c r="D187" t="str">
        <v>WallMirror</v>
      </c>
      <c r="E187">
        <v>2</v>
      </c>
      <c r="F187">
        <v>18000</v>
      </c>
      <c r="G187" t="str">
        <v>North</v>
      </c>
      <c r="H187" t="str">
        <v>Abiola Ogun</v>
      </c>
      <c r="I187" t="str">
        <v>Transfer</v>
      </c>
      <c r="J187">
        <v>5</v>
      </c>
      <c r="L187">
        <v>3007</v>
      </c>
      <c r="M187" s="11">
        <v>45670</v>
      </c>
      <c r="N187" t="str">
        <v>Electronics</v>
      </c>
      <c r="O187" t="str">
        <v>Headphones</v>
      </c>
    </row>
    <row r="188" spans="1:15" x14ac:dyDescent="0.25">
      <c r="A188">
        <v>3122</v>
      </c>
      <c r="B188" s="11">
        <v>45690</v>
      </c>
      <c r="C188" t="str">
        <v>Electronics</v>
      </c>
      <c r="D188" t="str">
        <v>DeskFan</v>
      </c>
      <c r="E188">
        <v>2</v>
      </c>
      <c r="F188">
        <v>12000</v>
      </c>
      <c r="G188" t="str">
        <v>South</v>
      </c>
      <c r="H188" t="str">
        <v>Chidi Nwosu</v>
      </c>
      <c r="I188" t="str">
        <v>Card</v>
      </c>
      <c r="J188">
        <v>0</v>
      </c>
      <c r="L188">
        <v>3011</v>
      </c>
      <c r="M188" s="11">
        <v>45672</v>
      </c>
      <c r="N188" t="str">
        <v>Clothing</v>
      </c>
      <c r="O188" t="str">
        <v>Sneakers</v>
      </c>
    </row>
    <row r="189" spans="1:15" x14ac:dyDescent="0.25">
      <c r="A189">
        <v>3123</v>
      </c>
      <c r="B189" s="11">
        <v>45691</v>
      </c>
      <c r="C189" t="str">
        <v>Clothing</v>
      </c>
      <c r="D189" t="str">
        <v>Chinos</v>
      </c>
      <c r="E189">
        <v>4</v>
      </c>
      <c r="F189">
        <v>18000</v>
      </c>
      <c r="G189" t="str">
        <v>East</v>
      </c>
      <c r="H189" t="str">
        <v>Femi Adebayo</v>
      </c>
      <c r="I189" t="str">
        <v>Cash</v>
      </c>
      <c r="J189">
        <v>0</v>
      </c>
      <c r="L189">
        <v>3017</v>
      </c>
      <c r="M189" s="11">
        <v>45675</v>
      </c>
      <c r="N189" t="str">
        <v>Clothing</v>
      </c>
      <c r="O189" t="str">
        <v>Dress</v>
      </c>
    </row>
    <row r="190" spans="1:15" x14ac:dyDescent="0.25">
      <c r="A190">
        <v>3124</v>
      </c>
      <c r="B190" s="11">
        <v>45692</v>
      </c>
      <c r="C190" t="str">
        <v>Furniture</v>
      </c>
      <c r="D190" t="str">
        <v>LaundryHamper</v>
      </c>
      <c r="E190">
        <v>3</v>
      </c>
      <c r="F190">
        <v>10000</v>
      </c>
      <c r="G190" t="str">
        <v>West</v>
      </c>
      <c r="H190" t="str">
        <v>Tunde Bakare</v>
      </c>
      <c r="I190" t="str">
        <v>Transfer</v>
      </c>
      <c r="J190">
        <v>10</v>
      </c>
      <c r="L190">
        <v>3023</v>
      </c>
      <c r="M190" s="11">
        <v>45678</v>
      </c>
      <c r="N190" t="str">
        <v>Clothing</v>
      </c>
      <c r="O190" t="str">
        <v>Sweater</v>
      </c>
    </row>
    <row r="191" spans="1:15" x14ac:dyDescent="0.25">
      <c r="A191">
        <v>3125</v>
      </c>
      <c r="B191" s="11">
        <v>45693</v>
      </c>
      <c r="C191" t="str">
        <v>Electronics</v>
      </c>
      <c r="D191" t="str">
        <v>USBFan</v>
      </c>
      <c r="E191">
        <v>7</v>
      </c>
      <c r="F191">
        <v>3000</v>
      </c>
      <c r="G191" t="str">
        <v>North</v>
      </c>
      <c r="H191" t="str">
        <v>Abiola Ogun</v>
      </c>
      <c r="I191" t="str">
        <v>Card</v>
      </c>
      <c r="J191">
        <v>0</v>
      </c>
      <c r="L191">
        <v>3024</v>
      </c>
      <c r="M191" s="11">
        <v>45678</v>
      </c>
      <c r="N191" t="str">
        <v>Furniture</v>
      </c>
      <c r="O191" t="str">
        <v>Nightstand</v>
      </c>
    </row>
    <row r="192" spans="1:15" x14ac:dyDescent="0.25">
      <c r="A192">
        <v>3126</v>
      </c>
      <c r="B192" s="11">
        <v>45694</v>
      </c>
      <c r="C192" t="str">
        <v>Clothing</v>
      </c>
      <c r="D192" t="str">
        <v>PufferJacket</v>
      </c>
      <c r="E192">
        <v>1</v>
      </c>
      <c r="F192">
        <v>55000</v>
      </c>
      <c r="G192" t="str">
        <v>South</v>
      </c>
      <c r="H192" t="str">
        <v>Chidi Nwosu</v>
      </c>
      <c r="I192" t="str">
        <v>Cash</v>
      </c>
      <c r="J192">
        <v>5</v>
      </c>
      <c r="L192">
        <v>3028</v>
      </c>
      <c r="M192" s="11">
        <v>45680</v>
      </c>
      <c r="N192" t="str">
        <v>Electronics</v>
      </c>
      <c r="O192" t="str">
        <v>Speaker</v>
      </c>
    </row>
    <row r="193" spans="1:15" x14ac:dyDescent="0.25">
      <c r="A193">
        <v>3127</v>
      </c>
      <c r="B193" s="11">
        <v>45695</v>
      </c>
      <c r="C193" t="str">
        <v>Furniture</v>
      </c>
      <c r="D193" t="str">
        <v>CornerShelf</v>
      </c>
      <c r="E193">
        <v>2</v>
      </c>
      <c r="F193">
        <v>22000</v>
      </c>
      <c r="G193" t="str">
        <v>East</v>
      </c>
      <c r="H193" t="str">
        <v>Femi Adebayo</v>
      </c>
      <c r="I193" t="str">
        <v>Transfer</v>
      </c>
      <c r="J193">
        <v>0</v>
      </c>
      <c r="L193">
        <v>3032</v>
      </c>
      <c r="M193" s="11">
        <v>45682</v>
      </c>
      <c r="N193" t="str">
        <v>Clothing</v>
      </c>
      <c r="O193" t="str">
        <v>Cardigan</v>
      </c>
    </row>
    <row r="194" spans="1:15" x14ac:dyDescent="0.25">
      <c r="A194">
        <v>3128</v>
      </c>
      <c r="B194" s="11">
        <v>45696</v>
      </c>
      <c r="C194" t="str">
        <v>Electronics</v>
      </c>
      <c r="D194" t="str">
        <v>MemoryCard</v>
      </c>
      <c r="E194">
        <v>5</v>
      </c>
      <c r="F194">
        <v>10000</v>
      </c>
      <c r="G194" t="str">
        <v>West</v>
      </c>
      <c r="H194" t="str">
        <v>Tunde Bakare</v>
      </c>
      <c r="I194" t="str">
        <v>Card</v>
      </c>
      <c r="J194">
        <v>0</v>
      </c>
      <c r="L194">
        <v>3036</v>
      </c>
      <c r="M194" s="11">
        <v>45684</v>
      </c>
      <c r="N194" t="str">
        <v>Furniture</v>
      </c>
      <c r="O194" t="str">
        <v>Desk Lamp</v>
      </c>
    </row>
    <row r="195" spans="1:15" x14ac:dyDescent="0.25">
      <c r="A195">
        <v>3129</v>
      </c>
      <c r="B195" s="11">
        <v>45697</v>
      </c>
      <c r="C195" t="str">
        <v>Clothing</v>
      </c>
      <c r="D195" t="str">
        <v>Sweatpants</v>
      </c>
      <c r="E195">
        <v>4</v>
      </c>
      <c r="F195">
        <v>12000</v>
      </c>
      <c r="G195" t="str">
        <v>North</v>
      </c>
      <c r="H195" t="str">
        <v>Abiola Ogun</v>
      </c>
      <c r="I195" t="str">
        <v>Cash</v>
      </c>
      <c r="J195">
        <v>5</v>
      </c>
      <c r="L195">
        <v>3043</v>
      </c>
      <c r="M195" s="11">
        <v>45688</v>
      </c>
      <c r="N195" t="str">
        <v>Electronics</v>
      </c>
      <c r="O195" t="str">
        <v>PowerBank</v>
      </c>
    </row>
    <row r="196" spans="1:15" x14ac:dyDescent="0.25">
      <c r="A196">
        <v>3130</v>
      </c>
      <c r="B196" s="11">
        <v>45698</v>
      </c>
      <c r="C196" t="str">
        <v>Furniture</v>
      </c>
      <c r="D196" t="str">
        <v>Footstool</v>
      </c>
      <c r="E196">
        <v>3</v>
      </c>
      <c r="F196">
        <v>8000</v>
      </c>
      <c r="G196" t="str">
        <v>South</v>
      </c>
      <c r="H196" t="str">
        <v>Chidi Nwosu</v>
      </c>
      <c r="I196" t="str">
        <v>Transfer</v>
      </c>
      <c r="J196">
        <v>0</v>
      </c>
      <c r="L196">
        <v>3051</v>
      </c>
      <c r="M196" s="11">
        <v>45692</v>
      </c>
      <c r="N196" t="str">
        <v>Furniture</v>
      </c>
      <c r="O196" t="str">
        <v>BeanBag</v>
      </c>
    </row>
    <row r="197" spans="1:15" x14ac:dyDescent="0.25">
      <c r="A197">
        <v>3131</v>
      </c>
      <c r="B197" s="11">
        <v>45699</v>
      </c>
      <c r="C197" t="str">
        <v>Electronics</v>
      </c>
      <c r="D197" t="str">
        <v>WirelessCharger</v>
      </c>
      <c r="E197">
        <v>3</v>
      </c>
      <c r="F197">
        <v>15000</v>
      </c>
      <c r="G197" t="str">
        <v>East</v>
      </c>
      <c r="H197" t="str">
        <v>Femi Adebayo</v>
      </c>
      <c r="I197" t="str">
        <v>Card</v>
      </c>
      <c r="J197">
        <v>0</v>
      </c>
      <c r="L197">
        <v>3054</v>
      </c>
      <c r="M197" s="11">
        <v>45693</v>
      </c>
      <c r="N197" t="str">
        <v>Furniture</v>
      </c>
      <c r="O197" t="str">
        <v>WallClock</v>
      </c>
    </row>
    <row r="198" spans="1:15" x14ac:dyDescent="0.25">
      <c r="A198">
        <v>3132</v>
      </c>
      <c r="B198" s="11">
        <v>45700</v>
      </c>
      <c r="C198" t="str">
        <v>Clothing</v>
      </c>
      <c r="D198" t="str">
        <v>Overcoat</v>
      </c>
      <c r="E198">
        <v>1</v>
      </c>
      <c r="F198">
        <v>65000</v>
      </c>
      <c r="G198" t="str">
        <v>West</v>
      </c>
      <c r="H198" t="str">
        <v>Tunde Bakare</v>
      </c>
      <c r="I198" t="str">
        <v>Cash</v>
      </c>
      <c r="J198">
        <v>10</v>
      </c>
      <c r="L198">
        <v>3057</v>
      </c>
      <c r="M198" s="11">
        <v>45695</v>
      </c>
      <c r="N198" t="str">
        <v>Furniture</v>
      </c>
      <c r="O198" t="str">
        <v>PlantStand</v>
      </c>
    </row>
    <row r="199" spans="1:15" x14ac:dyDescent="0.25">
      <c r="A199">
        <v>3133</v>
      </c>
      <c r="B199" s="11">
        <v>45701</v>
      </c>
      <c r="C199" t="str">
        <v>Furniture</v>
      </c>
      <c r="D199" t="str">
        <v>MagazineHolder</v>
      </c>
      <c r="E199">
        <v>5</v>
      </c>
      <c r="F199">
        <v>7000</v>
      </c>
      <c r="G199" t="str">
        <v>North</v>
      </c>
      <c r="H199" t="str">
        <v>Abiola Ogun</v>
      </c>
      <c r="I199" t="str">
        <v>Transfer</v>
      </c>
      <c r="J199">
        <v>0</v>
      </c>
      <c r="L199">
        <v>3069</v>
      </c>
      <c r="M199" s="11">
        <v>45701</v>
      </c>
      <c r="N199" t="str">
        <v>Furniture</v>
      </c>
      <c r="O199" t="str">
        <v>LaundryBasket</v>
      </c>
    </row>
    <row r="200" spans="1:15" x14ac:dyDescent="0.25">
      <c r="A200">
        <v>3134</v>
      </c>
      <c r="B200" s="11">
        <v>45702</v>
      </c>
      <c r="C200" t="str">
        <v>Electronics</v>
      </c>
      <c r="D200" t="str">
        <v>LaptopStand</v>
      </c>
      <c r="E200">
        <v>3</v>
      </c>
      <c r="F200">
        <v>18000</v>
      </c>
      <c r="G200" t="str">
        <v>South</v>
      </c>
      <c r="H200" t="str">
        <v>Chidi Nwosu</v>
      </c>
      <c r="I200" t="str">
        <v>Card</v>
      </c>
      <c r="J200">
        <v>5</v>
      </c>
      <c r="L200">
        <v>3070</v>
      </c>
      <c r="M200" s="11">
        <v>45701</v>
      </c>
      <c r="N200" t="str">
        <v>Electronics</v>
      </c>
      <c r="O200" t="str">
        <v>ExternalBattery</v>
      </c>
    </row>
    <row r="201" spans="1:15" x14ac:dyDescent="0.25">
      <c r="A201">
        <v>3135</v>
      </c>
      <c r="B201" s="11">
        <v>45703</v>
      </c>
      <c r="C201" t="str">
        <v>Clothing</v>
      </c>
      <c r="D201" t="str">
        <v>CropTop</v>
      </c>
      <c r="E201">
        <v>6</v>
      </c>
      <c r="F201">
        <v>6000</v>
      </c>
      <c r="G201" t="str">
        <v>East</v>
      </c>
      <c r="H201" t="str">
        <v>Femi Adebayo</v>
      </c>
      <c r="I201" t="str">
        <v>Cash</v>
      </c>
      <c r="J201">
        <v>0</v>
      </c>
      <c r="L201">
        <v>3075</v>
      </c>
      <c r="M201" s="11">
        <v>45704</v>
      </c>
      <c r="N201" t="str">
        <v>Furniture</v>
      </c>
      <c r="O201" t="str">
        <v>Curtains</v>
      </c>
    </row>
    <row r="202" spans="1:15" x14ac:dyDescent="0.25">
      <c r="A202">
        <v>3136</v>
      </c>
      <c r="B202" s="11">
        <v>45704</v>
      </c>
      <c r="C202" t="str">
        <v>Furniture</v>
      </c>
      <c r="D202" t="str">
        <v>WineRack</v>
      </c>
      <c r="E202">
        <v>2</v>
      </c>
      <c r="F202">
        <v>12000</v>
      </c>
      <c r="G202" t="str">
        <v>West</v>
      </c>
      <c r="H202" t="str">
        <v>Tunde Bakare</v>
      </c>
      <c r="I202" t="str">
        <v>Transfer</v>
      </c>
      <c r="J202">
        <v>0</v>
      </c>
      <c r="L202">
        <v>3077</v>
      </c>
      <c r="M202" s="11">
        <v>45705</v>
      </c>
      <c r="N202" t="str">
        <v>Clothing</v>
      </c>
      <c r="O202" t="str">
        <v>Sandals</v>
      </c>
    </row>
    <row r="203" spans="1:15" x14ac:dyDescent="0.25">
      <c r="A203">
        <v>3137</v>
      </c>
      <c r="B203" s="11">
        <v>45705</v>
      </c>
      <c r="C203" t="str">
        <v>Electronics</v>
      </c>
      <c r="D203" t="str">
        <v>SmartSpeaker</v>
      </c>
      <c r="E203">
        <v>2</v>
      </c>
      <c r="F203">
        <v>45000</v>
      </c>
      <c r="G203" t="str">
        <v>North</v>
      </c>
      <c r="H203" t="str">
        <v>Abiola Ogun</v>
      </c>
      <c r="I203" t="str">
        <v>Card</v>
      </c>
      <c r="J203">
        <v>10</v>
      </c>
      <c r="L203">
        <v>3081</v>
      </c>
      <c r="M203" s="11">
        <v>45707</v>
      </c>
      <c r="N203" t="str">
        <v>Furniture</v>
      </c>
      <c r="O203" t="str">
        <v>WallShelf</v>
      </c>
    </row>
    <row r="204" spans="1:15" x14ac:dyDescent="0.25">
      <c r="A204">
        <v>3138</v>
      </c>
      <c r="B204" s="11">
        <v>45706</v>
      </c>
      <c r="C204" t="str">
        <v>Clothing</v>
      </c>
      <c r="D204" t="str">
        <v>BermudaShorts</v>
      </c>
      <c r="E204">
        <v>6</v>
      </c>
      <c r="F204">
        <v>8000</v>
      </c>
      <c r="G204" t="str">
        <v>South</v>
      </c>
      <c r="H204" t="str">
        <v>Chidi Nwosu</v>
      </c>
      <c r="I204" t="str">
        <v>Cash</v>
      </c>
      <c r="J204">
        <v>0</v>
      </c>
      <c r="L204">
        <v>3084</v>
      </c>
      <c r="M204" s="11">
        <v>45708</v>
      </c>
      <c r="N204" t="str">
        <v>Furniture</v>
      </c>
      <c r="O204" t="str">
        <v>PetBed</v>
      </c>
    </row>
    <row r="205" spans="1:15" x14ac:dyDescent="0.25">
      <c r="A205">
        <v>3139</v>
      </c>
      <c r="B205" s="11">
        <v>45707</v>
      </c>
      <c r="C205" t="str">
        <v>Furniture</v>
      </c>
      <c r="D205" t="str">
        <v>ShowerCaddy</v>
      </c>
      <c r="E205">
        <v>5</v>
      </c>
      <c r="F205">
        <v>5000</v>
      </c>
      <c r="G205" t="str">
        <v>East</v>
      </c>
      <c r="H205" t="str">
        <v>Femi Adebayo</v>
      </c>
      <c r="I205" t="str">
        <v>Transfer</v>
      </c>
      <c r="J205">
        <v>5</v>
      </c>
      <c r="L205">
        <v>3090</v>
      </c>
      <c r="M205" s="11">
        <v>45711</v>
      </c>
      <c r="N205" t="str">
        <v>Furniture</v>
      </c>
      <c r="O205" t="str">
        <v>FoldableTable</v>
      </c>
    </row>
    <row r="206" spans="1:15" x14ac:dyDescent="0.25">
      <c r="A206">
        <v>3140</v>
      </c>
      <c r="B206" s="11">
        <v>45708</v>
      </c>
      <c r="C206" t="str">
        <v>Electronics</v>
      </c>
      <c r="D206" t="str">
        <v>ExternalDVDDrive</v>
      </c>
      <c r="E206">
        <v>1</v>
      </c>
      <c r="F206">
        <v>20000</v>
      </c>
      <c r="G206" t="str">
        <v>West</v>
      </c>
      <c r="H206" t="str">
        <v>Tunde Bakare</v>
      </c>
      <c r="I206" t="str">
        <v>Card</v>
      </c>
      <c r="J206">
        <v>0</v>
      </c>
      <c r="L206">
        <v>3092</v>
      </c>
      <c r="M206" s="11">
        <v>45712</v>
      </c>
      <c r="N206" t="str">
        <v>Clothing</v>
      </c>
      <c r="O206" t="str">
        <v>Suspenders</v>
      </c>
    </row>
    <row r="207" spans="1:15" x14ac:dyDescent="0.25">
      <c r="A207">
        <v>3141</v>
      </c>
      <c r="B207" s="11">
        <v>45709</v>
      </c>
      <c r="C207" t="str">
        <v>Clothing</v>
      </c>
      <c r="D207" t="str">
        <v>DenimSkirt</v>
      </c>
      <c r="E207">
        <v>3</v>
      </c>
      <c r="F207">
        <v>15000</v>
      </c>
      <c r="G207" t="str">
        <v>North</v>
      </c>
      <c r="H207" t="str">
        <v>Abiola Ogun</v>
      </c>
      <c r="I207" t="str">
        <v>Cash</v>
      </c>
      <c r="J207">
        <v>0</v>
      </c>
      <c r="L207">
        <v>3095</v>
      </c>
      <c r="M207" s="11">
        <v>45714</v>
      </c>
      <c r="N207" t="str">
        <v>Clothing</v>
      </c>
      <c r="O207" t="str">
        <v>Kaftan</v>
      </c>
    </row>
    <row r="208" spans="1:15" x14ac:dyDescent="0.25">
      <c r="A208">
        <v>3142</v>
      </c>
      <c r="B208" s="11">
        <v>45710</v>
      </c>
      <c r="C208" t="str">
        <v>Furniture</v>
      </c>
      <c r="D208" t="str">
        <v>UmbrellaStand</v>
      </c>
      <c r="E208">
        <v>2</v>
      </c>
      <c r="F208">
        <v>10000</v>
      </c>
      <c r="G208" t="str">
        <v>South</v>
      </c>
      <c r="H208" t="str">
        <v>Chidi Nwosu</v>
      </c>
      <c r="I208" t="str">
        <v>Transfer</v>
      </c>
      <c r="J208">
        <v>5</v>
      </c>
      <c r="L208">
        <v>3101</v>
      </c>
      <c r="M208" s="11">
        <v>45669</v>
      </c>
      <c r="N208" t="str">
        <v>Electronics</v>
      </c>
      <c r="O208" t="str">
        <v>BluetoothSpeaker</v>
      </c>
    </row>
    <row r="209" spans="1:15" x14ac:dyDescent="0.25">
      <c r="A209">
        <v>3143</v>
      </c>
      <c r="B209" s="11">
        <v>45711</v>
      </c>
      <c r="C209" t="str">
        <v>Electronics</v>
      </c>
      <c r="D209" t="str">
        <v>LightningCable</v>
      </c>
      <c r="E209">
        <v>6</v>
      </c>
      <c r="F209">
        <v>6000</v>
      </c>
      <c r="G209" t="str">
        <v>East</v>
      </c>
      <c r="H209" t="str">
        <v>Femi Adebayo</v>
      </c>
      <c r="I209" t="str">
        <v>Card</v>
      </c>
      <c r="J209">
        <v>0</v>
      </c>
      <c r="L209">
        <v>3105</v>
      </c>
      <c r="M209" s="11">
        <v>45673</v>
      </c>
      <c r="N209" t="str">
        <v>Clothing</v>
      </c>
      <c r="O209" t="str">
        <v>Hoodie</v>
      </c>
    </row>
    <row r="210" spans="1:15" x14ac:dyDescent="0.25">
      <c r="A210">
        <v>3144</v>
      </c>
      <c r="B210" s="11">
        <v>45712</v>
      </c>
      <c r="C210" t="str">
        <v>Clothing</v>
      </c>
      <c r="D210" t="str">
        <v>CardHolder</v>
      </c>
      <c r="E210">
        <v>7</v>
      </c>
      <c r="F210">
        <v>3000</v>
      </c>
      <c r="G210" t="str">
        <v>West</v>
      </c>
      <c r="H210" t="str">
        <v>Tunde Bakare</v>
      </c>
      <c r="I210" t="str">
        <v>Cash</v>
      </c>
      <c r="J210">
        <v>0</v>
      </c>
      <c r="L210">
        <v>3113</v>
      </c>
      <c r="M210" s="11">
        <v>45681</v>
      </c>
      <c r="N210" t="str">
        <v>Electronics</v>
      </c>
      <c r="O210" t="str">
        <v>GamingMouse</v>
      </c>
    </row>
    <row r="211" spans="1:15" x14ac:dyDescent="0.25">
      <c r="A211">
        <v>3145</v>
      </c>
      <c r="B211" s="11">
        <v>45713</v>
      </c>
      <c r="C211" t="str">
        <v>Furniture</v>
      </c>
      <c r="D211" t="str">
        <v>LetterTray</v>
      </c>
      <c r="E211">
        <v>5</v>
      </c>
      <c r="F211">
        <v>4000</v>
      </c>
      <c r="G211" t="str">
        <v>North</v>
      </c>
      <c r="H211" t="str">
        <v>Abiola Ogun</v>
      </c>
      <c r="I211" t="str">
        <v>Transfer</v>
      </c>
      <c r="J211">
        <v>10</v>
      </c>
      <c r="L211">
        <v>3117</v>
      </c>
      <c r="M211" s="11">
        <v>45685</v>
      </c>
      <c r="N211" t="str">
        <v>Clothing</v>
      </c>
      <c r="O211" t="str">
        <v>Tracksuit</v>
      </c>
    </row>
    <row r="212" spans="1:15" x14ac:dyDescent="0.25">
      <c r="A212">
        <v>3146</v>
      </c>
      <c r="B212" s="11">
        <v>45714</v>
      </c>
      <c r="C212" t="str">
        <v>Electronics</v>
      </c>
      <c r="D212" t="str">
        <v>PhoneGrip</v>
      </c>
      <c r="E212">
        <v>10</v>
      </c>
      <c r="F212">
        <v>2000</v>
      </c>
      <c r="G212" t="str">
        <v>South</v>
      </c>
      <c r="H212" t="str">
        <v>Chidi Nwosu</v>
      </c>
      <c r="I212" t="str">
        <v>Card</v>
      </c>
      <c r="J212">
        <v>0</v>
      </c>
      <c r="L212">
        <v>3120</v>
      </c>
      <c r="M212" s="11">
        <v>45688</v>
      </c>
      <c r="N212" t="str">
        <v>Clothing</v>
      </c>
      <c r="O212" t="str">
        <v>FlannelShirt</v>
      </c>
    </row>
    <row r="213" spans="1:15" x14ac:dyDescent="0.25">
      <c r="A213">
        <v>3147</v>
      </c>
      <c r="B213" s="11">
        <v>45715</v>
      </c>
      <c r="C213" t="str">
        <v>Clothing</v>
      </c>
      <c r="D213" t="str">
        <v>BowTie</v>
      </c>
      <c r="E213">
        <v>6</v>
      </c>
      <c r="F213">
        <v>5000</v>
      </c>
      <c r="G213" t="str">
        <v>East</v>
      </c>
      <c r="H213" t="str">
        <v>Femi Adebayo</v>
      </c>
      <c r="I213" t="str">
        <v>Cash</v>
      </c>
      <c r="J213">
        <v>5</v>
      </c>
      <c r="L213">
        <v>3124</v>
      </c>
      <c r="M213" s="11">
        <v>45692</v>
      </c>
      <c r="N213" t="str">
        <v>Furniture</v>
      </c>
      <c r="O213" t="str">
        <v>LaundryHamper</v>
      </c>
    </row>
    <row r="214" spans="1:15" x14ac:dyDescent="0.25">
      <c r="A214">
        <v>3148</v>
      </c>
      <c r="B214" s="11">
        <v>45716</v>
      </c>
      <c r="C214" t="str">
        <v>Furniture</v>
      </c>
      <c r="D214" t="str">
        <v>PlantPot</v>
      </c>
      <c r="E214">
        <v>8</v>
      </c>
      <c r="F214">
        <v>3000</v>
      </c>
      <c r="G214" t="str">
        <v>West</v>
      </c>
      <c r="H214" t="str">
        <v>Tunde Bakare</v>
      </c>
      <c r="I214" t="str">
        <v>Transfer</v>
      </c>
      <c r="J214">
        <v>0</v>
      </c>
      <c r="L214">
        <v>3130</v>
      </c>
      <c r="M214" s="11">
        <v>45698</v>
      </c>
      <c r="N214" t="str">
        <v>Furniture</v>
      </c>
      <c r="O214" t="str">
        <v>Footstool</v>
      </c>
    </row>
    <row r="215" spans="1:15" x14ac:dyDescent="0.25">
      <c r="A215">
        <v>3149</v>
      </c>
      <c r="B215" s="11">
        <v>45717</v>
      </c>
      <c r="C215" t="str">
        <v>Electronics</v>
      </c>
      <c r="D215" t="str">
        <v>TabletStand</v>
      </c>
      <c r="E215">
        <v>5</v>
      </c>
      <c r="F215">
        <v>7000</v>
      </c>
      <c r="G215" t="str">
        <v>North</v>
      </c>
      <c r="H215" t="str">
        <v>Abiola Ogun</v>
      </c>
      <c r="I215" t="str">
        <v>Card</v>
      </c>
      <c r="J215">
        <v>0</v>
      </c>
      <c r="L215">
        <v>3131</v>
      </c>
      <c r="M215" s="11">
        <v>45699</v>
      </c>
      <c r="N215" t="str">
        <v>Electronics</v>
      </c>
      <c r="O215" t="str">
        <v>WirelessCharger</v>
      </c>
    </row>
    <row r="216" spans="1:15" x14ac:dyDescent="0.25">
      <c r="A216">
        <v>3150</v>
      </c>
      <c r="B216" s="11">
        <v>45717</v>
      </c>
      <c r="C216" t="str">
        <v>Clothing</v>
      </c>
      <c r="D216" t="str">
        <v>FaceMaskPack</v>
      </c>
      <c r="E216">
        <v>12</v>
      </c>
      <c r="F216">
        <v>2000</v>
      </c>
      <c r="G216" t="str">
        <v>South</v>
      </c>
      <c r="H216" t="str">
        <v>Chidi Nwosu</v>
      </c>
      <c r="I216" t="str">
        <v>Cash</v>
      </c>
      <c r="J216">
        <v>5</v>
      </c>
      <c r="L216">
        <v>3134</v>
      </c>
      <c r="M216" s="11">
        <v>45702</v>
      </c>
      <c r="N216" t="str">
        <v>Electronics</v>
      </c>
      <c r="O216" t="str">
        <v>LaptopStand</v>
      </c>
    </row>
    <row r="217" spans="1:15" x14ac:dyDescent="0.25">
      <c r="A217">
        <v>3151</v>
      </c>
      <c r="B217" s="11">
        <v>45668</v>
      </c>
      <c r="C217" t="str">
        <v>Furniture</v>
      </c>
      <c r="D217" t="str">
        <v>PictureFrame</v>
      </c>
      <c r="E217">
        <v>6</v>
      </c>
      <c r="F217">
        <v>5000</v>
      </c>
      <c r="G217" t="str">
        <v>East</v>
      </c>
      <c r="H217" t="str">
        <v>Femi Adebayo</v>
      </c>
      <c r="I217" t="str">
        <v>Transfer</v>
      </c>
      <c r="J217">
        <v>0</v>
      </c>
      <c r="L217">
        <v>3141</v>
      </c>
      <c r="M217" s="11">
        <v>45709</v>
      </c>
      <c r="N217" t="str">
        <v>Clothing</v>
      </c>
      <c r="O217" t="str">
        <v>DenimSkirt</v>
      </c>
    </row>
    <row r="218" spans="1:15" x14ac:dyDescent="0.25">
      <c r="A218">
        <v>3152</v>
      </c>
      <c r="B218" s="11">
        <v>45669</v>
      </c>
      <c r="C218" t="str">
        <v>Electronics</v>
      </c>
      <c r="D218" t="str">
        <v>StylusPen</v>
      </c>
      <c r="E218">
        <v>4</v>
      </c>
      <c r="F218">
        <v>8000</v>
      </c>
      <c r="G218" t="str">
        <v>West</v>
      </c>
      <c r="H218" t="str">
        <v>Tunde Bakare</v>
      </c>
      <c r="I218" t="str">
        <v>Card</v>
      </c>
      <c r="J218">
        <v>0</v>
      </c>
      <c r="L218">
        <v>3159</v>
      </c>
      <c r="M218" s="11">
        <v>45676</v>
      </c>
      <c r="N218" t="str">
        <v>Clothing</v>
      </c>
      <c r="O218" t="str">
        <v>WaistBag</v>
      </c>
    </row>
    <row r="219" spans="1:15" x14ac:dyDescent="0.25">
      <c r="A219">
        <v>3153</v>
      </c>
      <c r="B219" s="11">
        <v>45670</v>
      </c>
      <c r="C219" t="str">
        <v>Clothing</v>
      </c>
      <c r="D219" t="str">
        <v>SportsBra</v>
      </c>
      <c r="E219">
        <v>5</v>
      </c>
      <c r="F219">
        <v>7000</v>
      </c>
      <c r="G219" t="str">
        <v>North</v>
      </c>
      <c r="H219" t="str">
        <v>Abiola Ogun</v>
      </c>
      <c r="I219" t="str">
        <v>Cash</v>
      </c>
      <c r="J219">
        <v>5</v>
      </c>
      <c r="L219">
        <v>3160</v>
      </c>
      <c r="M219" s="11">
        <v>45677</v>
      </c>
      <c r="N219" t="str">
        <v>Furniture</v>
      </c>
      <c r="O219" t="str">
        <v>ThrowBlanket</v>
      </c>
    </row>
    <row r="220" spans="1:15" x14ac:dyDescent="0.25">
      <c r="A220">
        <v>3154</v>
      </c>
      <c r="B220" s="11">
        <v>45671</v>
      </c>
      <c r="C220" t="str">
        <v>Furniture</v>
      </c>
      <c r="D220" t="str">
        <v>JewelryBox</v>
      </c>
      <c r="E220">
        <v>2</v>
      </c>
      <c r="F220">
        <v>12000</v>
      </c>
      <c r="G220" t="str">
        <v>South</v>
      </c>
      <c r="H220" t="str">
        <v>Chidi Nwosu</v>
      </c>
      <c r="I220" t="str">
        <v>Transfer</v>
      </c>
      <c r="J220">
        <v>0</v>
      </c>
      <c r="L220">
        <v>3164</v>
      </c>
      <c r="M220" s="11">
        <v>45681</v>
      </c>
      <c r="N220" t="str">
        <v>Electronics</v>
      </c>
      <c r="O220" t="str">
        <v>AlarmClock</v>
      </c>
    </row>
    <row r="221" spans="1:15" x14ac:dyDescent="0.25">
      <c r="A221">
        <v>3155</v>
      </c>
      <c r="B221" s="11">
        <v>45672</v>
      </c>
      <c r="C221" t="str">
        <v>Electronics</v>
      </c>
      <c r="D221" t="str">
        <v>CameraLens</v>
      </c>
      <c r="E221">
        <v>1</v>
      </c>
      <c r="F221">
        <v>85000</v>
      </c>
      <c r="G221" t="str">
        <v>East</v>
      </c>
      <c r="H221" t="str">
        <v>Femi Adebayo</v>
      </c>
      <c r="I221" t="str">
        <v>Card</v>
      </c>
      <c r="J221">
        <v>0</v>
      </c>
      <c r="L221">
        <v>3181</v>
      </c>
      <c r="M221" s="11">
        <v>45698</v>
      </c>
      <c r="N221" t="str">
        <v>Furniture</v>
      </c>
      <c r="O221" t="str">
        <v>TrashCan</v>
      </c>
    </row>
    <row r="222" spans="1:15" x14ac:dyDescent="0.25">
      <c r="A222">
        <v>3156</v>
      </c>
      <c r="B222" s="11">
        <v>45673</v>
      </c>
      <c r="C222" t="str">
        <v>Clothing</v>
      </c>
      <c r="D222" t="str">
        <v>Sunglasses</v>
      </c>
      <c r="E222">
        <v>4</v>
      </c>
      <c r="F222">
        <v>15000</v>
      </c>
      <c r="G222" t="str">
        <v>West</v>
      </c>
      <c r="H222" t="str">
        <v>Tunde Bakare</v>
      </c>
      <c r="I222" t="str">
        <v>Cash</v>
      </c>
      <c r="J222">
        <v>10</v>
      </c>
      <c r="L222">
        <v>3183</v>
      </c>
      <c r="M222" s="11">
        <v>45700</v>
      </c>
      <c r="N222" t="str">
        <v>Clothing</v>
      </c>
      <c r="O222" t="str">
        <v>TieDyeShirt</v>
      </c>
    </row>
    <row r="223" spans="1:15" x14ac:dyDescent="0.25">
      <c r="A223">
        <v>3157</v>
      </c>
      <c r="B223" s="11">
        <v>45674</v>
      </c>
      <c r="C223" t="str">
        <v>Furniture</v>
      </c>
      <c r="D223" t="str">
        <v>Cushion</v>
      </c>
      <c r="E223">
        <v>6</v>
      </c>
      <c r="F223">
        <v>6000</v>
      </c>
      <c r="G223" t="str">
        <v>North</v>
      </c>
      <c r="H223" t="str">
        <v>Abiola Ogun</v>
      </c>
      <c r="I223" t="str">
        <v>Transfer</v>
      </c>
      <c r="J223">
        <v>0</v>
      </c>
      <c r="L223">
        <v>3196</v>
      </c>
      <c r="M223" s="11">
        <v>45713</v>
      </c>
      <c r="N223" t="str">
        <v>Furniture</v>
      </c>
      <c r="O223" t="str">
        <v>TraditionalStool</v>
      </c>
    </row>
    <row r="224" spans="1:15" x14ac:dyDescent="0.25">
      <c r="A224">
        <v>3158</v>
      </c>
      <c r="B224" s="11">
        <v>45675</v>
      </c>
      <c r="C224" t="str">
        <v>Electronics</v>
      </c>
      <c r="D224" t="str">
        <v>SmartThermostat</v>
      </c>
      <c r="E224">
        <v>1</v>
      </c>
      <c r="F224">
        <v>35000</v>
      </c>
      <c r="G224" t="str">
        <v>South</v>
      </c>
      <c r="H224" t="str">
        <v>Chidi Nwosu</v>
      </c>
      <c r="I224" t="str">
        <v>Card</v>
      </c>
      <c r="J224">
        <v>5</v>
      </c>
      <c r="L224">
        <v>3199</v>
      </c>
      <c r="M224" s="11">
        <v>45716</v>
      </c>
      <c r="N224" t="str">
        <v>Furniture</v>
      </c>
      <c r="O224" t="str">
        <v>PrayerMat</v>
      </c>
    </row>
    <row r="225" spans="1:15" x14ac:dyDescent="0.25">
      <c r="A225">
        <v>3159</v>
      </c>
      <c r="B225" s="11">
        <v>45676</v>
      </c>
      <c r="C225" t="str">
        <v>Clothing</v>
      </c>
      <c r="D225" t="str">
        <v>WaistBag</v>
      </c>
      <c r="E225">
        <v>3</v>
      </c>
      <c r="F225">
        <v>10000</v>
      </c>
      <c r="G225" t="str">
        <v>East</v>
      </c>
      <c r="H225" t="str">
        <v>Femi Adebayo</v>
      </c>
      <c r="I225" t="str">
        <v>Cash</v>
      </c>
      <c r="J225">
        <v>0</v>
      </c>
      <c r="L225">
        <v>3208</v>
      </c>
      <c r="M225" s="11">
        <v>45679</v>
      </c>
      <c r="N225" t="str">
        <v>Clothing</v>
      </c>
      <c r="O225" t="str">
        <v>CargoPants</v>
      </c>
    </row>
    <row r="226" spans="1:15" x14ac:dyDescent="0.25">
      <c r="A226">
        <v>3160</v>
      </c>
      <c r="B226" s="11">
        <v>45677</v>
      </c>
      <c r="C226" t="str">
        <v>Furniture</v>
      </c>
      <c r="D226" t="str">
        <v>ThrowBlanket</v>
      </c>
      <c r="E226">
        <v>3</v>
      </c>
      <c r="F226">
        <v>15000</v>
      </c>
      <c r="G226" t="str">
        <v>West</v>
      </c>
      <c r="H226" t="str">
        <v>Tunde Bakare</v>
      </c>
      <c r="I226" t="str">
        <v>Transfer</v>
      </c>
      <c r="J226">
        <v>0</v>
      </c>
      <c r="L226">
        <v>3213</v>
      </c>
      <c r="M226" s="11">
        <v>45684</v>
      </c>
      <c r="N226" t="str">
        <v>Electronics</v>
      </c>
      <c r="O226" t="str">
        <v>LEDStrip</v>
      </c>
    </row>
    <row r="227" spans="1:15" x14ac:dyDescent="0.25">
      <c r="A227">
        <v>3161</v>
      </c>
      <c r="B227" s="11">
        <v>45678</v>
      </c>
      <c r="C227" t="str">
        <v>Electronics</v>
      </c>
      <c r="D227" t="str">
        <v>CarCharger</v>
      </c>
      <c r="E227">
        <v>5</v>
      </c>
      <c r="F227">
        <v>8000</v>
      </c>
      <c r="G227" t="str">
        <v>North</v>
      </c>
      <c r="H227" t="str">
        <v>Abiola Ogun</v>
      </c>
      <c r="I227" t="str">
        <v>Card</v>
      </c>
      <c r="J227">
        <v>5</v>
      </c>
      <c r="L227">
        <v>3217</v>
      </c>
      <c r="M227" s="11">
        <v>45688</v>
      </c>
      <c r="N227" t="str">
        <v>Clothing</v>
      </c>
      <c r="O227" t="str">
        <v>Turtleneck</v>
      </c>
    </row>
    <row r="228" spans="1:15" x14ac:dyDescent="0.25">
      <c r="A228">
        <v>3162</v>
      </c>
      <c r="B228" s="11">
        <v>45679</v>
      </c>
      <c r="C228" t="str">
        <v>Clothing</v>
      </c>
      <c r="D228" t="str">
        <v>Swimsuit</v>
      </c>
      <c r="E228">
        <v>2</v>
      </c>
      <c r="F228">
        <v>12000</v>
      </c>
      <c r="G228" t="str">
        <v>South</v>
      </c>
      <c r="H228" t="str">
        <v>Chidi Nwosu</v>
      </c>
      <c r="I228" t="str">
        <v>Cash</v>
      </c>
      <c r="J228">
        <v>0</v>
      </c>
      <c r="L228">
        <v>3226</v>
      </c>
      <c r="M228" s="11">
        <v>45697</v>
      </c>
      <c r="N228" t="str">
        <v>Clothing</v>
      </c>
      <c r="O228" t="str">
        <v>Bathrobe</v>
      </c>
    </row>
    <row r="229" spans="1:15" x14ac:dyDescent="0.25">
      <c r="A229">
        <v>3163</v>
      </c>
      <c r="B229" s="11">
        <v>45680</v>
      </c>
      <c r="C229" t="str">
        <v>Furniture</v>
      </c>
      <c r="D229" t="str">
        <v>BathMat</v>
      </c>
      <c r="E229">
        <v>6</v>
      </c>
      <c r="F229">
        <v>4000</v>
      </c>
      <c r="G229" t="str">
        <v>East</v>
      </c>
      <c r="H229" t="str">
        <v>Femi Adebayo</v>
      </c>
      <c r="I229" t="str">
        <v>Transfer</v>
      </c>
      <c r="J229">
        <v>0</v>
      </c>
      <c r="L229">
        <v>3231</v>
      </c>
      <c r="M229" s="11">
        <v>45702</v>
      </c>
      <c r="N229" t="str">
        <v>Electronics</v>
      </c>
      <c r="O229" t="str">
        <v>HDMISwitch</v>
      </c>
    </row>
    <row r="230" spans="1:15" x14ac:dyDescent="0.25">
      <c r="A230">
        <v>3164</v>
      </c>
      <c r="B230" s="11">
        <v>45681</v>
      </c>
      <c r="C230" t="str">
        <v>Electronics</v>
      </c>
      <c r="D230" t="str">
        <v>AlarmClock</v>
      </c>
      <c r="E230">
        <v>3</v>
      </c>
      <c r="F230">
        <v>9000</v>
      </c>
      <c r="G230" t="str">
        <v>West</v>
      </c>
      <c r="H230" t="str">
        <v>Tunde Bakare</v>
      </c>
      <c r="I230" t="str">
        <v>Card</v>
      </c>
      <c r="J230">
        <v>10</v>
      </c>
      <c r="L230">
        <v>3234</v>
      </c>
      <c r="M230" s="11">
        <v>45705</v>
      </c>
      <c r="N230" t="str">
        <v>Electronics</v>
      </c>
      <c r="O230" t="str">
        <v>USBWallOutlet</v>
      </c>
    </row>
    <row r="231" spans="1:15" x14ac:dyDescent="0.25">
      <c r="A231">
        <v>3165</v>
      </c>
      <c r="B231" s="11">
        <v>45682</v>
      </c>
      <c r="C231" t="str">
        <v>Clothing</v>
      </c>
      <c r="D231" t="str">
        <v>Shawl</v>
      </c>
      <c r="E231">
        <v>4</v>
      </c>
      <c r="F231">
        <v>8000</v>
      </c>
      <c r="G231" t="str">
        <v>North</v>
      </c>
      <c r="H231" t="str">
        <v>Abiola Ogun</v>
      </c>
      <c r="I231" t="str">
        <v>Cash</v>
      </c>
      <c r="J231">
        <v>0</v>
      </c>
      <c r="L231">
        <v>3236</v>
      </c>
      <c r="M231" s="11">
        <v>45707</v>
      </c>
      <c r="N231" t="str">
        <v>Furniture</v>
      </c>
      <c r="O231" t="str">
        <v>MagazineRack</v>
      </c>
    </row>
    <row r="232" spans="1:15" x14ac:dyDescent="0.25">
      <c r="A232">
        <v>3166</v>
      </c>
      <c r="B232" s="11">
        <v>45683</v>
      </c>
      <c r="C232" t="str">
        <v>Furniture</v>
      </c>
      <c r="D232" t="str">
        <v>KitchenTrolley</v>
      </c>
      <c r="E232">
        <v>1</v>
      </c>
      <c r="F232">
        <v>45000</v>
      </c>
      <c r="G232" t="str">
        <v>South</v>
      </c>
      <c r="H232" t="str">
        <v>Chidi Nwosu</v>
      </c>
      <c r="I232" t="str">
        <v>Transfer</v>
      </c>
      <c r="J232">
        <v>5</v>
      </c>
      <c r="L232">
        <v>3238</v>
      </c>
      <c r="M232" s="11">
        <v>45709</v>
      </c>
      <c r="N232" t="str">
        <v>Clothing</v>
      </c>
      <c r="O232" t="str">
        <v>Kimono</v>
      </c>
    </row>
    <row r="233" spans="1:15" x14ac:dyDescent="0.25">
      <c r="A233">
        <v>3167</v>
      </c>
      <c r="B233" s="11">
        <v>45684</v>
      </c>
      <c r="C233" t="str">
        <v>Electronics</v>
      </c>
      <c r="D233" t="str">
        <v>Calculator</v>
      </c>
      <c r="E233">
        <v>2</v>
      </c>
      <c r="F233">
        <v>15000</v>
      </c>
      <c r="G233" t="str">
        <v>East</v>
      </c>
      <c r="H233" t="str">
        <v>Femi Adebayo</v>
      </c>
      <c r="I233" t="str">
        <v>Card</v>
      </c>
      <c r="J233">
        <v>0</v>
      </c>
      <c r="L233">
        <v>3003</v>
      </c>
      <c r="M233" s="11">
        <v>45668</v>
      </c>
      <c r="N233" t="str">
        <v>Furniture</v>
      </c>
      <c r="O233" t="str">
        <v>Office Chair</v>
      </c>
    </row>
    <row r="234" spans="1:15" x14ac:dyDescent="0.25">
      <c r="A234">
        <v>3168</v>
      </c>
      <c r="B234" s="11">
        <v>45685</v>
      </c>
      <c r="C234" t="str">
        <v>Clothing</v>
      </c>
      <c r="D234" t="str">
        <v>SlipDress</v>
      </c>
      <c r="E234">
        <v>2</v>
      </c>
      <c r="F234">
        <v>18000</v>
      </c>
      <c r="G234" t="str">
        <v>West</v>
      </c>
      <c r="H234" t="str">
        <v>Tunde Bakare</v>
      </c>
      <c r="I234" t="str">
        <v>Cash</v>
      </c>
      <c r="J234">
        <v>0</v>
      </c>
      <c r="L234">
        <v>3004</v>
      </c>
      <c r="M234" s="11">
        <v>45668</v>
      </c>
      <c r="N234" t="str">
        <v>Electronics</v>
      </c>
      <c r="O234" t="str">
        <v>Smartphone</v>
      </c>
    </row>
    <row r="235" spans="1:15" x14ac:dyDescent="0.25">
      <c r="A235">
        <v>3169</v>
      </c>
      <c r="B235" s="11">
        <v>45686</v>
      </c>
      <c r="C235" t="str">
        <v>Furniture</v>
      </c>
      <c r="D235" t="str">
        <v>OverbedTable</v>
      </c>
      <c r="E235">
        <v>1</v>
      </c>
      <c r="F235">
        <v>25000</v>
      </c>
      <c r="G235" t="str">
        <v>North</v>
      </c>
      <c r="H235" t="str">
        <v>Abiola Ogun</v>
      </c>
      <c r="I235" t="str">
        <v>Transfer</v>
      </c>
      <c r="J235">
        <v>5</v>
      </c>
      <c r="L235">
        <v>3008</v>
      </c>
      <c r="M235" s="11">
        <v>45670</v>
      </c>
      <c r="N235" t="str">
        <v>Clothing</v>
      </c>
      <c r="O235" t="str">
        <v>Jacket</v>
      </c>
    </row>
    <row r="236" spans="1:15" x14ac:dyDescent="0.25">
      <c r="A236">
        <v>3170</v>
      </c>
      <c r="B236" s="11">
        <v>45687</v>
      </c>
      <c r="C236" t="str">
        <v>Electronics</v>
      </c>
      <c r="D236" t="str">
        <v>DigitalClock</v>
      </c>
      <c r="E236">
        <v>4</v>
      </c>
      <c r="F236">
        <v>8000</v>
      </c>
      <c r="G236" t="str">
        <v>South</v>
      </c>
      <c r="H236" t="str">
        <v>Chidi Nwosu</v>
      </c>
      <c r="I236" t="str">
        <v>Card</v>
      </c>
      <c r="J236">
        <v>0</v>
      </c>
      <c r="L236">
        <v>3010</v>
      </c>
      <c r="M236" s="11">
        <v>45671</v>
      </c>
      <c r="N236" t="str">
        <v>Electronics</v>
      </c>
      <c r="O236" t="str">
        <v>Tablet</v>
      </c>
    </row>
    <row r="237" spans="1:15" x14ac:dyDescent="0.25">
      <c r="A237">
        <v>3171</v>
      </c>
      <c r="B237" s="11">
        <v>45688</v>
      </c>
      <c r="C237" t="str">
        <v>Clothing</v>
      </c>
      <c r="D237" t="str">
        <v>LegWarmers</v>
      </c>
      <c r="E237">
        <v>5</v>
      </c>
      <c r="F237">
        <v>5000</v>
      </c>
      <c r="G237" t="str">
        <v>East</v>
      </c>
      <c r="H237" t="str">
        <v>Femi Adebayo</v>
      </c>
      <c r="I237" t="str">
        <v>Cash</v>
      </c>
      <c r="J237">
        <v>0</v>
      </c>
      <c r="L237">
        <v>3012</v>
      </c>
      <c r="M237" s="11">
        <v>45672</v>
      </c>
      <c r="N237" t="str">
        <v>Furniture</v>
      </c>
      <c r="O237" t="str">
        <v>Bookshelf</v>
      </c>
    </row>
    <row r="238" spans="1:15" x14ac:dyDescent="0.25">
      <c r="A238">
        <v>3172</v>
      </c>
      <c r="B238" s="11">
        <v>45689</v>
      </c>
      <c r="C238" t="str">
        <v>Furniture</v>
      </c>
      <c r="D238" t="str">
        <v>ClothesRack</v>
      </c>
      <c r="E238">
        <v>2</v>
      </c>
      <c r="F238">
        <v>20000</v>
      </c>
      <c r="G238" t="str">
        <v>West</v>
      </c>
      <c r="H238" t="str">
        <v>Tunde Bakare</v>
      </c>
      <c r="I238" t="str">
        <v>Transfer</v>
      </c>
      <c r="J238">
        <v>10</v>
      </c>
      <c r="L238">
        <v>3013</v>
      </c>
      <c r="M238" s="11">
        <v>45673</v>
      </c>
      <c r="N238" t="str">
        <v>Electronics</v>
      </c>
      <c r="O238" t="str">
        <v>Smartwatch</v>
      </c>
    </row>
    <row r="239" spans="1:15" x14ac:dyDescent="0.25">
      <c r="A239">
        <v>3173</v>
      </c>
      <c r="B239" s="11">
        <v>45690</v>
      </c>
      <c r="C239" t="str">
        <v>Electronics</v>
      </c>
      <c r="D239" t="str">
        <v>VoltageRegulator</v>
      </c>
      <c r="E239">
        <v>2</v>
      </c>
      <c r="F239">
        <v>25000</v>
      </c>
      <c r="G239" t="str">
        <v>North</v>
      </c>
      <c r="H239" t="str">
        <v>Abiola Ogun</v>
      </c>
      <c r="I239" t="str">
        <v>Card</v>
      </c>
      <c r="J239">
        <v>0</v>
      </c>
      <c r="L239">
        <v>3016</v>
      </c>
      <c r="M239" s="11">
        <v>45674</v>
      </c>
      <c r="N239" t="str">
        <v>Electronics</v>
      </c>
      <c r="O239" t="str">
        <v>Monitor</v>
      </c>
    </row>
    <row r="240" spans="1:15" x14ac:dyDescent="0.25">
      <c r="A240">
        <v>3174</v>
      </c>
      <c r="B240" s="11">
        <v>45691</v>
      </c>
      <c r="C240" t="str">
        <v>Clothing</v>
      </c>
      <c r="D240" t="str">
        <v>CorsetTop</v>
      </c>
      <c r="E240">
        <v>4</v>
      </c>
      <c r="F240">
        <v>10000</v>
      </c>
      <c r="G240" t="str">
        <v>South</v>
      </c>
      <c r="H240" t="str">
        <v>Chidi Nwosu</v>
      </c>
      <c r="I240" t="str">
        <v>Cash</v>
      </c>
      <c r="J240">
        <v>5</v>
      </c>
      <c r="L240">
        <v>3027</v>
      </c>
      <c r="M240" s="11">
        <v>45680</v>
      </c>
      <c r="N240" t="str">
        <v>Furniture</v>
      </c>
      <c r="O240" t="str">
        <v>Coffee Table</v>
      </c>
    </row>
    <row r="241" spans="1:15" x14ac:dyDescent="0.25">
      <c r="A241">
        <v>3175</v>
      </c>
      <c r="B241" s="11">
        <v>45692</v>
      </c>
      <c r="C241" t="str">
        <v>Furniture</v>
      </c>
      <c r="D241" t="str">
        <v>VanityTable</v>
      </c>
      <c r="E241">
        <v>1</v>
      </c>
      <c r="F241">
        <v>85000</v>
      </c>
      <c r="G241" t="str">
        <v>East</v>
      </c>
      <c r="H241" t="str">
        <v>Femi Adebayo</v>
      </c>
      <c r="I241" t="str">
        <v>Transfer</v>
      </c>
      <c r="J241">
        <v>0</v>
      </c>
      <c r="L241">
        <v>3030</v>
      </c>
      <c r="M241" s="11">
        <v>45681</v>
      </c>
      <c r="N241" t="str">
        <v>Furniture</v>
      </c>
      <c r="O241" t="str">
        <v>Drawer Unit</v>
      </c>
    </row>
    <row r="242" spans="1:15" x14ac:dyDescent="0.25">
      <c r="A242">
        <v>3176</v>
      </c>
      <c r="B242" s="11">
        <v>45693</v>
      </c>
      <c r="C242" t="str">
        <v>Electronics</v>
      </c>
      <c r="D242" t="str">
        <v>SelfieStick</v>
      </c>
      <c r="E242">
        <v>5</v>
      </c>
      <c r="F242">
        <v>5000</v>
      </c>
      <c r="G242" t="str">
        <v>West</v>
      </c>
      <c r="H242" t="str">
        <v>Tunde Bakare</v>
      </c>
      <c r="I242" t="str">
        <v>Card</v>
      </c>
      <c r="J242">
        <v>0</v>
      </c>
      <c r="L242">
        <v>3031</v>
      </c>
      <c r="M242" s="11">
        <v>45682</v>
      </c>
      <c r="N242" t="str">
        <v>Electronics</v>
      </c>
      <c r="O242" t="str">
        <v>Webcam</v>
      </c>
    </row>
    <row r="243" spans="1:15" x14ac:dyDescent="0.25">
      <c r="A243">
        <v>3177</v>
      </c>
      <c r="B243" s="11">
        <v>45694</v>
      </c>
      <c r="C243" t="str">
        <v>Clothing</v>
      </c>
      <c r="D243" t="str">
        <v>AnkleSocks</v>
      </c>
      <c r="E243">
        <v>8</v>
      </c>
      <c r="F243">
        <v>2000</v>
      </c>
      <c r="G243" t="str">
        <v>North</v>
      </c>
      <c r="H243" t="str">
        <v>Abiola Ogun</v>
      </c>
      <c r="I243" t="str">
        <v>Cash</v>
      </c>
      <c r="J243">
        <v>5</v>
      </c>
      <c r="L243">
        <v>3033</v>
      </c>
      <c r="M243" s="11">
        <v>45683</v>
      </c>
      <c r="N243" t="str">
        <v>Furniture</v>
      </c>
      <c r="O243" t="str">
        <v>Shoe Rack</v>
      </c>
    </row>
    <row r="244" spans="1:15" x14ac:dyDescent="0.25">
      <c r="A244">
        <v>3178</v>
      </c>
      <c r="B244" s="11">
        <v>45695</v>
      </c>
      <c r="C244" t="str">
        <v>Furniture</v>
      </c>
      <c r="D244" t="str">
        <v>WallHook</v>
      </c>
      <c r="E244">
        <v>12</v>
      </c>
      <c r="F244">
        <v>1500</v>
      </c>
      <c r="G244" t="str">
        <v>South</v>
      </c>
      <c r="H244" t="str">
        <v>Chidi Nwosu</v>
      </c>
      <c r="I244" t="str">
        <v>Transfer</v>
      </c>
      <c r="J244">
        <v>0</v>
      </c>
      <c r="L244">
        <v>3034</v>
      </c>
      <c r="M244" s="11">
        <v>45683</v>
      </c>
      <c r="N244" t="str">
        <v>Electronics</v>
      </c>
      <c r="O244" t="str">
        <v>Router</v>
      </c>
    </row>
    <row r="245" spans="1:15" x14ac:dyDescent="0.25">
      <c r="A245">
        <v>3179</v>
      </c>
      <c r="B245" s="11">
        <v>45696</v>
      </c>
      <c r="C245" t="str">
        <v>Electronics</v>
      </c>
      <c r="D245" t="str">
        <v>LensCleaner</v>
      </c>
      <c r="E245">
        <v>6</v>
      </c>
      <c r="F245">
        <v>3000</v>
      </c>
      <c r="G245" t="str">
        <v>East</v>
      </c>
      <c r="H245" t="str">
        <v>Femi Adebayo</v>
      </c>
      <c r="I245" t="str">
        <v>Card</v>
      </c>
      <c r="J245">
        <v>0</v>
      </c>
      <c r="L245">
        <v>3039</v>
      </c>
      <c r="M245" s="11">
        <v>45686</v>
      </c>
      <c r="N245" t="str">
        <v>Furniture</v>
      </c>
      <c r="O245" t="str">
        <v>Mirror</v>
      </c>
    </row>
    <row r="246" spans="1:15" x14ac:dyDescent="0.25">
      <c r="A246">
        <v>3180</v>
      </c>
      <c r="B246" s="11">
        <v>45697</v>
      </c>
      <c r="C246" t="str">
        <v>Clothing</v>
      </c>
      <c r="D246" t="str">
        <v>Headband</v>
      </c>
      <c r="E246">
        <v>8</v>
      </c>
      <c r="F246">
        <v>2000</v>
      </c>
      <c r="G246" t="str">
        <v>West</v>
      </c>
      <c r="H246" t="str">
        <v>Tunde Bakare</v>
      </c>
      <c r="I246" t="str">
        <v>Cash</v>
      </c>
      <c r="J246">
        <v>10</v>
      </c>
      <c r="L246">
        <v>3042</v>
      </c>
      <c r="M246" s="11">
        <v>45687</v>
      </c>
      <c r="N246" t="str">
        <v>Furniture</v>
      </c>
      <c r="O246" t="str">
        <v>CoatRack</v>
      </c>
    </row>
    <row r="247" spans="1:15" x14ac:dyDescent="0.25">
      <c r="A247">
        <v>3181</v>
      </c>
      <c r="B247" s="11">
        <v>45698</v>
      </c>
      <c r="C247" t="str">
        <v>Furniture</v>
      </c>
      <c r="D247" t="str">
        <v>TrashCan</v>
      </c>
      <c r="E247">
        <v>3</v>
      </c>
      <c r="F247">
        <v>8000</v>
      </c>
      <c r="G247" t="str">
        <v>North</v>
      </c>
      <c r="H247" t="str">
        <v>Abiola Ogun</v>
      </c>
      <c r="I247" t="str">
        <v>Transfer</v>
      </c>
      <c r="J247">
        <v>0</v>
      </c>
      <c r="L247">
        <v>3045</v>
      </c>
      <c r="M247" s="11">
        <v>45689</v>
      </c>
      <c r="N247" t="str">
        <v>Furniture</v>
      </c>
      <c r="O247" t="str">
        <v>MagazineRack</v>
      </c>
    </row>
    <row r="248" spans="1:15" x14ac:dyDescent="0.25">
      <c r="A248">
        <v>3182</v>
      </c>
      <c r="B248" s="11">
        <v>45699</v>
      </c>
      <c r="C248" t="str">
        <v>Electronics</v>
      </c>
      <c r="D248" t="str">
        <v>ExtensionCord</v>
      </c>
      <c r="E248">
        <v>5</v>
      </c>
      <c r="F248">
        <v>7000</v>
      </c>
      <c r="G248" t="str">
        <v>South</v>
      </c>
      <c r="H248" t="str">
        <v>Chidi Nwosu</v>
      </c>
      <c r="I248" t="str">
        <v>Card</v>
      </c>
      <c r="J248">
        <v>5</v>
      </c>
      <c r="L248">
        <v>3049</v>
      </c>
      <c r="M248" s="11">
        <v>45691</v>
      </c>
      <c r="N248" t="str">
        <v>Electronics</v>
      </c>
      <c r="O248" t="str">
        <v>Microphone</v>
      </c>
    </row>
    <row r="249" spans="1:15" x14ac:dyDescent="0.25">
      <c r="A249">
        <v>3183</v>
      </c>
      <c r="B249" s="11">
        <v>45700</v>
      </c>
      <c r="C249" t="str">
        <v>Clothing</v>
      </c>
      <c r="D249" t="str">
        <v>TieDyeShirt</v>
      </c>
      <c r="E249">
        <v>3</v>
      </c>
      <c r="F249">
        <v>12000</v>
      </c>
      <c r="G249" t="str">
        <v>East</v>
      </c>
      <c r="H249" t="str">
        <v>Femi Adebayo</v>
      </c>
      <c r="I249" t="str">
        <v>Cash</v>
      </c>
      <c r="J249">
        <v>0</v>
      </c>
      <c r="L249">
        <v>3063</v>
      </c>
      <c r="M249" s="11">
        <v>45698</v>
      </c>
      <c r="N249" t="str">
        <v>Furniture</v>
      </c>
      <c r="O249" t="str">
        <v>Rug</v>
      </c>
    </row>
    <row r="250" spans="1:15" x14ac:dyDescent="0.25">
      <c r="A250">
        <v>3184</v>
      </c>
      <c r="B250" s="11">
        <v>45701</v>
      </c>
      <c r="C250" t="str">
        <v>Furniture</v>
      </c>
      <c r="D250" t="str">
        <v>FireplaceScreen</v>
      </c>
      <c r="E250">
        <v>1</v>
      </c>
      <c r="F250">
        <v>45000</v>
      </c>
      <c r="G250" t="str">
        <v>West</v>
      </c>
      <c r="H250" t="str">
        <v>Tunde Bakare</v>
      </c>
      <c r="I250" t="str">
        <v>Transfer</v>
      </c>
      <c r="J250">
        <v>0</v>
      </c>
      <c r="L250">
        <v>3064</v>
      </c>
      <c r="M250" s="11">
        <v>45698</v>
      </c>
      <c r="N250" t="str">
        <v>Electronics</v>
      </c>
      <c r="O250" t="str">
        <v>FitnessTracker</v>
      </c>
    </row>
    <row r="251" spans="1:15" x14ac:dyDescent="0.25">
      <c r="A251">
        <v>3185</v>
      </c>
      <c r="B251" s="11">
        <v>45702</v>
      </c>
      <c r="C251" t="str">
        <v>Electronics</v>
      </c>
      <c r="D251" t="str">
        <v>AntivirusUSB</v>
      </c>
      <c r="E251">
        <v>2</v>
      </c>
      <c r="F251">
        <v>15000</v>
      </c>
      <c r="G251" t="str">
        <v>North</v>
      </c>
      <c r="H251" t="str">
        <v>Abiola Ogun</v>
      </c>
      <c r="I251" t="str">
        <v>Card</v>
      </c>
      <c r="J251">
        <v>5</v>
      </c>
      <c r="L251">
        <v>3079</v>
      </c>
      <c r="M251" s="11">
        <v>45706</v>
      </c>
      <c r="N251" t="str">
        <v>Electronics</v>
      </c>
      <c r="O251" t="str">
        <v>CardReader</v>
      </c>
    </row>
    <row r="252" spans="1:15" x14ac:dyDescent="0.25">
      <c r="A252">
        <v>3186</v>
      </c>
      <c r="B252" s="11">
        <v>45703</v>
      </c>
      <c r="C252" t="str">
        <v>Clothing</v>
      </c>
      <c r="D252" t="str">
        <v>Romper</v>
      </c>
      <c r="E252">
        <v>2</v>
      </c>
      <c r="F252">
        <v>18000</v>
      </c>
      <c r="G252" t="str">
        <v>South</v>
      </c>
      <c r="H252" t="str">
        <v>Chidi Nwosu</v>
      </c>
      <c r="I252" t="str">
        <v>Cash</v>
      </c>
      <c r="J252">
        <v>0</v>
      </c>
      <c r="L252">
        <v>3093</v>
      </c>
      <c r="M252" s="11">
        <v>45713</v>
      </c>
      <c r="N252" t="str">
        <v>Furniture</v>
      </c>
      <c r="O252" t="str">
        <v>VanityStool</v>
      </c>
    </row>
    <row r="253" spans="1:15" x14ac:dyDescent="0.25">
      <c r="A253">
        <v>3187</v>
      </c>
      <c r="B253" s="11">
        <v>45704</v>
      </c>
      <c r="C253" t="str">
        <v>Furniture</v>
      </c>
      <c r="D253" t="str">
        <v>PetCrate</v>
      </c>
      <c r="E253">
        <v>1</v>
      </c>
      <c r="F253">
        <v>35000</v>
      </c>
      <c r="G253" t="str">
        <v>East</v>
      </c>
      <c r="H253" t="str">
        <v>Femi Adebayo</v>
      </c>
      <c r="I253" t="str">
        <v>Transfer</v>
      </c>
      <c r="J253">
        <v>0</v>
      </c>
      <c r="L253">
        <v>3094</v>
      </c>
      <c r="M253" s="11">
        <v>45713</v>
      </c>
      <c r="N253" t="str">
        <v>Electronics</v>
      </c>
      <c r="O253" t="str">
        <v>SmartScale</v>
      </c>
    </row>
    <row r="254" spans="1:15" x14ac:dyDescent="0.25">
      <c r="A254">
        <v>3188</v>
      </c>
      <c r="B254" s="11">
        <v>45705</v>
      </c>
      <c r="C254" t="str">
        <v>Electronics</v>
      </c>
      <c r="D254" t="str">
        <v>RouterStand</v>
      </c>
      <c r="E254">
        <v>4</v>
      </c>
      <c r="F254">
        <v>6000</v>
      </c>
      <c r="G254" t="str">
        <v>West</v>
      </c>
      <c r="H254" t="str">
        <v>Tunde Bakare</v>
      </c>
      <c r="I254" t="str">
        <v>Card</v>
      </c>
      <c r="J254">
        <v>10</v>
      </c>
      <c r="L254">
        <v>3099</v>
      </c>
      <c r="M254" s="11">
        <v>45716</v>
      </c>
      <c r="N254" t="str">
        <v>Furniture</v>
      </c>
      <c r="O254" t="str">
        <v>FloorLamp</v>
      </c>
    </row>
    <row r="255" spans="1:15" x14ac:dyDescent="0.25">
      <c r="A255">
        <v>3189</v>
      </c>
      <c r="B255" s="11">
        <v>45706</v>
      </c>
      <c r="C255" t="str">
        <v>Clothing</v>
      </c>
      <c r="D255" t="str">
        <v>FannyPack</v>
      </c>
      <c r="E255">
        <v>4</v>
      </c>
      <c r="F255">
        <v>8000</v>
      </c>
      <c r="G255" t="str">
        <v>North</v>
      </c>
      <c r="H255" t="str">
        <v>Abiola Ogun</v>
      </c>
      <c r="I255" t="str">
        <v>Cash</v>
      </c>
      <c r="J255">
        <v>0</v>
      </c>
      <c r="L255">
        <v>3102</v>
      </c>
      <c r="M255" s="11">
        <v>45670</v>
      </c>
      <c r="N255" t="str">
        <v>Clothing</v>
      </c>
      <c r="O255" t="str">
        <v>MaxiDress</v>
      </c>
    </row>
    <row r="256" spans="1:15" x14ac:dyDescent="0.25">
      <c r="A256">
        <v>3190</v>
      </c>
      <c r="B256" s="11">
        <v>45707</v>
      </c>
      <c r="C256" t="str">
        <v>Furniture</v>
      </c>
      <c r="D256" t="str">
        <v>MakeupMirror</v>
      </c>
      <c r="E256">
        <v>2</v>
      </c>
      <c r="F256">
        <v>12000</v>
      </c>
      <c r="G256" t="str">
        <v>South</v>
      </c>
      <c r="H256" t="str">
        <v>Chidi Nwosu</v>
      </c>
      <c r="I256" t="str">
        <v>Transfer</v>
      </c>
      <c r="J256">
        <v>5</v>
      </c>
      <c r="L256">
        <v>3108</v>
      </c>
      <c r="M256" s="11">
        <v>45676</v>
      </c>
      <c r="N256" t="str">
        <v>Clothing</v>
      </c>
      <c r="O256" t="str">
        <v>Kimono</v>
      </c>
    </row>
    <row r="257" spans="1:15" x14ac:dyDescent="0.25">
      <c r="A257">
        <v>3191</v>
      </c>
      <c r="B257" s="11">
        <v>45708</v>
      </c>
      <c r="C257" t="str">
        <v>Electronics</v>
      </c>
      <c r="D257" t="str">
        <v>Drone</v>
      </c>
      <c r="E257">
        <v>1</v>
      </c>
      <c r="F257">
        <v>250000</v>
      </c>
      <c r="G257" t="str">
        <v>East</v>
      </c>
      <c r="H257" t="str">
        <v>Femi Adebayo</v>
      </c>
      <c r="I257" t="str">
        <v>Card</v>
      </c>
      <c r="J257">
        <v>0</v>
      </c>
      <c r="L257">
        <v>3109</v>
      </c>
      <c r="M257" s="11">
        <v>45677</v>
      </c>
      <c r="N257" t="str">
        <v>Furniture</v>
      </c>
      <c r="O257" t="str">
        <v>Bookcase</v>
      </c>
    </row>
    <row r="258" spans="1:15" x14ac:dyDescent="0.25">
      <c r="A258">
        <v>3192</v>
      </c>
      <c r="B258" s="11">
        <v>45709</v>
      </c>
      <c r="C258" t="str">
        <v>Clothing</v>
      </c>
      <c r="D258" t="str">
        <v>BaseballCap</v>
      </c>
      <c r="E258">
        <v>5</v>
      </c>
      <c r="F258">
        <v>7000</v>
      </c>
      <c r="G258" t="str">
        <v>West</v>
      </c>
      <c r="H258" t="str">
        <v>Tunde Bakare</v>
      </c>
      <c r="I258" t="str">
        <v>Cash</v>
      </c>
      <c r="J258">
        <v>0</v>
      </c>
      <c r="L258">
        <v>3111</v>
      </c>
      <c r="M258" s="11">
        <v>45679</v>
      </c>
      <c r="N258" t="str">
        <v>Clothing</v>
      </c>
      <c r="O258" t="str">
        <v>BomberJacket</v>
      </c>
    </row>
    <row r="259" spans="1:15" x14ac:dyDescent="0.25">
      <c r="A259">
        <v>3193</v>
      </c>
      <c r="B259" s="11">
        <v>45710</v>
      </c>
      <c r="C259" t="str">
        <v>Furniture</v>
      </c>
      <c r="D259" t="str">
        <v>CoatHook</v>
      </c>
      <c r="E259">
        <v>9</v>
      </c>
      <c r="F259">
        <v>3000</v>
      </c>
      <c r="G259" t="str">
        <v>North</v>
      </c>
      <c r="H259" t="str">
        <v>Abiola Ogun</v>
      </c>
      <c r="I259" t="str">
        <v>Transfer</v>
      </c>
      <c r="J259">
        <v>5</v>
      </c>
      <c r="L259">
        <v>3112</v>
      </c>
      <c r="M259" s="11">
        <v>45680</v>
      </c>
      <c r="N259" t="str">
        <v>Furniture</v>
      </c>
      <c r="O259" t="str">
        <v>StorageOttoman</v>
      </c>
    </row>
    <row r="260" spans="1:15" x14ac:dyDescent="0.25">
      <c r="A260">
        <v>3194</v>
      </c>
      <c r="B260" s="11">
        <v>45711</v>
      </c>
      <c r="C260" t="str">
        <v>Electronics</v>
      </c>
      <c r="D260" t="str">
        <v>RechargeableFan</v>
      </c>
      <c r="E260">
        <v>2</v>
      </c>
      <c r="F260">
        <v>18000</v>
      </c>
      <c r="G260" t="str">
        <v>South</v>
      </c>
      <c r="H260" t="str">
        <v>Chidi Nwosu</v>
      </c>
      <c r="I260" t="str">
        <v>Card</v>
      </c>
      <c r="J260">
        <v>0</v>
      </c>
      <c r="L260">
        <v>3115</v>
      </c>
      <c r="M260" s="11">
        <v>45683</v>
      </c>
      <c r="N260" t="str">
        <v>Furniture</v>
      </c>
      <c r="O260" t="str">
        <v>Futon</v>
      </c>
    </row>
    <row r="261" spans="1:15" x14ac:dyDescent="0.25">
      <c r="A261">
        <v>3195</v>
      </c>
      <c r="B261" s="11">
        <v>45712</v>
      </c>
      <c r="C261" t="str">
        <v>Clothing</v>
      </c>
      <c r="D261" t="str">
        <v>Agbada</v>
      </c>
      <c r="E261">
        <v>1</v>
      </c>
      <c r="F261">
        <v>85000</v>
      </c>
      <c r="G261" t="str">
        <v>East</v>
      </c>
      <c r="H261" t="str">
        <v>Femi Adebayo</v>
      </c>
      <c r="I261" t="str">
        <v>Cash</v>
      </c>
      <c r="J261">
        <v>0</v>
      </c>
      <c r="L261">
        <v>3116</v>
      </c>
      <c r="M261" s="11">
        <v>45684</v>
      </c>
      <c r="N261" t="str">
        <v>Electronics</v>
      </c>
      <c r="O261" t="str">
        <v>NoiseCancellingHeadphones</v>
      </c>
    </row>
    <row r="262" spans="1:15" x14ac:dyDescent="0.25">
      <c r="A262">
        <v>3196</v>
      </c>
      <c r="B262" s="11">
        <v>45713</v>
      </c>
      <c r="C262" t="str">
        <v>Furniture</v>
      </c>
      <c r="D262" t="str">
        <v>TraditionalStool</v>
      </c>
      <c r="E262">
        <v>3</v>
      </c>
      <c r="F262">
        <v>25000</v>
      </c>
      <c r="G262" t="str">
        <v>West</v>
      </c>
      <c r="H262" t="str">
        <v>Tunde Bakare</v>
      </c>
      <c r="I262" t="str">
        <v>Transfer</v>
      </c>
      <c r="J262">
        <v>10</v>
      </c>
      <c r="L262">
        <v>3121</v>
      </c>
      <c r="M262" s="11">
        <v>45689</v>
      </c>
      <c r="N262" t="str">
        <v>Furniture</v>
      </c>
      <c r="O262" t="str">
        <v>WallMirror</v>
      </c>
    </row>
    <row r="263" spans="1:15" x14ac:dyDescent="0.25">
      <c r="A263">
        <v>3197</v>
      </c>
      <c r="B263" s="11">
        <v>45714</v>
      </c>
      <c r="C263" t="str">
        <v>Electronics</v>
      </c>
      <c r="D263" t="str">
        <v>Kettle</v>
      </c>
      <c r="E263">
        <v>2</v>
      </c>
      <c r="F263">
        <v>15000</v>
      </c>
      <c r="G263" t="str">
        <v>North</v>
      </c>
      <c r="H263" t="str">
        <v>Abiola Ogun</v>
      </c>
      <c r="I263" t="str">
        <v>Card</v>
      </c>
      <c r="J263">
        <v>0</v>
      </c>
      <c r="L263">
        <v>3122</v>
      </c>
      <c r="M263" s="11">
        <v>45690</v>
      </c>
      <c r="N263" t="str">
        <v>Electronics</v>
      </c>
      <c r="O263" t="str">
        <v>DeskFan</v>
      </c>
    </row>
    <row r="264" spans="1:15" x14ac:dyDescent="0.25">
      <c r="A264">
        <v>3198</v>
      </c>
      <c r="B264" s="11">
        <v>45715</v>
      </c>
      <c r="C264" t="str">
        <v>Clothing</v>
      </c>
      <c r="D264" t="str">
        <v>Hijab</v>
      </c>
      <c r="E264">
        <v>5</v>
      </c>
      <c r="F264">
        <v>8000</v>
      </c>
      <c r="G264" t="str">
        <v>South</v>
      </c>
      <c r="H264" t="str">
        <v>Chidi Nwosu</v>
      </c>
      <c r="I264" t="str">
        <v>Cash</v>
      </c>
      <c r="J264">
        <v>5</v>
      </c>
      <c r="L264">
        <v>3127</v>
      </c>
      <c r="M264" s="11">
        <v>45695</v>
      </c>
      <c r="N264" t="str">
        <v>Furniture</v>
      </c>
      <c r="O264" t="str">
        <v>CornerShelf</v>
      </c>
    </row>
    <row r="265" spans="1:15" x14ac:dyDescent="0.25">
      <c r="A265">
        <v>3199</v>
      </c>
      <c r="B265" s="11">
        <v>45716</v>
      </c>
      <c r="C265" t="str">
        <v>Furniture</v>
      </c>
      <c r="D265" t="str">
        <v>PrayerMat</v>
      </c>
      <c r="E265">
        <v>3</v>
      </c>
      <c r="F265">
        <v>10000</v>
      </c>
      <c r="G265" t="str">
        <v>East</v>
      </c>
      <c r="H265" t="str">
        <v>Femi Adebayo</v>
      </c>
      <c r="I265" t="str">
        <v>Transfer</v>
      </c>
      <c r="J265">
        <v>0</v>
      </c>
      <c r="L265">
        <v>3136</v>
      </c>
      <c r="M265" s="11">
        <v>45704</v>
      </c>
      <c r="N265" t="str">
        <v>Furniture</v>
      </c>
      <c r="O265" t="str">
        <v>WineRack</v>
      </c>
    </row>
    <row r="266" spans="1:15" x14ac:dyDescent="0.25">
      <c r="A266">
        <v>3200</v>
      </c>
      <c r="B266" s="11">
        <v>45717</v>
      </c>
      <c r="C266" t="str">
        <v>Electronics</v>
      </c>
      <c r="D266" t="str">
        <v>ElectricCooker</v>
      </c>
      <c r="E266">
        <v>1</v>
      </c>
      <c r="F266">
        <v>120000</v>
      </c>
      <c r="G266" t="str">
        <v>West</v>
      </c>
      <c r="H266" t="str">
        <v>Tunde Bakare</v>
      </c>
      <c r="I266" t="str">
        <v>Card</v>
      </c>
      <c r="J266">
        <v>0</v>
      </c>
      <c r="L266">
        <v>3137</v>
      </c>
      <c r="M266" s="11">
        <v>45705</v>
      </c>
      <c r="N266" t="str">
        <v>Electronics</v>
      </c>
      <c r="O266" t="str">
        <v>SmartSpeaker</v>
      </c>
    </row>
    <row r="267" spans="1:15" x14ac:dyDescent="0.25">
      <c r="A267">
        <v>3201</v>
      </c>
      <c r="B267" s="11">
        <v>45672</v>
      </c>
      <c r="C267" t="str">
        <v>Electronics</v>
      </c>
      <c r="D267" t="str">
        <v>GamingConsole</v>
      </c>
      <c r="E267">
        <v>1</v>
      </c>
      <c r="F267">
        <v>350000</v>
      </c>
      <c r="G267" t="str">
        <v>North</v>
      </c>
      <c r="H267" t="str">
        <v>Abiola Ogun</v>
      </c>
      <c r="I267" t="str">
        <v>Card</v>
      </c>
      <c r="J267">
        <v>5</v>
      </c>
      <c r="L267">
        <v>3142</v>
      </c>
      <c r="M267" s="11">
        <v>45710</v>
      </c>
      <c r="N267" t="str">
        <v>Furniture</v>
      </c>
      <c r="O267" t="str">
        <v>UmbrellaStand</v>
      </c>
    </row>
    <row r="268" spans="1:15" x14ac:dyDescent="0.25">
      <c r="A268">
        <v>3202</v>
      </c>
      <c r="B268" s="11">
        <v>45673</v>
      </c>
      <c r="C268" t="str">
        <v>Clothing</v>
      </c>
      <c r="D268" t="str">
        <v>DenimJacket</v>
      </c>
      <c r="E268">
        <v>2</v>
      </c>
      <c r="F268">
        <v>25000</v>
      </c>
      <c r="G268" t="str">
        <v>South</v>
      </c>
      <c r="H268" t="str">
        <v>Chidi Nwosu</v>
      </c>
      <c r="I268" t="str">
        <v>Cash</v>
      </c>
      <c r="J268">
        <v>0</v>
      </c>
      <c r="L268">
        <v>3154</v>
      </c>
      <c r="M268" s="11">
        <v>45671</v>
      </c>
      <c r="N268" t="str">
        <v>Furniture</v>
      </c>
      <c r="O268" t="str">
        <v>JewelryBox</v>
      </c>
    </row>
    <row r="269" spans="1:15" x14ac:dyDescent="0.25">
      <c r="A269">
        <v>3203</v>
      </c>
      <c r="B269" s="11">
        <v>45674</v>
      </c>
      <c r="C269" t="str">
        <v>Furniture</v>
      </c>
      <c r="D269" t="str">
        <v>AccentChair</v>
      </c>
      <c r="E269">
        <v>2</v>
      </c>
      <c r="F269">
        <v>95000</v>
      </c>
      <c r="G269" t="str">
        <v>East</v>
      </c>
      <c r="H269" t="str">
        <v>Femi Adebayo</v>
      </c>
      <c r="I269" t="str">
        <v>Transfer</v>
      </c>
      <c r="J269">
        <v>10</v>
      </c>
      <c r="L269">
        <v>3162</v>
      </c>
      <c r="M269" s="11">
        <v>45679</v>
      </c>
      <c r="N269" t="str">
        <v>Clothing</v>
      </c>
      <c r="O269" t="str">
        <v>Swimsuit</v>
      </c>
    </row>
    <row r="270" spans="1:15" x14ac:dyDescent="0.25">
      <c r="A270">
        <v>3204</v>
      </c>
      <c r="B270" s="11">
        <v>45675</v>
      </c>
      <c r="C270" t="str">
        <v>Electronics</v>
      </c>
      <c r="D270" t="str">
        <v>SmartTV</v>
      </c>
      <c r="E270">
        <v>1</v>
      </c>
      <c r="F270">
        <v>250000</v>
      </c>
      <c r="G270" t="str">
        <v>West</v>
      </c>
      <c r="H270" t="str">
        <v>Tunde Bakare</v>
      </c>
      <c r="I270" t="str">
        <v>Card</v>
      </c>
      <c r="J270">
        <v>0</v>
      </c>
      <c r="L270">
        <v>3167</v>
      </c>
      <c r="M270" s="11">
        <v>45684</v>
      </c>
      <c r="N270" t="str">
        <v>Electronics</v>
      </c>
      <c r="O270" t="str">
        <v>Calculator</v>
      </c>
    </row>
    <row r="271" spans="1:15" x14ac:dyDescent="0.25">
      <c r="A271">
        <v>3205</v>
      </c>
      <c r="B271" s="11">
        <v>45676</v>
      </c>
      <c r="C271" t="str">
        <v>Clothing</v>
      </c>
      <c r="D271" t="str">
        <v>LeatherJacket</v>
      </c>
      <c r="E271">
        <v>1</v>
      </c>
      <c r="F271">
        <v>75000</v>
      </c>
      <c r="G271" t="str">
        <v>North</v>
      </c>
      <c r="H271" t="str">
        <v>Abiola Ogun</v>
      </c>
      <c r="I271" t="str">
        <v>Cash</v>
      </c>
      <c r="J271">
        <v>5</v>
      </c>
      <c r="L271">
        <v>3168</v>
      </c>
      <c r="M271" s="11">
        <v>45685</v>
      </c>
      <c r="N271" t="str">
        <v>Clothing</v>
      </c>
      <c r="O271" t="str">
        <v>SlipDress</v>
      </c>
    </row>
    <row r="272" spans="1:15" x14ac:dyDescent="0.25">
      <c r="A272">
        <v>3206</v>
      </c>
      <c r="B272" s="11">
        <v>45677</v>
      </c>
      <c r="C272" t="str">
        <v>Furniture</v>
      </c>
      <c r="D272" t="str">
        <v>ConsoleTable</v>
      </c>
      <c r="E272">
        <v>1</v>
      </c>
      <c r="F272">
        <v>55000</v>
      </c>
      <c r="G272" t="str">
        <v>South</v>
      </c>
      <c r="H272" t="str">
        <v>Chidi Nwosu</v>
      </c>
      <c r="I272" t="str">
        <v>Transfer</v>
      </c>
      <c r="J272">
        <v>0</v>
      </c>
      <c r="L272">
        <v>3172</v>
      </c>
      <c r="M272" s="11">
        <v>45689</v>
      </c>
      <c r="N272" t="str">
        <v>Furniture</v>
      </c>
      <c r="O272" t="str">
        <v>ClothesRack</v>
      </c>
    </row>
    <row r="273" spans="1:15" x14ac:dyDescent="0.25">
      <c r="A273">
        <v>3207</v>
      </c>
      <c r="B273" s="11">
        <v>45678</v>
      </c>
      <c r="C273" t="str">
        <v>Electronics</v>
      </c>
      <c r="D273" t="str">
        <v>Soundbar</v>
      </c>
      <c r="E273">
        <v>2</v>
      </c>
      <c r="F273">
        <v>120000</v>
      </c>
      <c r="G273" t="str">
        <v>East</v>
      </c>
      <c r="H273" t="str">
        <v>Femi Adebayo</v>
      </c>
      <c r="I273" t="str">
        <v>Card</v>
      </c>
      <c r="J273">
        <v>0</v>
      </c>
      <c r="L273">
        <v>3173</v>
      </c>
      <c r="M273" s="11">
        <v>45690</v>
      </c>
      <c r="N273" t="str">
        <v>Electronics</v>
      </c>
      <c r="O273" t="str">
        <v>VoltageRegulator</v>
      </c>
    </row>
    <row r="274" spans="1:15" x14ac:dyDescent="0.25">
      <c r="A274">
        <v>3208</v>
      </c>
      <c r="B274" s="11">
        <v>45679</v>
      </c>
      <c r="C274" t="str">
        <v>Clothing</v>
      </c>
      <c r="D274" t="str">
        <v>CargoPants</v>
      </c>
      <c r="E274">
        <v>3</v>
      </c>
      <c r="F274">
        <v>15000</v>
      </c>
      <c r="G274" t="str">
        <v>West</v>
      </c>
      <c r="H274" t="str">
        <v>Tunde Bakare</v>
      </c>
      <c r="I274" t="str">
        <v>Cash</v>
      </c>
      <c r="J274">
        <v>5</v>
      </c>
      <c r="L274">
        <v>3185</v>
      </c>
      <c r="M274" s="11">
        <v>45702</v>
      </c>
      <c r="N274" t="str">
        <v>Electronics</v>
      </c>
      <c r="O274" t="str">
        <v>AntivirusUSB</v>
      </c>
    </row>
    <row r="275" spans="1:15" x14ac:dyDescent="0.25">
      <c r="A275">
        <v>3209</v>
      </c>
      <c r="B275" s="11">
        <v>45680</v>
      </c>
      <c r="C275" t="str">
        <v>Furniture</v>
      </c>
      <c r="D275" t="str">
        <v>AdirondackChair</v>
      </c>
      <c r="E275">
        <v>2</v>
      </c>
      <c r="F275">
        <v>45000</v>
      </c>
      <c r="G275" t="str">
        <v>North</v>
      </c>
      <c r="H275" t="str">
        <v>Abiola Ogun</v>
      </c>
      <c r="I275" t="str">
        <v>Transfer</v>
      </c>
      <c r="J275">
        <v>0</v>
      </c>
      <c r="L275">
        <v>3186</v>
      </c>
      <c r="M275" s="11">
        <v>45703</v>
      </c>
      <c r="N275" t="str">
        <v>Clothing</v>
      </c>
      <c r="O275" t="str">
        <v>Romper</v>
      </c>
    </row>
    <row r="276" spans="1:15" x14ac:dyDescent="0.25">
      <c r="A276">
        <v>3210</v>
      </c>
      <c r="B276" s="11">
        <v>45681</v>
      </c>
      <c r="C276" t="str">
        <v>Electronics</v>
      </c>
      <c r="D276" t="str">
        <v>TabletCase</v>
      </c>
      <c r="E276">
        <v>4</v>
      </c>
      <c r="F276">
        <v>8000</v>
      </c>
      <c r="G276" t="str">
        <v>South</v>
      </c>
      <c r="H276" t="str">
        <v>Chidi Nwosu</v>
      </c>
      <c r="I276" t="str">
        <v>Card</v>
      </c>
      <c r="J276">
        <v>0</v>
      </c>
      <c r="L276">
        <v>3190</v>
      </c>
      <c r="M276" s="11">
        <v>45707</v>
      </c>
      <c r="N276" t="str">
        <v>Furniture</v>
      </c>
      <c r="O276" t="str">
        <v>MakeupMirror</v>
      </c>
    </row>
    <row r="277" spans="1:15" x14ac:dyDescent="0.25">
      <c r="A277">
        <v>3211</v>
      </c>
      <c r="B277" s="11">
        <v>45682</v>
      </c>
      <c r="C277" t="str">
        <v>Clothing</v>
      </c>
      <c r="D277" t="str">
        <v>Windbreaker</v>
      </c>
      <c r="E277">
        <v>2</v>
      </c>
      <c r="F277">
        <v>35000</v>
      </c>
      <c r="G277" t="str">
        <v>East</v>
      </c>
      <c r="H277" t="str">
        <v>Femi Adebayo</v>
      </c>
      <c r="I277" t="str">
        <v>Cash</v>
      </c>
      <c r="J277">
        <v>10</v>
      </c>
      <c r="L277">
        <v>3194</v>
      </c>
      <c r="M277" s="11">
        <v>45711</v>
      </c>
      <c r="N277" t="str">
        <v>Electronics</v>
      </c>
      <c r="O277" t="str">
        <v>RechargeableFan</v>
      </c>
    </row>
    <row r="278" spans="1:15" x14ac:dyDescent="0.25">
      <c r="A278">
        <v>3212</v>
      </c>
      <c r="B278" s="11">
        <v>45683</v>
      </c>
      <c r="C278" t="str">
        <v>Furniture</v>
      </c>
      <c r="D278" t="str">
        <v>HangingChair</v>
      </c>
      <c r="E278">
        <v>1</v>
      </c>
      <c r="F278">
        <v>85000</v>
      </c>
      <c r="G278" t="str">
        <v>West</v>
      </c>
      <c r="H278" t="str">
        <v>Tunde Bakare</v>
      </c>
      <c r="I278" t="str">
        <v>Transfer</v>
      </c>
      <c r="J278">
        <v>0</v>
      </c>
      <c r="L278">
        <v>3197</v>
      </c>
      <c r="M278" s="11">
        <v>45714</v>
      </c>
      <c r="N278" t="str">
        <v>Electronics</v>
      </c>
      <c r="O278" t="str">
        <v>Kettle</v>
      </c>
    </row>
    <row r="279" spans="1:15" x14ac:dyDescent="0.25">
      <c r="A279">
        <v>3213</v>
      </c>
      <c r="B279" s="11">
        <v>45684</v>
      </c>
      <c r="C279" t="str">
        <v>Electronics</v>
      </c>
      <c r="D279" t="str">
        <v>LEDStrip</v>
      </c>
      <c r="E279">
        <v>3</v>
      </c>
      <c r="F279">
        <v>5000</v>
      </c>
      <c r="G279" t="str">
        <v>North</v>
      </c>
      <c r="H279" t="str">
        <v>Abiola Ogun</v>
      </c>
      <c r="I279" t="str">
        <v>Card</v>
      </c>
      <c r="J279">
        <v>5</v>
      </c>
      <c r="L279">
        <v>3202</v>
      </c>
      <c r="M279" s="11">
        <v>45673</v>
      </c>
      <c r="N279" t="str">
        <v>Clothing</v>
      </c>
      <c r="O279" t="str">
        <v>DenimJacket</v>
      </c>
    </row>
    <row r="280" spans="1:15" x14ac:dyDescent="0.25">
      <c r="A280">
        <v>3214</v>
      </c>
      <c r="B280" s="11">
        <v>45685</v>
      </c>
      <c r="C280" t="str">
        <v>Clothing</v>
      </c>
      <c r="D280" t="str">
        <v>JeansShorts</v>
      </c>
      <c r="E280">
        <v>5</v>
      </c>
      <c r="F280">
        <v>10000</v>
      </c>
      <c r="G280" t="str">
        <v>South</v>
      </c>
      <c r="H280" t="str">
        <v>Chidi Nwosu</v>
      </c>
      <c r="I280" t="str">
        <v>Cash</v>
      </c>
      <c r="J280">
        <v>0</v>
      </c>
      <c r="L280">
        <v>3203</v>
      </c>
      <c r="M280" s="11">
        <v>45674</v>
      </c>
      <c r="N280" t="str">
        <v>Furniture</v>
      </c>
      <c r="O280" t="str">
        <v>AccentChair</v>
      </c>
    </row>
    <row r="281" spans="1:15" x14ac:dyDescent="0.25">
      <c r="A281">
        <v>3215</v>
      </c>
      <c r="B281" s="11">
        <v>45686</v>
      </c>
      <c r="C281" t="str">
        <v>Furniture</v>
      </c>
      <c r="D281" t="str">
        <v>BarCabinet</v>
      </c>
      <c r="E281">
        <v>1</v>
      </c>
      <c r="F281">
        <v>120000</v>
      </c>
      <c r="G281" t="str">
        <v>East</v>
      </c>
      <c r="H281" t="str">
        <v>Femi Adebayo</v>
      </c>
      <c r="I281" t="str">
        <v>Transfer</v>
      </c>
      <c r="J281">
        <v>0</v>
      </c>
      <c r="L281">
        <v>3207</v>
      </c>
      <c r="M281" s="11">
        <v>45678</v>
      </c>
      <c r="N281" t="str">
        <v>Electronics</v>
      </c>
      <c r="O281" t="str">
        <v>Soundbar</v>
      </c>
    </row>
    <row r="282" spans="1:15" x14ac:dyDescent="0.25">
      <c r="A282">
        <v>3216</v>
      </c>
      <c r="B282" s="11">
        <v>45687</v>
      </c>
      <c r="C282" t="str">
        <v>Electronics</v>
      </c>
      <c r="D282" t="str">
        <v>WebcamRingLight</v>
      </c>
      <c r="E282">
        <v>2</v>
      </c>
      <c r="F282">
        <v>8000</v>
      </c>
      <c r="G282" t="str">
        <v>West</v>
      </c>
      <c r="H282" t="str">
        <v>Tunde Bakare</v>
      </c>
      <c r="I282" t="str">
        <v>Card</v>
      </c>
      <c r="J282">
        <v>5</v>
      </c>
      <c r="L282">
        <v>3209</v>
      </c>
      <c r="M282" s="11">
        <v>45680</v>
      </c>
      <c r="N282" t="str">
        <v>Furniture</v>
      </c>
      <c r="O282" t="str">
        <v>AdirondackChair</v>
      </c>
    </row>
    <row r="283" spans="1:15" x14ac:dyDescent="0.25">
      <c r="A283">
        <v>3217</v>
      </c>
      <c r="B283" s="11">
        <v>45688</v>
      </c>
      <c r="C283" t="str">
        <v>Clothing</v>
      </c>
      <c r="D283" t="str">
        <v>Turtleneck</v>
      </c>
      <c r="E283">
        <v>3</v>
      </c>
      <c r="F283">
        <v>12000</v>
      </c>
      <c r="G283" t="str">
        <v>North</v>
      </c>
      <c r="H283" t="str">
        <v>Abiola Ogun</v>
      </c>
      <c r="I283" t="str">
        <v>Cash</v>
      </c>
      <c r="J283">
        <v>0</v>
      </c>
      <c r="L283">
        <v>3211</v>
      </c>
      <c r="M283" s="11">
        <v>45682</v>
      </c>
      <c r="N283" t="str">
        <v>Clothing</v>
      </c>
      <c r="O283" t="str">
        <v>Windbreaker</v>
      </c>
    </row>
    <row r="284" spans="1:15" x14ac:dyDescent="0.25">
      <c r="A284">
        <v>3218</v>
      </c>
      <c r="B284" s="11">
        <v>45689</v>
      </c>
      <c r="C284" t="str">
        <v>Furniture</v>
      </c>
      <c r="D284" t="str">
        <v>WallPuzzle</v>
      </c>
      <c r="E284">
        <v>2</v>
      </c>
      <c r="F284">
        <v>15000</v>
      </c>
      <c r="G284" t="str">
        <v>South</v>
      </c>
      <c r="H284" t="str">
        <v>Chidi Nwosu</v>
      </c>
      <c r="I284" t="str">
        <v>Transfer</v>
      </c>
      <c r="J284">
        <v>0</v>
      </c>
      <c r="L284">
        <v>3216</v>
      </c>
      <c r="M284" s="11">
        <v>45687</v>
      </c>
      <c r="N284" t="str">
        <v>Electronics</v>
      </c>
      <c r="O284" t="str">
        <v>WebcamRingLight</v>
      </c>
    </row>
    <row r="285" spans="1:15" x14ac:dyDescent="0.25">
      <c r="A285">
        <v>3219</v>
      </c>
      <c r="B285" s="11">
        <v>45690</v>
      </c>
      <c r="C285" t="str">
        <v>Electronics</v>
      </c>
      <c r="D285" t="str">
        <v>MicroSDCard</v>
      </c>
      <c r="E285">
        <v>8</v>
      </c>
      <c r="F285">
        <v>5000</v>
      </c>
      <c r="G285" t="str">
        <v>East</v>
      </c>
      <c r="H285" t="str">
        <v>Femi Adebayo</v>
      </c>
      <c r="I285" t="str">
        <v>Card</v>
      </c>
      <c r="J285">
        <v>10</v>
      </c>
      <c r="L285">
        <v>3218</v>
      </c>
      <c r="M285" s="11">
        <v>45689</v>
      </c>
      <c r="N285" t="str">
        <v>Furniture</v>
      </c>
      <c r="O285" t="str">
        <v>WallPuzzle</v>
      </c>
    </row>
    <row r="286" spans="1:15" x14ac:dyDescent="0.25">
      <c r="A286">
        <v>3220</v>
      </c>
      <c r="B286" s="11">
        <v>45691</v>
      </c>
      <c r="C286" t="str">
        <v>Clothing</v>
      </c>
      <c r="D286" t="str">
        <v>SilkScarf</v>
      </c>
      <c r="E286">
        <v>4</v>
      </c>
      <c r="F286">
        <v>12000</v>
      </c>
      <c r="G286" t="str">
        <v>West</v>
      </c>
      <c r="H286" t="str">
        <v>Tunde Bakare</v>
      </c>
      <c r="I286" t="str">
        <v>Cash</v>
      </c>
      <c r="J286">
        <v>0</v>
      </c>
      <c r="L286">
        <v>3221</v>
      </c>
      <c r="M286" s="11">
        <v>45692</v>
      </c>
      <c r="N286" t="str">
        <v>Furniture</v>
      </c>
      <c r="O286" t="str">
        <v>BistroTable</v>
      </c>
    </row>
    <row r="287" spans="1:15" x14ac:dyDescent="0.25">
      <c r="A287">
        <v>3221</v>
      </c>
      <c r="B287" s="11">
        <v>45692</v>
      </c>
      <c r="C287" t="str">
        <v>Furniture</v>
      </c>
      <c r="D287" t="str">
        <v>BistroTable</v>
      </c>
      <c r="E287">
        <v>2</v>
      </c>
      <c r="F287">
        <v>35000</v>
      </c>
      <c r="G287" t="str">
        <v>North</v>
      </c>
      <c r="H287" t="str">
        <v>Abiola Ogun</v>
      </c>
      <c r="I287" t="str">
        <v>Transfer</v>
      </c>
      <c r="J287">
        <v>5</v>
      </c>
      <c r="L287">
        <v>3228</v>
      </c>
      <c r="M287" s="11">
        <v>45699</v>
      </c>
      <c r="N287" t="str">
        <v>Electronics</v>
      </c>
      <c r="O287" t="str">
        <v>CarSpeakers</v>
      </c>
    </row>
    <row r="288" spans="1:15" x14ac:dyDescent="0.25">
      <c r="A288">
        <v>3222</v>
      </c>
      <c r="B288" s="11">
        <v>45693</v>
      </c>
      <c r="C288" t="str">
        <v>Electronics</v>
      </c>
      <c r="D288" t="str">
        <v>VideoDoorbell</v>
      </c>
      <c r="E288">
        <v>1</v>
      </c>
      <c r="F288">
        <v>45000</v>
      </c>
      <c r="G288" t="str">
        <v>South</v>
      </c>
      <c r="H288" t="str">
        <v>Chidi Nwosu</v>
      </c>
      <c r="I288" t="str">
        <v>Card</v>
      </c>
      <c r="J288">
        <v>0</v>
      </c>
      <c r="L288">
        <v>3232</v>
      </c>
      <c r="M288" s="11">
        <v>45703</v>
      </c>
      <c r="N288" t="str">
        <v>Clothing</v>
      </c>
      <c r="O288" t="str">
        <v>Poncho</v>
      </c>
    </row>
    <row r="289" spans="1:15" x14ac:dyDescent="0.25">
      <c r="A289">
        <v>3223</v>
      </c>
      <c r="B289" s="11">
        <v>45694</v>
      </c>
      <c r="C289" t="str">
        <v>Clothing</v>
      </c>
      <c r="D289" t="str">
        <v>HikingBoots</v>
      </c>
      <c r="E289">
        <v>1</v>
      </c>
      <c r="F289">
        <v>55000</v>
      </c>
      <c r="G289" t="str">
        <v>East</v>
      </c>
      <c r="H289" t="str">
        <v>Femi Adebayo</v>
      </c>
      <c r="I289" t="str">
        <v>Cash</v>
      </c>
      <c r="J289">
        <v>0</v>
      </c>
      <c r="L289">
        <v>3237</v>
      </c>
      <c r="M289" s="11">
        <v>45708</v>
      </c>
      <c r="N289" t="str">
        <v>Electronics</v>
      </c>
      <c r="O289" t="str">
        <v>NoiseMachine</v>
      </c>
    </row>
    <row r="290" spans="1:15" x14ac:dyDescent="0.25">
      <c r="A290">
        <v>3224</v>
      </c>
      <c r="B290" s="11">
        <v>45695</v>
      </c>
      <c r="C290" t="str">
        <v>Furniture</v>
      </c>
      <c r="D290" t="str">
        <v>FirePit</v>
      </c>
      <c r="E290">
        <v>1</v>
      </c>
      <c r="F290">
        <v>65000</v>
      </c>
      <c r="G290" t="str">
        <v>West</v>
      </c>
      <c r="H290" t="str">
        <v>Tunde Bakare</v>
      </c>
      <c r="I290" t="str">
        <v>Transfer</v>
      </c>
      <c r="J290">
        <v>10</v>
      </c>
      <c r="L290">
        <v>3240</v>
      </c>
      <c r="M290" s="11">
        <v>45711</v>
      </c>
      <c r="N290" t="str">
        <v>Electronics</v>
      </c>
      <c r="O290" t="str">
        <v>DigitalPictureFrame</v>
      </c>
    </row>
    <row r="291" spans="1:15" x14ac:dyDescent="0.25">
      <c r="A291">
        <v>3225</v>
      </c>
      <c r="B291" s="11">
        <v>45696</v>
      </c>
      <c r="C291" t="str">
        <v>Electronics</v>
      </c>
      <c r="D291" t="str">
        <v>RobotVacuum</v>
      </c>
      <c r="E291">
        <v>1</v>
      </c>
      <c r="F291">
        <v>120000</v>
      </c>
      <c r="G291" t="str">
        <v>North</v>
      </c>
      <c r="H291" t="str">
        <v>Abiola Ogun</v>
      </c>
      <c r="I291" t="str">
        <v>Card</v>
      </c>
      <c r="J291">
        <v>0</v>
      </c>
      <c r="L291">
        <v>3006</v>
      </c>
      <c r="M291" s="11">
        <v>45669</v>
      </c>
      <c r="N291" t="str">
        <v>Furniture</v>
      </c>
      <c r="O291" t="str">
        <v>Dining Table</v>
      </c>
    </row>
    <row r="292" spans="1:15" x14ac:dyDescent="0.25">
      <c r="A292">
        <v>3226</v>
      </c>
      <c r="B292" s="11">
        <v>45697</v>
      </c>
      <c r="C292" t="str">
        <v>Clothing</v>
      </c>
      <c r="D292" t="str">
        <v>Bathrobe</v>
      </c>
      <c r="E292">
        <v>3</v>
      </c>
      <c r="F292">
        <v>15000</v>
      </c>
      <c r="G292" t="str">
        <v>South</v>
      </c>
      <c r="H292" t="str">
        <v>Chidi Nwosu</v>
      </c>
      <c r="I292" t="str">
        <v>Cash</v>
      </c>
      <c r="J292">
        <v>5</v>
      </c>
      <c r="L292">
        <v>3009</v>
      </c>
      <c r="M292" s="11">
        <v>45671</v>
      </c>
      <c r="N292" t="str">
        <v>Furniture</v>
      </c>
      <c r="O292" t="str">
        <v>Bed Frame</v>
      </c>
    </row>
    <row r="293" spans="1:15" x14ac:dyDescent="0.25">
      <c r="A293">
        <v>3227</v>
      </c>
      <c r="B293" s="11">
        <v>45698</v>
      </c>
      <c r="C293" t="str">
        <v>Furniture</v>
      </c>
      <c r="D293" t="str">
        <v>ShagRug</v>
      </c>
      <c r="E293">
        <v>1</v>
      </c>
      <c r="F293">
        <v>35000</v>
      </c>
      <c r="G293" t="str">
        <v>East</v>
      </c>
      <c r="H293" t="str">
        <v>Femi Adebayo</v>
      </c>
      <c r="I293" t="str">
        <v>Transfer</v>
      </c>
      <c r="J293">
        <v>0</v>
      </c>
      <c r="L293">
        <v>3015</v>
      </c>
      <c r="M293" s="11">
        <v>45674</v>
      </c>
      <c r="N293" t="str">
        <v>Furniture</v>
      </c>
      <c r="O293" t="str">
        <v>Office Desk</v>
      </c>
    </row>
    <row r="294" spans="1:15" x14ac:dyDescent="0.25">
      <c r="A294">
        <v>3228</v>
      </c>
      <c r="B294" s="11">
        <v>45699</v>
      </c>
      <c r="C294" t="str">
        <v>Electronics</v>
      </c>
      <c r="D294" t="str">
        <v>CarSpeakers</v>
      </c>
      <c r="E294">
        <v>2</v>
      </c>
      <c r="F294">
        <v>25000</v>
      </c>
      <c r="G294" t="str">
        <v>West</v>
      </c>
      <c r="H294" t="str">
        <v>Tunde Bakare</v>
      </c>
      <c r="I294" t="str">
        <v>Card</v>
      </c>
      <c r="J294">
        <v>0</v>
      </c>
      <c r="L294">
        <v>3018</v>
      </c>
      <c r="M294" s="11">
        <v>45675</v>
      </c>
      <c r="N294" t="str">
        <v>Furniture</v>
      </c>
      <c r="O294" t="str">
        <v>Wardrobe</v>
      </c>
    </row>
    <row r="295" spans="1:15" x14ac:dyDescent="0.25">
      <c r="A295">
        <v>3229</v>
      </c>
      <c r="B295" s="11">
        <v>45700</v>
      </c>
      <c r="C295" t="str">
        <v>Clothing</v>
      </c>
      <c r="D295" t="str">
        <v>FlipFlops</v>
      </c>
      <c r="E295">
        <v>6</v>
      </c>
      <c r="F295">
        <v>5000</v>
      </c>
      <c r="G295" t="str">
        <v>North</v>
      </c>
      <c r="H295" t="str">
        <v>Abiola Ogun</v>
      </c>
      <c r="I295" t="str">
        <v>Cash</v>
      </c>
      <c r="J295">
        <v>5</v>
      </c>
      <c r="L295">
        <v>3021</v>
      </c>
      <c r="M295" s="11">
        <v>45677</v>
      </c>
      <c r="N295" t="str">
        <v>Furniture</v>
      </c>
      <c r="O295" t="str">
        <v>Sofa Set</v>
      </c>
    </row>
    <row r="296" spans="1:15" x14ac:dyDescent="0.25">
      <c r="A296">
        <v>3230</v>
      </c>
      <c r="B296" s="11">
        <v>45701</v>
      </c>
      <c r="C296" t="str">
        <v>Furniture</v>
      </c>
      <c r="D296" t="str">
        <v>DrawerOrganizer</v>
      </c>
      <c r="E296">
        <v>5</v>
      </c>
      <c r="F296">
        <v>4000</v>
      </c>
      <c r="G296" t="str">
        <v>South</v>
      </c>
      <c r="H296" t="str">
        <v>Chidi Nwosu</v>
      </c>
      <c r="I296" t="str">
        <v>Transfer</v>
      </c>
      <c r="J296">
        <v>0</v>
      </c>
      <c r="L296">
        <v>3025</v>
      </c>
      <c r="M296" s="11">
        <v>45679</v>
      </c>
      <c r="N296" t="str">
        <v>Electronics</v>
      </c>
      <c r="O296" t="str">
        <v>Printer</v>
      </c>
    </row>
    <row r="297" spans="1:15" x14ac:dyDescent="0.25">
      <c r="A297">
        <v>3231</v>
      </c>
      <c r="B297" s="11">
        <v>45702</v>
      </c>
      <c r="C297" t="str">
        <v>Electronics</v>
      </c>
      <c r="D297" t="str">
        <v>HDMISwitch</v>
      </c>
      <c r="E297">
        <v>3</v>
      </c>
      <c r="F297">
        <v>8000</v>
      </c>
      <c r="G297" t="str">
        <v>East</v>
      </c>
      <c r="H297" t="str">
        <v>Femi Adebayo</v>
      </c>
      <c r="I297" t="str">
        <v>Card</v>
      </c>
      <c r="J297">
        <v>0</v>
      </c>
      <c r="L297">
        <v>3026</v>
      </c>
      <c r="M297" s="11">
        <v>45679</v>
      </c>
      <c r="N297" t="str">
        <v>Clothing</v>
      </c>
      <c r="O297" t="str">
        <v>Blazer</v>
      </c>
    </row>
    <row r="298" spans="1:15" x14ac:dyDescent="0.25">
      <c r="A298">
        <v>3232</v>
      </c>
      <c r="B298" s="11">
        <v>45703</v>
      </c>
      <c r="C298" t="str">
        <v>Clothing</v>
      </c>
      <c r="D298" t="str">
        <v>Poncho</v>
      </c>
      <c r="E298">
        <v>2</v>
      </c>
      <c r="F298">
        <v>12000</v>
      </c>
      <c r="G298" t="str">
        <v>West</v>
      </c>
      <c r="H298" t="str">
        <v>Tunde Bakare</v>
      </c>
      <c r="I298" t="str">
        <v>Cash</v>
      </c>
      <c r="J298">
        <v>10</v>
      </c>
      <c r="L298">
        <v>3046</v>
      </c>
      <c r="M298" s="11">
        <v>45689</v>
      </c>
      <c r="N298" t="str">
        <v>Electronics</v>
      </c>
      <c r="O298" t="str">
        <v>HardDrive</v>
      </c>
    </row>
    <row r="299" spans="1:15" x14ac:dyDescent="0.25">
      <c r="A299">
        <v>3233</v>
      </c>
      <c r="B299" s="11">
        <v>45704</v>
      </c>
      <c r="C299" t="str">
        <v>Furniture</v>
      </c>
      <c r="D299" t="str">
        <v>WallClock</v>
      </c>
      <c r="E299">
        <v>4</v>
      </c>
      <c r="F299">
        <v>7000</v>
      </c>
      <c r="G299" t="str">
        <v>North</v>
      </c>
      <c r="H299" t="str">
        <v>Abiola Ogun</v>
      </c>
      <c r="I299" t="str">
        <v>Transfer</v>
      </c>
      <c r="J299">
        <v>0</v>
      </c>
      <c r="L299">
        <v>3048</v>
      </c>
      <c r="M299" s="11">
        <v>45690</v>
      </c>
      <c r="N299" t="str">
        <v>Furniture</v>
      </c>
      <c r="O299" t="str">
        <v>FilingCabinet</v>
      </c>
    </row>
    <row r="300" spans="1:15" x14ac:dyDescent="0.25">
      <c r="A300">
        <v>3234</v>
      </c>
      <c r="B300" s="11">
        <v>45705</v>
      </c>
      <c r="C300" t="str">
        <v>Electronics</v>
      </c>
      <c r="D300" t="str">
        <v>USBWallOutlet</v>
      </c>
      <c r="E300">
        <v>3</v>
      </c>
      <c r="F300">
        <v>6000</v>
      </c>
      <c r="G300" t="str">
        <v>South</v>
      </c>
      <c r="H300" t="str">
        <v>Chidi Nwosu</v>
      </c>
      <c r="I300" t="str">
        <v>Card</v>
      </c>
      <c r="J300">
        <v>5</v>
      </c>
      <c r="L300">
        <v>3052</v>
      </c>
      <c r="M300" s="11">
        <v>45692</v>
      </c>
      <c r="N300" t="str">
        <v>Electronics</v>
      </c>
      <c r="O300" t="str">
        <v>Camera</v>
      </c>
    </row>
    <row r="301" spans="1:15" x14ac:dyDescent="0.25">
      <c r="A301">
        <v>3235</v>
      </c>
      <c r="B301" s="11">
        <v>45706</v>
      </c>
      <c r="C301" t="str">
        <v>Clothing</v>
      </c>
      <c r="D301" t="str">
        <v>Leggings</v>
      </c>
      <c r="E301">
        <v>7</v>
      </c>
      <c r="F301">
        <v>8000</v>
      </c>
      <c r="G301" t="str">
        <v>East</v>
      </c>
      <c r="H301" t="str">
        <v>Femi Adebayo</v>
      </c>
      <c r="I301" t="str">
        <v>Cash</v>
      </c>
      <c r="J301">
        <v>0</v>
      </c>
      <c r="L301">
        <v>3058</v>
      </c>
      <c r="M301" s="11">
        <v>45695</v>
      </c>
      <c r="N301" t="str">
        <v>Electronics</v>
      </c>
      <c r="O301" t="str">
        <v>GraphicsTablet</v>
      </c>
    </row>
    <row r="302" spans="1:15" x14ac:dyDescent="0.25">
      <c r="A302">
        <v>3236</v>
      </c>
      <c r="B302" s="11">
        <v>45707</v>
      </c>
      <c r="C302" t="str">
        <v>Furniture</v>
      </c>
      <c r="D302" t="str">
        <v>MagazineRack</v>
      </c>
      <c r="E302">
        <v>3</v>
      </c>
      <c r="F302">
        <v>12000</v>
      </c>
      <c r="G302" t="str">
        <v>West</v>
      </c>
      <c r="H302" t="str">
        <v>Tunde Bakare</v>
      </c>
      <c r="I302" t="str">
        <v>Transfer</v>
      </c>
      <c r="J302">
        <v>0</v>
      </c>
      <c r="L302">
        <v>3065</v>
      </c>
      <c r="M302" s="11">
        <v>45699</v>
      </c>
      <c r="N302" t="str">
        <v>Clothing</v>
      </c>
      <c r="O302" t="str">
        <v>Handbag</v>
      </c>
    </row>
    <row r="303" spans="1:15" x14ac:dyDescent="0.25">
      <c r="A303">
        <v>3237</v>
      </c>
      <c r="B303" s="11">
        <v>45708</v>
      </c>
      <c r="C303" t="str">
        <v>Electronics</v>
      </c>
      <c r="D303" t="str">
        <v>NoiseMachine</v>
      </c>
      <c r="E303">
        <v>2</v>
      </c>
      <c r="F303">
        <v>25000</v>
      </c>
      <c r="G303" t="str">
        <v>North</v>
      </c>
      <c r="H303" t="str">
        <v>Abiola Ogun</v>
      </c>
      <c r="I303" t="str">
        <v>Card</v>
      </c>
      <c r="J303">
        <v>5</v>
      </c>
      <c r="L303">
        <v>3066</v>
      </c>
      <c r="M303" s="11">
        <v>45699</v>
      </c>
      <c r="N303" t="str">
        <v>Furniture</v>
      </c>
      <c r="O303" t="str">
        <v>TVStand</v>
      </c>
    </row>
    <row r="304" spans="1:15" x14ac:dyDescent="0.25">
      <c r="A304">
        <v>3238</v>
      </c>
      <c r="B304" s="11">
        <v>45709</v>
      </c>
      <c r="C304" t="str">
        <v>Clothing</v>
      </c>
      <c r="D304" t="str">
        <v>Kimono</v>
      </c>
      <c r="E304">
        <v>3</v>
      </c>
      <c r="F304">
        <v>18000</v>
      </c>
      <c r="G304" t="str">
        <v>South</v>
      </c>
      <c r="H304" t="str">
        <v>Chidi Nwosu</v>
      </c>
      <c r="I304" t="str">
        <v>Cash</v>
      </c>
      <c r="J304">
        <v>0</v>
      </c>
      <c r="L304">
        <v>3067</v>
      </c>
      <c r="M304" s="11">
        <v>45700</v>
      </c>
      <c r="N304" t="str">
        <v>Electronics</v>
      </c>
      <c r="O304" t="str">
        <v>Projector</v>
      </c>
    </row>
    <row r="305" spans="1:15" x14ac:dyDescent="0.25">
      <c r="A305">
        <v>3239</v>
      </c>
      <c r="B305" s="11">
        <v>45710</v>
      </c>
      <c r="C305" t="str">
        <v>Furniture</v>
      </c>
      <c r="D305" t="str">
        <v>FloatingShelf</v>
      </c>
      <c r="E305">
        <v>6</v>
      </c>
      <c r="F305">
        <v>15000</v>
      </c>
      <c r="G305" t="str">
        <v>East</v>
      </c>
      <c r="H305" t="str">
        <v>Femi Adebayo</v>
      </c>
      <c r="I305" t="str">
        <v>Transfer</v>
      </c>
      <c r="J305">
        <v>0</v>
      </c>
      <c r="L305">
        <v>3073</v>
      </c>
      <c r="M305" s="11">
        <v>45703</v>
      </c>
      <c r="N305" t="str">
        <v>Electronics</v>
      </c>
      <c r="O305" t="str">
        <v>VRHeadset</v>
      </c>
    </row>
    <row r="306" spans="1:15" x14ac:dyDescent="0.25">
      <c r="A306">
        <v>3240</v>
      </c>
      <c r="B306" s="11">
        <v>45711</v>
      </c>
      <c r="C306" t="str">
        <v>Electronics</v>
      </c>
      <c r="D306" t="str">
        <v>DigitalPictureFrame</v>
      </c>
      <c r="E306">
        <v>2</v>
      </c>
      <c r="F306">
        <v>12000</v>
      </c>
      <c r="G306" t="str">
        <v>West</v>
      </c>
      <c r="H306" t="str">
        <v>Tunde Bakare</v>
      </c>
      <c r="I306" t="str">
        <v>Card</v>
      </c>
      <c r="J306">
        <v>10</v>
      </c>
      <c r="L306">
        <v>3080</v>
      </c>
      <c r="M306" s="11">
        <v>45706</v>
      </c>
      <c r="N306" t="str">
        <v>Clothing</v>
      </c>
      <c r="O306" t="str">
        <v>Watch</v>
      </c>
    </row>
    <row r="307" spans="1:15" x14ac:dyDescent="0.25">
      <c r="A307">
        <v>3241</v>
      </c>
      <c r="B307" s="11">
        <v>45712</v>
      </c>
      <c r="C307" t="str">
        <v>Clothing</v>
      </c>
      <c r="D307" t="str">
        <v>Suspenders</v>
      </c>
      <c r="E307">
        <v>5</v>
      </c>
      <c r="F307">
        <v>6000</v>
      </c>
      <c r="G307" t="str">
        <v>North</v>
      </c>
      <c r="H307" t="str">
        <v>Abiola Ogun</v>
      </c>
      <c r="I307" t="str">
        <v>Cash</v>
      </c>
      <c r="J307">
        <v>0</v>
      </c>
      <c r="L307">
        <v>3083</v>
      </c>
      <c r="M307" s="11">
        <v>45708</v>
      </c>
      <c r="N307" t="str">
        <v>Clothing</v>
      </c>
      <c r="O307" t="str">
        <v>Raincoat</v>
      </c>
    </row>
    <row r="308" spans="1:15" x14ac:dyDescent="0.25">
      <c r="A308">
        <v>3242</v>
      </c>
      <c r="B308" s="11">
        <v>45713</v>
      </c>
      <c r="C308" t="str">
        <v>Furniture</v>
      </c>
      <c r="D308" t="str">
        <v>BarStool</v>
      </c>
      <c r="E308">
        <v>4</v>
      </c>
      <c r="F308">
        <v>25000</v>
      </c>
      <c r="G308" t="str">
        <v>South</v>
      </c>
      <c r="H308" t="str">
        <v>Chidi Nwosu</v>
      </c>
      <c r="I308" t="str">
        <v>Transfer</v>
      </c>
      <c r="J308">
        <v>5</v>
      </c>
      <c r="L308">
        <v>3085</v>
      </c>
      <c r="M308" s="11">
        <v>45709</v>
      </c>
      <c r="N308" t="str">
        <v>Electronics</v>
      </c>
      <c r="O308" t="str">
        <v>DockingStation</v>
      </c>
    </row>
    <row r="309" spans="1:15" x14ac:dyDescent="0.25">
      <c r="A309">
        <v>3243</v>
      </c>
      <c r="B309" s="11">
        <v>45714</v>
      </c>
      <c r="C309" t="str">
        <v>Electronics</v>
      </c>
      <c r="D309" t="str">
        <v>CarMount</v>
      </c>
      <c r="E309">
        <v>6</v>
      </c>
      <c r="F309">
        <v>3000</v>
      </c>
      <c r="G309" t="str">
        <v>East</v>
      </c>
      <c r="H309" t="str">
        <v>Femi Adebayo</v>
      </c>
      <c r="I309" t="str">
        <v>Card</v>
      </c>
      <c r="J309">
        <v>0</v>
      </c>
      <c r="L309">
        <v>3100</v>
      </c>
      <c r="M309" s="11">
        <v>45716</v>
      </c>
      <c r="N309" t="str">
        <v>Electronics</v>
      </c>
      <c r="O309" t="str">
        <v>AirPurifier</v>
      </c>
    </row>
    <row r="310" spans="1:15" x14ac:dyDescent="0.25">
      <c r="A310">
        <v>3244</v>
      </c>
      <c r="B310" s="11">
        <v>45715</v>
      </c>
      <c r="C310" t="str">
        <v>Clothing</v>
      </c>
      <c r="D310" t="str">
        <v>NeckGaiter</v>
      </c>
      <c r="E310">
        <v>4</v>
      </c>
      <c r="F310">
        <v>5000</v>
      </c>
      <c r="G310" t="str">
        <v>West</v>
      </c>
      <c r="H310" t="str">
        <v>Tunde Bakare</v>
      </c>
      <c r="I310" t="str">
        <v>Cash</v>
      </c>
      <c r="J310">
        <v>0</v>
      </c>
      <c r="L310">
        <v>3126</v>
      </c>
      <c r="M310" s="11">
        <v>45694</v>
      </c>
      <c r="N310" t="str">
        <v>Clothing</v>
      </c>
      <c r="O310" t="str">
        <v>PufferJacket</v>
      </c>
    </row>
    <row r="311" spans="1:15" x14ac:dyDescent="0.25">
      <c r="A311">
        <v>3245</v>
      </c>
      <c r="B311" s="11">
        <v>45716</v>
      </c>
      <c r="C311" t="str">
        <v>Furniture</v>
      </c>
      <c r="D311" t="str">
        <v>Trunk</v>
      </c>
      <c r="E311">
        <v>1</v>
      </c>
      <c r="F311">
        <v>55000</v>
      </c>
      <c r="G311" t="str">
        <v>North</v>
      </c>
      <c r="H311" t="str">
        <v>Abiola Ogun</v>
      </c>
      <c r="I311" t="str">
        <v>Transfer</v>
      </c>
      <c r="J311">
        <v>5</v>
      </c>
      <c r="L311">
        <v>3132</v>
      </c>
      <c r="M311" s="11">
        <v>45700</v>
      </c>
      <c r="N311" t="str">
        <v>Clothing</v>
      </c>
      <c r="O311" t="str">
        <v>Overcoat</v>
      </c>
    </row>
    <row r="312" spans="1:15" x14ac:dyDescent="0.25">
      <c r="L312">
        <v>3140</v>
      </c>
      <c r="M312" s="11">
        <v>45708</v>
      </c>
      <c r="N312" t="str">
        <v>Electronics</v>
      </c>
      <c r="O312" t="str">
        <v>ExternalDVDDrive</v>
      </c>
    </row>
    <row r="313" spans="1:15" x14ac:dyDescent="0.25">
      <c r="L313">
        <v>3155</v>
      </c>
      <c r="M313" s="11">
        <v>45672</v>
      </c>
      <c r="N313" t="str">
        <v>Electronics</v>
      </c>
      <c r="O313" t="str">
        <v>CameraLens</v>
      </c>
    </row>
    <row r="314" spans="1:15" x14ac:dyDescent="0.25">
      <c r="L314">
        <v>3158</v>
      </c>
      <c r="M314" s="11">
        <v>45675</v>
      </c>
      <c r="N314" t="str">
        <v>Electronics</v>
      </c>
      <c r="O314" t="str">
        <v>SmartThermostat</v>
      </c>
    </row>
    <row r="315" spans="1:15" x14ac:dyDescent="0.25">
      <c r="L315">
        <v>3166</v>
      </c>
      <c r="M315" s="11">
        <v>45683</v>
      </c>
      <c r="N315" t="str">
        <v>Furniture</v>
      </c>
      <c r="O315" t="str">
        <v>KitchenTrolley</v>
      </c>
    </row>
    <row r="316" spans="1:15" x14ac:dyDescent="0.25">
      <c r="L316">
        <v>3169</v>
      </c>
      <c r="M316" s="11">
        <v>45686</v>
      </c>
      <c r="N316" t="str">
        <v>Furniture</v>
      </c>
      <c r="O316" t="str">
        <v>OverbedTable</v>
      </c>
    </row>
    <row r="317" spans="1:15" x14ac:dyDescent="0.25">
      <c r="L317">
        <v>3175</v>
      </c>
      <c r="M317" s="11">
        <v>45692</v>
      </c>
      <c r="N317" t="str">
        <v>Furniture</v>
      </c>
      <c r="O317" t="str">
        <v>VanityTable</v>
      </c>
    </row>
    <row r="318" spans="1:15" x14ac:dyDescent="0.25">
      <c r="L318">
        <v>3184</v>
      </c>
      <c r="M318" s="11">
        <v>45701</v>
      </c>
      <c r="N318" t="str">
        <v>Furniture</v>
      </c>
      <c r="O318" t="str">
        <v>FireplaceScreen</v>
      </c>
    </row>
    <row r="319" spans="1:15" x14ac:dyDescent="0.25">
      <c r="L319">
        <v>3187</v>
      </c>
      <c r="M319" s="11">
        <v>45704</v>
      </c>
      <c r="N319" t="str">
        <v>Furniture</v>
      </c>
      <c r="O319" t="str">
        <v>PetCrate</v>
      </c>
    </row>
    <row r="320" spans="1:15" x14ac:dyDescent="0.25">
      <c r="L320">
        <v>3191</v>
      </c>
      <c r="M320" s="11">
        <v>45708</v>
      </c>
      <c r="N320" t="str">
        <v>Electronics</v>
      </c>
      <c r="O320" t="str">
        <v>Drone</v>
      </c>
    </row>
    <row r="321" spans="12:15" x14ac:dyDescent="0.25">
      <c r="L321">
        <v>3195</v>
      </c>
      <c r="M321" s="11">
        <v>45712</v>
      </c>
      <c r="N321" t="str">
        <v>Clothing</v>
      </c>
      <c r="O321" t="str">
        <v>Agbada</v>
      </c>
    </row>
    <row r="322" spans="12:15" x14ac:dyDescent="0.25">
      <c r="L322">
        <v>3200</v>
      </c>
      <c r="M322" s="11">
        <v>45717</v>
      </c>
      <c r="N322" t="str">
        <v>Electronics</v>
      </c>
      <c r="O322" t="str">
        <v>ElectricCooker</v>
      </c>
    </row>
    <row r="323" spans="12:15" x14ac:dyDescent="0.25">
      <c r="L323">
        <v>3201</v>
      </c>
      <c r="M323" s="11">
        <v>45672</v>
      </c>
      <c r="N323" t="str">
        <v>Electronics</v>
      </c>
      <c r="O323" t="str">
        <v>GamingConsole</v>
      </c>
    </row>
    <row r="324" spans="12:15" x14ac:dyDescent="0.25">
      <c r="L324">
        <v>3204</v>
      </c>
      <c r="M324" s="11">
        <v>45675</v>
      </c>
      <c r="N324" t="str">
        <v>Electronics</v>
      </c>
      <c r="O324" t="str">
        <v>SmartTV</v>
      </c>
    </row>
    <row r="325" spans="12:15" x14ac:dyDescent="0.25">
      <c r="L325">
        <v>3205</v>
      </c>
      <c r="M325" s="11">
        <v>45676</v>
      </c>
      <c r="N325" t="str">
        <v>Clothing</v>
      </c>
      <c r="O325" t="str">
        <v>LeatherJacket</v>
      </c>
    </row>
    <row r="326" spans="12:15" x14ac:dyDescent="0.25">
      <c r="L326">
        <v>3206</v>
      </c>
      <c r="M326" s="11">
        <v>45677</v>
      </c>
      <c r="N326" t="str">
        <v>Furniture</v>
      </c>
      <c r="O326" t="str">
        <v>ConsoleTable</v>
      </c>
    </row>
    <row r="327" spans="12:15" x14ac:dyDescent="0.25">
      <c r="L327">
        <v>3212</v>
      </c>
      <c r="M327" s="11">
        <v>45683</v>
      </c>
      <c r="N327" t="str">
        <v>Furniture</v>
      </c>
      <c r="O327" t="str">
        <v>HangingChair</v>
      </c>
    </row>
    <row r="328" spans="12:15" x14ac:dyDescent="0.25">
      <c r="L328">
        <v>3215</v>
      </c>
      <c r="M328" s="11">
        <v>45686</v>
      </c>
      <c r="N328" t="str">
        <v>Furniture</v>
      </c>
      <c r="O328" t="str">
        <v>BarCabinet</v>
      </c>
    </row>
    <row r="329" spans="12:15" x14ac:dyDescent="0.25">
      <c r="L329">
        <v>3222</v>
      </c>
      <c r="M329" s="11">
        <v>45693</v>
      </c>
      <c r="N329" t="str">
        <v>Electronics</v>
      </c>
      <c r="O329" t="str">
        <v>VideoDoorbell</v>
      </c>
    </row>
    <row r="330" spans="12:15" x14ac:dyDescent="0.25">
      <c r="L330">
        <v>3223</v>
      </c>
      <c r="M330" s="11">
        <v>45694</v>
      </c>
      <c r="N330" t="str">
        <v>Clothing</v>
      </c>
      <c r="O330" t="str">
        <v>HikingBoots</v>
      </c>
    </row>
    <row r="331" spans="12:15" x14ac:dyDescent="0.25">
      <c r="L331">
        <v>3224</v>
      </c>
      <c r="M331" s="11">
        <v>45695</v>
      </c>
      <c r="N331" t="str">
        <v>Furniture</v>
      </c>
      <c r="O331" t="str">
        <v>FirePit</v>
      </c>
    </row>
    <row r="332" spans="12:15" x14ac:dyDescent="0.25">
      <c r="L332">
        <v>3225</v>
      </c>
      <c r="M332" s="11">
        <v>45696</v>
      </c>
      <c r="N332" t="str">
        <v>Electronics</v>
      </c>
      <c r="O332" t="str">
        <v>RobotVacuum</v>
      </c>
    </row>
    <row r="333" spans="12:15" x14ac:dyDescent="0.25">
      <c r="L333">
        <v>3227</v>
      </c>
      <c r="M333" s="11">
        <v>45698</v>
      </c>
      <c r="N333" t="str">
        <v>Furniture</v>
      </c>
      <c r="O333" t="str">
        <v>ShagRug</v>
      </c>
    </row>
    <row r="334" spans="12:15" x14ac:dyDescent="0.25">
      <c r="L334">
        <v>3245</v>
      </c>
      <c r="M334" s="11">
        <v>45716</v>
      </c>
      <c r="N334" t="str">
        <v>Furniture</v>
      </c>
      <c r="O334" t="str">
        <v>Trunk</v>
      </c>
    </row>
  </sheetData>
  <mergeCells count="5">
    <mergeCell ref="A65:J65"/>
    <mergeCell ref="L88:O88"/>
    <mergeCell ref="A1:C1"/>
    <mergeCell ref="A64:C64"/>
    <mergeCell ref="L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21031-8982-485D-A889-04687F67A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Filters</vt:lpstr>
      <vt:lpstr>North Orders</vt:lpstr>
      <vt:lpstr>East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2026-04-22T18:50:48Z</dcterms:created>
  <dcterms:modified xsi:type="dcterms:W3CDTF">2026-04-22T20:27:43Z</dcterms:modified>
</cp:coreProperties>
</file>