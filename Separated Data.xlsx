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CD9F07-32DF-4C25-8348-E1D8A41224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ing data u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B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</calcChain>
</file>

<file path=xl/sharedStrings.xml><?xml version="1.0" encoding="utf-8"?>
<sst xmlns="http://schemas.openxmlformats.org/spreadsheetml/2006/main" count="25" uniqueCount="25">
  <si>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</si>
  <si>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</si>
  <si>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</si>
  <si>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</si>
  <si>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</si>
  <si>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</si>
  <si>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</si>
  <si>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</si>
  <si>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</si>
  <si>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</si>
  <si>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</si>
  <si>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</si>
  <si>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</si>
  <si>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</si>
  <si>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</si>
  <si>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</si>
  <si>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</si>
  <si>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</si>
  <si>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</si>
  <si>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Name</t>
  </si>
  <si>
    <t>Staff ID</t>
  </si>
  <si>
    <t>Job Description</t>
  </si>
  <si>
    <t>Department</t>
  </si>
  <si>
    <t>Date Of Appointment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</si>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</sst>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6" fontId="0" fillId="0" borderId="0" xfId="0" applyNumberFormat="1"/>
    <xf numFmtId="0" fontId="16" fillId="0" borderId="0" xfId="0" applyFont="1"/>
    <xf numFmtId="166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6ACD6-12B5-4C8B-A20C-B30283AC06DB}" name="Table1" displayName="Table1" ref="A1:F20" totalsRowShown="0" headerRowDxfId="0">
  <autoFilter ref="A1:F20" xr:uid="{02C6ACD6-12B5-4C8B-A20C-B30283AC06DB}"/>
  <tableColumns count="6">
    <tableColumn id="1" xr3:uid="{36BC5F26-54AE-43CD-A04E-B61CC86FF9F2}" name="Column1"/>
    <tableColumn id="2" xr3:uid="{FE070437-A41C-40C3-87A2-CB1FB9E35A46}" name="Name">
      <calculatedColumnFormula>PROPER(LEFT(A2, FIND(";", A2)-1))</calculatedColumnFormula>
    </tableColumn>
    <tableColumn id="3" xr3:uid="{02032AE2-7267-4016-97AD-86E0DAB423F6}" name="Date Of Appointment" dataDxfId="1">
      <calculatedColumnFormula>TEXT(PROPER(LEFT(RIGHT(A2, LEN(A2)-FIND(";", A2)),FIND(";", RIGHT(A2, LEN(A2)-FIND(";", A2)))-1)), "mm/dd/yyyy")</calculatedColumnFormula>
    </tableColumn>
    <tableColumn id="4" xr3:uid="{C0009C38-83D5-4DB3-A22B-72382C665130}" name="Staff ID">
      <calculatedColumnFormula>LEFT(RIGHT(RIGHT(A2, LEN(A2)-FIND(";", A2)),LEN(RIGHT(A2, LEN(A2)-FIND(";", A2)))-FIND(";", RIGHT(A2, LEN(A2)-FIND(";", A2)))),FIND(";",RIGHT(RIGHT(A2, LEN(A2)-FIND(";", A2)),LEN(RIGHT(A2, LEN(A2)-FIND(";", A2)))-FIND(";", RIGHT(A2, LEN(A2)-FIND(";", A2)))))-1)</calculatedColumnFormula>
    </tableColumn>
    <tableColumn id="5" xr3:uid="{4B2290E3-4945-49A9-8522-F4A1048C701F}" name="Department">
      <calculatedColumnFormula>PROPER(LEFT(RIGHT(RIGHT(RIGHT(A2,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A2)))))),FIND(";", 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A2)))))))-1))</calculatedColumnFormula>
    </tableColumn>
    <tableColumn id="6" xr3:uid="{20206C09-6765-4D44-9EEE-E96375AE7479}" name="Job Description">
      <calculatedColumnFormula>PROPER(RIGHT(RIGHT(RIGHT(RIGHT(A2,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A2)))))), LEN(RIGHT(RIGHT(RIGHT(A2,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A2)))))))-FIND(";", 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20"/>
  <sheetViews>
    <sheetView tabSelected="1" topLeftCell="B1" workbookViewId="0">
      <selection activeCell="H6" sqref="H6"/>
    </sheetView>
  </sheetViews>
  <sheetFormatPr defaultRowHeight="15" x14ac:dyDescent="0.25"/>
  <cols>
    <col min="1" max="1" width="72.42578125" hidden="1" customWidth="1"/>
    <col min="2" max="2" width="19.140625" bestFit="1" customWidth="1"/>
    <col min="3" max="3" width="22.140625" customWidth="1"/>
    <col min="4" max="4" width="9.5703125" customWidth="1"/>
    <col min="5" max="5" width="36.42578125" customWidth="1"/>
    <col min="6" max="6" width="23.28515625" bestFit="1" customWidth="1"/>
  </cols>
  <sheetData>
    <row r="1" spans="1:6" x14ac:dyDescent="0.25">
      <c r="A1" t="s">
        <v>24</v>
      </c>
      <c r="B1" s="2" t="s">
        <v>19</v>
      </c>
      <c r="C1" s="3" t="s">
        <v>23</v>
      </c>
      <c r="D1" s="2" t="s">
        <v>20</v>
      </c>
      <c r="E1" s="2" t="s">
        <v>22</v>
      </c>
      <c r="F1" s="2" t="s">
        <v>21</v>
      </c>
    </row>
    <row r="2" spans="1:6" x14ac:dyDescent="0.25">
      <c r="A2" t="s">
        <v>0</v>
      </c>
      <c r="B2" t="str">
        <f>PROPER(LEFT(A2, FIND(";", A2)-1))</f>
        <v xml:space="preserve">Juarez, Jose </v>
      </c>
      <c r="C2" s="1" t="str">
        <f>TEXT(PROPER(LEFT(RIGHT(A2, LEN(A2)-FIND(";", A2)),FIND(";", RIGHT(A2, LEN(A2)-FIND(";", A2)))-1)), "mm/dd/yyyy")</f>
        <v>01/23/2013</v>
      </c>
      <c r="D2" t="str">
        <f>LEFT(RIGHT(RIGHT(A2, LEN(A2)-FIND(";", A2)),LEN(RIGHT(A2, LEN(A2)-FIND(";", A2)))-FIND(";", RIGHT(A2, LEN(A2)-FIND(";", A2)))),FIND(";",RIGHT(RIGHT(A2, LEN(A2)-FIND(";", A2)),LEN(RIGHT(A2, LEN(A2)-FIND(";", A2)))-FIND(";", RIGHT(A2, LEN(A2)-FIND(";", A2)))))-1)</f>
        <v>39000</v>
      </c>
      <c r="E2" t="str">
        <f>PROPER(LEFT(RIGHT(RIGHT(RIGHT(A2,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A2)))))),FIND(";", 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A2)))))))-1))</f>
        <v>Admin</v>
      </c>
      <c r="F2" t="str">
        <f>PROPER(RIGHT(RIGHT(RIGHT(RIGHT(A2,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A2)))))), LEN(RIGHT(RIGHT(RIGHT(A2,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A2)))))))-FIND(";", RIGHT(RIGHT(RIGHT(A2, LEN(A2)-FIND(";", A2)),LEN(RIGHT(A2, LEN(A2)-FIND(";", A2)))-FIND(";",RIGHT(A2, LEN(A2)-FIND(";", A2)))),LEN(RIGHT(RIGHT(A2, LEN(A2)-FIND(";", A2)),LEN(RIGHT(A2, LEN(A2)-FIND(";", A2)))-FIND(";", RIGHT(A2, LEN(A2)-FIND(";", A2)))))-FIND(";",RIGHT(RIGHT(A2, LEN(A2)-FIND(";", A2)),LEN(RIGHT(A2, LEN(A2)-FIND(";", A2)))-FIND(";",RIGHT(A2, LEN(A2)-FIND(";", A2)))))))))</f>
        <v>Intern</v>
      </c>
    </row>
    <row r="3" spans="1:6" x14ac:dyDescent="0.25">
      <c r="A3" t="s">
        <v>1</v>
      </c>
      <c r="B3" t="str">
        <f>PROPER(LEFT(A3, FIND(";", A3)-1))</f>
        <v xml:space="preserve">Abraham, Johnny </v>
      </c>
      <c r="C3" s="1" t="str">
        <f t="shared" ref="C3:C20" si="0">TEXT(PROPER(LEFT(RIGHT(A3, LEN(A3)-FIND(";", A3)),FIND(";", RIGHT(A3, LEN(A3)-FIND(";", A3)))-1)), "mm/dd/yyyy")</f>
        <v>03/30/2013</v>
      </c>
      <c r="D3" t="str">
        <f>LEFT(RIGHT(RIGHT(A3, LEN(A3)-FIND(";", A3)),LEN(RIGHT(A3, LEN(A3)-FIND(";", A3)))-FIND(";", RIGHT(A3, LEN(A3)-FIND(";", A3)))),FIND(";",RIGHT(RIGHT(A3, LEN(A3)-FIND(";", A3)),LEN(RIGHT(A3, LEN(A3)-FIND(";", A3)))-FIND(";", RIGHT(A3, LEN(A3)-FIND(";", A3)))))-1)</f>
        <v>27000</v>
      </c>
      <c r="E3" t="str">
        <f>PROPER(LEFT(RIGHT(RIGHT(RIGHT(A3, LEN(A3)-FIND(";", A3)),LEN(RIGHT(A3, LEN(A3)-FIND(";", A3)))-FIND(";",RIGHT(A3, LEN(A3)-FIND(";", A3)))),LEN(RIGHT(RIGHT(A3, LEN(A3)-FIND(";", A3)),LEN(RIGHT(A3, LEN(A3)-FIND(";", A3)))-FIND(";", RIGHT(A3, LEN(A3)-FIND(";", A3)))))-FIND(";",RIGHT(RIGHT(A3, LEN(A3)-FIND(";", A3)),LEN(RIGHT(A3, LEN(A3)-FIND(";", A3)))-FIND(";",RIGHT(A3, LEN(A3)-FIND(";", A3)))))),FIND(";", RIGHT(RIGHT(RIGHT(A3, LEN(A3)-FIND(";", A3)),LEN(RIGHT(A3, LEN(A3)-FIND(";", A3)))-FIND(";",RIGHT(A3, LEN(A3)-FIND(";", A3)))),LEN(RIGHT(RIGHT(A3, LEN(A3)-FIND(";", A3)),LEN(RIGHT(A3, LEN(A3)-FIND(";", A3)))-FIND(";", RIGHT(A3, LEN(A3)-FIND(";", A3)))))-FIND(";",RIGHT(RIGHT(A3, LEN(A3)-FIND(";", A3)),LEN(RIGHT(A3, LEN(A3)-FIND(";", A3)))-FIND(";",RIGHT(A3, LEN(A3)-FIND(";", A3)))))))-1))</f>
        <v>Engineering</v>
      </c>
      <c r="F3" t="str">
        <f t="shared" ref="F3:F20" si="1">PROPER(RIGHT(RIGHT(RIGHT(RIGHT(A3, LEN(A3)-FIND(";", A3)),LEN(RIGHT(A3, LEN(A3)-FIND(";", A3)))-FIND(";",RIGHT(A3, LEN(A3)-FIND(";", A3)))),LEN(RIGHT(RIGHT(A3, LEN(A3)-FIND(";", A3)),LEN(RIGHT(A3, LEN(A3)-FIND(";", A3)))-FIND(";", RIGHT(A3, LEN(A3)-FIND(";", A3)))))-FIND(";",RIGHT(RIGHT(A3, LEN(A3)-FIND(";", A3)),LEN(RIGHT(A3, LEN(A3)-FIND(";", A3)))-FIND(";",RIGHT(A3, LEN(A3)-FIND(";", A3)))))), LEN(RIGHT(RIGHT(RIGHT(A3, LEN(A3)-FIND(";", A3)),LEN(RIGHT(A3, LEN(A3)-FIND(";", A3)))-FIND(";",RIGHT(A3, LEN(A3)-FIND(";", A3)))),LEN(RIGHT(RIGHT(A3, LEN(A3)-FIND(";", A3)),LEN(RIGHT(A3, LEN(A3)-FIND(";", A3)))-FIND(";", RIGHT(A3, LEN(A3)-FIND(";", A3)))))-FIND(";",RIGHT(RIGHT(A3, LEN(A3)-FIND(";", A3)),LEN(RIGHT(A3, LEN(A3)-FIND(";", A3)))-FIND(";",RIGHT(A3, LEN(A3)-FIND(";", A3)))))))-FIND(";", RIGHT(RIGHT(RIGHT(A3, LEN(A3)-FIND(";", A3)),LEN(RIGHT(A3, LEN(A3)-FIND(";", A3)))-FIND(";",RIGHT(A3, LEN(A3)-FIND(";", A3)))),LEN(RIGHT(RIGHT(A3, LEN(A3)-FIND(";", A3)),LEN(RIGHT(A3, LEN(A3)-FIND(";", A3)))-FIND(";", RIGHT(A3, LEN(A3)-FIND(";", A3)))))-FIND(";",RIGHT(RIGHT(A3, LEN(A3)-FIND(";", A3)),LEN(RIGHT(A3, LEN(A3)-FIND(";", A3)))-FIND(";",RIGHT(A3, LEN(A3)-FIND(";", A3)))))))))</f>
        <v>Trainee</v>
      </c>
    </row>
    <row r="4" spans="1:6" x14ac:dyDescent="0.25">
      <c r="A4" t="s">
        <v>2</v>
      </c>
      <c r="B4" t="str">
        <f>PROPER(LEFT(A4, FIND(";", A4)-1))</f>
        <v>Baker, Sarah</v>
      </c>
      <c r="C4" s="1" t="str">
        <f t="shared" si="0"/>
        <v>04/30/2015</v>
      </c>
      <c r="D4" t="str">
        <f>LEFT(RIGHT(RIGHT(A4, LEN(A4)-FIND(";", A4)),LEN(RIGHT(A4, LEN(A4)-FIND(";", A4)))-FIND(";", RIGHT(A4, LEN(A4)-FIND(";", A4)))),FIND(";",RIGHT(RIGHT(A4, LEN(A4)-FIND(";", A4)),LEN(RIGHT(A4, LEN(A4)-FIND(";", A4)))-FIND(";", RIGHT(A4, LEN(A4)-FIND(";", A4)))))-1)</f>
        <v>36000</v>
      </c>
      <c r="E4" t="str">
        <f>PROPER(LEFT(RIGHT(RIGHT(RIGHT(A4, LEN(A4)-FIND(";", A4)),LEN(RIGHT(A4, LEN(A4)-FIND(";", A4)))-FIND(";",RIGHT(A4, LEN(A4)-FIND(";", A4)))),LEN(RIGHT(RIGHT(A4, LEN(A4)-FIND(";", A4)),LEN(RIGHT(A4, LEN(A4)-FIND(";", A4)))-FIND(";", RIGHT(A4, LEN(A4)-FIND(";", A4)))))-FIND(";",RIGHT(RIGHT(A4, LEN(A4)-FIND(";", A4)),LEN(RIGHT(A4, LEN(A4)-FIND(";", A4)))-FIND(";",RIGHT(A4, LEN(A4)-FIND(";", A4)))))),FIND(";", RIGHT(RIGHT(RIGHT(A4, LEN(A4)-FIND(";", A4)),LEN(RIGHT(A4, LEN(A4)-FIND(";", A4)))-FIND(";",RIGHT(A4, LEN(A4)-FIND(";", A4)))),LEN(RIGHT(RIGHT(A4, LEN(A4)-FIND(";", A4)),LEN(RIGHT(A4, LEN(A4)-FIND(";", A4)))-FIND(";", RIGHT(A4, LEN(A4)-FIND(";", A4)))))-FIND(";",RIGHT(RIGHT(A4, LEN(A4)-FIND(";", A4)),LEN(RIGHT(A4, LEN(A4)-FIND(";", A4)))-FIND(";",RIGHT(A4, LEN(A4)-FIND(";", A4)))))))-1))</f>
        <v>Sales</v>
      </c>
      <c r="F4" t="str">
        <f t="shared" si="1"/>
        <v>Sales Executive</v>
      </c>
    </row>
    <row r="5" spans="1:6" x14ac:dyDescent="0.25">
      <c r="A5" t="s">
        <v>3</v>
      </c>
      <c r="B5" t="str">
        <f>PROPER(LEFT(A5, FIND(";", A5)-1))</f>
        <v>Balotelli, Billy</v>
      </c>
      <c r="C5" s="1" t="str">
        <f t="shared" si="0"/>
        <v>11/15/2007</v>
      </c>
      <c r="D5" t="str">
        <f>LEFT(RIGHT(RIGHT(A5, LEN(A5)-FIND(";", A5)),LEN(RIGHT(A5, LEN(A5)-FIND(";", A5)))-FIND(";", RIGHT(A5, LEN(A5)-FIND(";", A5)))),FIND(";",RIGHT(RIGHT(A5, LEN(A5)-FIND(";", A5)),LEN(RIGHT(A5, LEN(A5)-FIND(";", A5)))-FIND(";", RIGHT(A5, LEN(A5)-FIND(";", A5)))))-1)</f>
        <v>23900</v>
      </c>
      <c r="E5" t="str">
        <f>PROPER(LEFT(RIGHT(RIGHT(RIGHT(A5, LEN(A5)-FIND(";", A5)),LEN(RIGHT(A5, LEN(A5)-FIND(";", A5)))-FIND(";",RIGHT(A5, LEN(A5)-FIND(";", A5)))),LEN(RIGHT(RIGHT(A5, LEN(A5)-FIND(";", A5)),LEN(RIGHT(A5, LEN(A5)-FIND(";", A5)))-FIND(";", RIGHT(A5, LEN(A5)-FIND(";", A5)))))-FIND(";",RIGHT(RIGHT(A5, LEN(A5)-FIND(";", A5)),LEN(RIGHT(A5, LEN(A5)-FIND(";", A5)))-FIND(";",RIGHT(A5, LEN(A5)-FIND(";", A5)))))),FIND(";", RIGHT(RIGHT(RIGHT(A5, LEN(A5)-FIND(";", A5)),LEN(RIGHT(A5, LEN(A5)-FIND(";", A5)))-FIND(";",RIGHT(A5, LEN(A5)-FIND(";", A5)))),LEN(RIGHT(RIGHT(A5, LEN(A5)-FIND(";", A5)),LEN(RIGHT(A5, LEN(A5)-FIND(";", A5)))-FIND(";", RIGHT(A5, LEN(A5)-FIND(";", A5)))))-FIND(";",RIGHT(RIGHT(A5, LEN(A5)-FIND(";", A5)),LEN(RIGHT(A5, LEN(A5)-FIND(";", A5)))-FIND(";",RIGHT(A5, LEN(A5)-FIND(";", A5)))))))-1))</f>
        <v>Engineering</v>
      </c>
      <c r="F5" t="str">
        <f t="shared" si="1"/>
        <v>Intern</v>
      </c>
    </row>
    <row r="6" spans="1:6" x14ac:dyDescent="0.25">
      <c r="A6" t="s">
        <v>4</v>
      </c>
      <c r="B6" t="str">
        <f>PROPER(LEFT(A6, FIND(";", A6)-1))</f>
        <v xml:space="preserve">Bishop, Tiana </v>
      </c>
      <c r="C6" s="1" t="str">
        <f t="shared" si="0"/>
        <v>12/04/2003</v>
      </c>
      <c r="D6" t="str">
        <f>LEFT(RIGHT(RIGHT(A6, LEN(A6)-FIND(";", A6)),LEN(RIGHT(A6, LEN(A6)-FIND(";", A6)))-FIND(";", RIGHT(A6, LEN(A6)-FIND(";", A6)))),FIND(";",RIGHT(RIGHT(A6, LEN(A6)-FIND(";", A6)),LEN(RIGHT(A6, LEN(A6)-FIND(";", A6)))-FIND(";", RIGHT(A6, LEN(A6)-FIND(";", A6)))))-1)</f>
        <v>46500</v>
      </c>
      <c r="E6" t="str">
        <f>PROPER(LEFT(RIGHT(RIGHT(RIGHT(A6, LEN(A6)-FIND(";", A6)),LEN(RIGHT(A6, LEN(A6)-FIND(";", A6)))-FIND(";",RIGHT(A6, LEN(A6)-FIND(";", A6)))),LEN(RIGHT(RIGHT(A6, LEN(A6)-FIND(";", A6)),LEN(RIGHT(A6, LEN(A6)-FIND(";", A6)))-FIND(";", RIGHT(A6, LEN(A6)-FIND(";", A6)))))-FIND(";",RIGHT(RIGHT(A6, LEN(A6)-FIND(";", A6)),LEN(RIGHT(A6, LEN(A6)-FIND(";", A6)))-FIND(";",RIGHT(A6, LEN(A6)-FIND(";", A6)))))),FIND(";", RIGHT(RIGHT(RIGHT(A6, LEN(A6)-FIND(";", A6)),LEN(RIGHT(A6, LEN(A6)-FIND(";", A6)))-FIND(";",RIGHT(A6, LEN(A6)-FIND(";", A6)))),LEN(RIGHT(RIGHT(A6, LEN(A6)-FIND(";", A6)),LEN(RIGHT(A6, LEN(A6)-FIND(";", A6)))-FIND(";", RIGHT(A6, LEN(A6)-FIND(";", A6)))))-FIND(";",RIGHT(RIGHT(A6, LEN(A6)-FIND(";", A6)),LEN(RIGHT(A6, LEN(A6)-FIND(";", A6)))-FIND(";",RIGHT(A6, LEN(A6)-FIND(";", A6)))))))-1))</f>
        <v>Engineering</v>
      </c>
      <c r="F6" t="str">
        <f t="shared" si="1"/>
        <v>Manager</v>
      </c>
    </row>
    <row r="7" spans="1:6" x14ac:dyDescent="0.25">
      <c r="A7" t="s">
        <v>5</v>
      </c>
      <c r="B7" t="str">
        <f>PROPER(LEFT(A7, FIND(";", A7)-1))</f>
        <v>Boateng, Terryy</v>
      </c>
      <c r="C7" s="1" t="str">
        <f t="shared" si="0"/>
        <v>07/27/2009</v>
      </c>
      <c r="D7" t="str">
        <f>LEFT(RIGHT(RIGHT(A7, LEN(A7)-FIND(";", A7)),LEN(RIGHT(A7, LEN(A7)-FIND(";", A7)))-FIND(";", RIGHT(A7, LEN(A7)-FIND(";", A7)))),FIND(";",RIGHT(RIGHT(A7, LEN(A7)-FIND(";", A7)),LEN(RIGHT(A7, LEN(A7)-FIND(";", A7)))-FIND(";", RIGHT(A7, LEN(A7)-FIND(";", A7)))))-1)</f>
        <v>50000</v>
      </c>
      <c r="E7" t="str">
        <f>PROPER(LEFT(RIGHT(RIGHT(RIGHT(A7, LEN(A7)-FIND(";", A7)),LEN(RIGHT(A7, LEN(A7)-FIND(";", A7)))-FIND(";",RIGHT(A7, LEN(A7)-FIND(";", A7)))),LEN(RIGHT(RIGHT(A7, LEN(A7)-FIND(";", A7)),LEN(RIGHT(A7, LEN(A7)-FIND(";", A7)))-FIND(";", RIGHT(A7, LEN(A7)-FIND(";", A7)))))-FIND(";",RIGHT(RIGHT(A7, LEN(A7)-FIND(";", A7)),LEN(RIGHT(A7, LEN(A7)-FIND(";", A7)))-FIND(";",RIGHT(A7, LEN(A7)-FIND(";", A7)))))),FIND(";", RIGHT(RIGHT(RIGHT(A7, LEN(A7)-FIND(";", A7)),LEN(RIGHT(A7, LEN(A7)-FIND(";", A7)))-FIND(";",RIGHT(A7, LEN(A7)-FIND(";", A7)))),LEN(RIGHT(RIGHT(A7, LEN(A7)-FIND(";", A7)),LEN(RIGHT(A7, LEN(A7)-FIND(";", A7)))-FIND(";", RIGHT(A7, LEN(A7)-FIND(";", A7)))))-FIND(";",RIGHT(RIGHT(A7, LEN(A7)-FIND(";", A7)),LEN(RIGHT(A7, LEN(A7)-FIND(";", A7)))-FIND(";",RIGHT(A7, LEN(A7)-FIND(";", A7)))))))-1))</f>
        <v>Accounts</v>
      </c>
      <c r="F7" t="str">
        <f t="shared" si="1"/>
        <v>Cost Accountant</v>
      </c>
    </row>
    <row r="8" spans="1:6" x14ac:dyDescent="0.25">
      <c r="A8" t="s">
        <v>6</v>
      </c>
      <c r="B8" t="str">
        <f>PROPER(LEFT(A8, FIND(";", A8)-1))</f>
        <v xml:space="preserve">Boer, Fred </v>
      </c>
      <c r="C8" s="1" t="str">
        <f t="shared" si="0"/>
        <v>12/23/2010</v>
      </c>
      <c r="D8" t="str">
        <f>LEFT(RIGHT(RIGHT(A8, LEN(A8)-FIND(";", A8)),LEN(RIGHT(A8, LEN(A8)-FIND(";", A8)))-FIND(";", RIGHT(A8, LEN(A8)-FIND(";", A8)))),FIND(";",RIGHT(RIGHT(A8, LEN(A8)-FIND(";", A8)),LEN(RIGHT(A8, LEN(A8)-FIND(";", A8)))-FIND(";", RIGHT(A8, LEN(A8)-FIND(";", A8)))))-1)</f>
        <v>46000</v>
      </c>
      <c r="E8" t="str">
        <f>PROPER(LEFT(RIGHT(RIGHT(RIGHT(A8, LEN(A8)-FIND(";", A8)),LEN(RIGHT(A8, LEN(A8)-FIND(";", A8)))-FIND(";",RIGHT(A8, LEN(A8)-FIND(";", A8)))),LEN(RIGHT(RIGHT(A8, LEN(A8)-FIND(";", A8)),LEN(RIGHT(A8, LEN(A8)-FIND(";", A8)))-FIND(";", RIGHT(A8, LEN(A8)-FIND(";", A8)))))-FIND(";",RIGHT(RIGHT(A8, LEN(A8)-FIND(";", A8)),LEN(RIGHT(A8, LEN(A8)-FIND(";", A8)))-FIND(";",RIGHT(A8, LEN(A8)-FIND(";", A8)))))),FIND(";", RIGHT(RIGHT(RIGHT(A8, LEN(A8)-FIND(";", A8)),LEN(RIGHT(A8, LEN(A8)-FIND(";", A8)))-FIND(";",RIGHT(A8, LEN(A8)-FIND(";", A8)))),LEN(RIGHT(RIGHT(A8, LEN(A8)-FIND(";", A8)),LEN(RIGHT(A8, LEN(A8)-FIND(";", A8)))-FIND(";", RIGHT(A8, LEN(A8)-FIND(";", A8)))))-FIND(";",RIGHT(RIGHT(A8, LEN(A8)-FIND(";", A8)),LEN(RIGHT(A8, LEN(A8)-FIND(";", A8)))-FIND(";",RIGHT(A8, LEN(A8)-FIND(";", A8)))))))-1))</f>
        <v>Mktg</v>
      </c>
      <c r="F8" t="str">
        <f t="shared" si="1"/>
        <v>Designer</v>
      </c>
    </row>
    <row r="9" spans="1:6" x14ac:dyDescent="0.25">
      <c r="A9" t="s">
        <v>7</v>
      </c>
      <c r="B9" t="str">
        <f>PROPER(LEFT(A9, FIND(";", A9)-1))</f>
        <v>Barker, Betty</v>
      </c>
      <c r="C9" s="1" t="str">
        <f t="shared" si="0"/>
        <v>07/25/2007</v>
      </c>
      <c r="D9" t="str">
        <f>LEFT(RIGHT(RIGHT(A9, LEN(A9)-FIND(";", A9)),LEN(RIGHT(A9, LEN(A9)-FIND(";", A9)))-FIND(";", RIGHT(A9, LEN(A9)-FIND(";", A9)))),FIND(";",RIGHT(RIGHT(A9, LEN(A9)-FIND(";", A9)),LEN(RIGHT(A9, LEN(A9)-FIND(";", A9)))-FIND(";", RIGHT(A9, LEN(A9)-FIND(";", A9)))))-1)</f>
        <v>43500</v>
      </c>
      <c r="E9" t="str">
        <f>PROPER(LEFT(RIGHT(RIGHT(RIGHT(A9, LEN(A9)-FIND(";", A9)),LEN(RIGHT(A9, LEN(A9)-FIND(";", A9)))-FIND(";",RIGHT(A9, LEN(A9)-FIND(";", A9)))),LEN(RIGHT(RIGHT(A9, LEN(A9)-FIND(";", A9)),LEN(RIGHT(A9, LEN(A9)-FIND(";", A9)))-FIND(";", RIGHT(A9, LEN(A9)-FIND(";", A9)))))-FIND(";",RIGHT(RIGHT(A9, LEN(A9)-FIND(";", A9)),LEN(RIGHT(A9, LEN(A9)-FIND(";", A9)))-FIND(";",RIGHT(A9, LEN(A9)-FIND(";", A9)))))),FIND(";", RIGHT(RIGHT(RIGHT(A9, LEN(A9)-FIND(";", A9)),LEN(RIGHT(A9, LEN(A9)-FIND(";", A9)))-FIND(";",RIGHT(A9, LEN(A9)-FIND(";", A9)))),LEN(RIGHT(RIGHT(A9, LEN(A9)-FIND(";", A9)),LEN(RIGHT(A9, LEN(A9)-FIND(";", A9)))-FIND(";", RIGHT(A9, LEN(A9)-FIND(";", A9)))))-FIND(";",RIGHT(RIGHT(A9, LEN(A9)-FIND(";", A9)),LEN(RIGHT(A9, LEN(A9)-FIND(";", A9)))-FIND(";",RIGHT(A9, LEN(A9)-FIND(";", A9)))))))-1))</f>
        <v>Sales</v>
      </c>
      <c r="F9" t="str">
        <f t="shared" si="1"/>
        <v>Sales Executive</v>
      </c>
    </row>
    <row r="10" spans="1:6" x14ac:dyDescent="0.25">
      <c r="A10" t="s">
        <v>8</v>
      </c>
      <c r="B10" t="str">
        <f>PROPER(LEFT(A10, FIND(";", A10)-1))</f>
        <v xml:space="preserve">Bursteyn , Tom </v>
      </c>
      <c r="C10" s="1" t="str">
        <f t="shared" si="0"/>
        <v>11/04/2000</v>
      </c>
      <c r="D10" t="str">
        <f>LEFT(RIGHT(RIGHT(A10, LEN(A10)-FIND(";", A10)),LEN(RIGHT(A10, LEN(A10)-FIND(";", A10)))-FIND(";", RIGHT(A10, LEN(A10)-FIND(";", A10)))),FIND(";",RIGHT(RIGHT(A10, LEN(A10)-FIND(";", A10)),LEN(RIGHT(A10, LEN(A10)-FIND(";", A10)))-FIND(";", RIGHT(A10, LEN(A10)-FIND(";", A10)))))-1)</f>
        <v>21000</v>
      </c>
      <c r="E10" t="str">
        <f>PROPER(LEFT(RIGHT(RIGHT(RIGHT(A10, LEN(A10)-FIND(";", A10)),LEN(RIGHT(A10, LEN(A10)-FIND(";", A10)))-FIND(";",RIGHT(A10, LEN(A10)-FIND(";", A10)))),LEN(RIGHT(RIGHT(A10, LEN(A10)-FIND(";", A10)),LEN(RIGHT(A10, LEN(A10)-FIND(";", A10)))-FIND(";", RIGHT(A10, LEN(A10)-FIND(";", A10)))))-FIND(";",RIGHT(RIGHT(A10, LEN(A10)-FIND(";", A10)),LEN(RIGHT(A10, LEN(A10)-FIND(";", A10)))-FIND(";",RIGHT(A10, LEN(A10)-FIND(";", A10)))))),FIND(";", RIGHT(RIGHT(RIGHT(A10, LEN(A10)-FIND(";", A10)),LEN(RIGHT(A10, LEN(A10)-FIND(";", A10)))-FIND(";",RIGHT(A10, LEN(A10)-FIND(";", A10)))),LEN(RIGHT(RIGHT(A10, LEN(A10)-FIND(";", A10)),LEN(RIGHT(A10, LEN(A10)-FIND(";", A10)))-FIND(";", RIGHT(A10, LEN(A10)-FIND(";", A10)))))-FIND(";",RIGHT(RIGHT(A10, LEN(A10)-FIND(";", A10)),LEN(RIGHT(A10, LEN(A10)-FIND(";", A10)))-FIND(";",RIGHT(A10, LEN(A10)-FIND(";", A10)))))))-1))</f>
        <v>Sales</v>
      </c>
      <c r="F10" t="str">
        <f t="shared" si="1"/>
        <v>Sales Trainee</v>
      </c>
    </row>
    <row r="11" spans="1:6" x14ac:dyDescent="0.25">
      <c r="A11" t="s">
        <v>9</v>
      </c>
      <c r="B11" t="str">
        <f>PROPER(LEFT(A11, FIND(";", A11)-1))</f>
        <v xml:space="preserve">Bursteyn, Tammy </v>
      </c>
      <c r="C11" s="1" t="str">
        <f t="shared" si="0"/>
        <v>09/08/2004</v>
      </c>
      <c r="D11" t="str">
        <f>LEFT(RIGHT(RIGHT(A11, LEN(A11)-FIND(";", A11)),LEN(RIGHT(A11, LEN(A11)-FIND(";", A11)))-FIND(";", RIGHT(A11, LEN(A11)-FIND(";", A11)))),FIND(";",RIGHT(RIGHT(A11, LEN(A11)-FIND(";", A11)),LEN(RIGHT(A11, LEN(A11)-FIND(";", A11)))-FIND(";", RIGHT(A11, LEN(A11)-FIND(";", A11)))))-1)</f>
        <v>38000</v>
      </c>
      <c r="E11" t="str">
        <f>PROPER(LEFT(RIGHT(RIGHT(RIGHT(A11, LEN(A11)-FIND(";", A11)),LEN(RIGHT(A11, LEN(A11)-FIND(";", A11)))-FIND(";",RIGHT(A11, LEN(A11)-FIND(";", A11)))),LEN(RIGHT(RIGHT(A11, LEN(A11)-FIND(";", A11)),LEN(RIGHT(A11, LEN(A11)-FIND(";", A11)))-FIND(";", RIGHT(A11, LEN(A11)-FIND(";", A11)))))-FIND(";",RIGHT(RIGHT(A11, LEN(A11)-FIND(";", A11)),LEN(RIGHT(A11, LEN(A11)-FIND(";", A11)))-FIND(";",RIGHT(A11, LEN(A11)-FIND(";", A11)))))),FIND(";", RIGHT(RIGHT(RIGHT(A11, LEN(A11)-FIND(";", A11)),LEN(RIGHT(A11, LEN(A11)-FIND(";", A11)))-FIND(";",RIGHT(A11, LEN(A11)-FIND(";", A11)))),LEN(RIGHT(RIGHT(A11, LEN(A11)-FIND(";", A11)),LEN(RIGHT(A11, LEN(A11)-FIND(";", A11)))-FIND(";", RIGHT(A11, LEN(A11)-FIND(";", A11)))))-FIND(";",RIGHT(RIGHT(A11, LEN(A11)-FIND(";", A11)),LEN(RIGHT(A11, LEN(A11)-FIND(";", A11)))-FIND(";",RIGHT(A11, LEN(A11)-FIND(";", A11)))))))-1))</f>
        <v>Sales</v>
      </c>
      <c r="F11" t="str">
        <f t="shared" si="1"/>
        <v>Sales Executive</v>
      </c>
    </row>
    <row r="12" spans="1:6" x14ac:dyDescent="0.25">
      <c r="A12" t="s">
        <v>10</v>
      </c>
      <c r="B12" t="str">
        <f>PROPER(LEFT(A12, FIND(";", A12)-1))</f>
        <v>Busser, Bobby</v>
      </c>
      <c r="C12" s="1" t="str">
        <f t="shared" si="0"/>
        <v>06/10/2002</v>
      </c>
      <c r="D12" t="str">
        <f>LEFT(RIGHT(RIGHT(A12, LEN(A12)-FIND(";", A12)),LEN(RIGHT(A12, LEN(A12)-FIND(";", A12)))-FIND(";", RIGHT(A12, LEN(A12)-FIND(";", A12)))),FIND(";",RIGHT(RIGHT(A12, LEN(A12)-FIND(";", A12)),LEN(RIGHT(A12, LEN(A12)-FIND(";", A12)))-FIND(";", RIGHT(A12, LEN(A12)-FIND(";", A12)))))-1)</f>
        <v>29950</v>
      </c>
      <c r="E12" t="str">
        <f>PROPER(LEFT(RIGHT(RIGHT(RIGHT(A12, LEN(A12)-FIND(";", A12)),LEN(RIGHT(A12, LEN(A12)-FIND(";", A12)))-FIND(";",RIGHT(A12, LEN(A12)-FIND(";", A12)))),LEN(RIGHT(RIGHT(A12, LEN(A12)-FIND(";", A12)),LEN(RIGHT(A12, LEN(A12)-FIND(";", A12)))-FIND(";", RIGHT(A12, LEN(A12)-FIND(";", A12)))))-FIND(";",RIGHT(RIGHT(A12, LEN(A12)-FIND(";", A12)),LEN(RIGHT(A12, LEN(A12)-FIND(";", A12)))-FIND(";",RIGHT(A12, LEN(A12)-FIND(";", A12)))))),FIND(";", RIGHT(RIGHT(RIGHT(A12, LEN(A12)-FIND(";", A12)),LEN(RIGHT(A12, LEN(A12)-FIND(";", A12)))-FIND(";",RIGHT(A12, LEN(A12)-FIND(";", A12)))),LEN(RIGHT(RIGHT(A12, LEN(A12)-FIND(";", A12)),LEN(RIGHT(A12, LEN(A12)-FIND(";", A12)))-FIND(";", RIGHT(A12, LEN(A12)-FIND(";", A12)))))-FIND(";",RIGHT(RIGHT(A12, LEN(A12)-FIND(";", A12)),LEN(RIGHT(A12, LEN(A12)-FIND(";", A12)))-FIND(";",RIGHT(A12, LEN(A12)-FIND(";", A12)))))))-1))</f>
        <v>Accounts</v>
      </c>
      <c r="F12" t="str">
        <f t="shared" si="1"/>
        <v>Senior Administrator</v>
      </c>
    </row>
    <row r="13" spans="1:6" x14ac:dyDescent="0.25">
      <c r="A13" t="s">
        <v>11</v>
      </c>
      <c r="B13" t="str">
        <f>PROPER(LEFT(A13, FIND(";", A13)-1))</f>
        <v>Casciewicz, Kathy</v>
      </c>
      <c r="C13" s="1" t="str">
        <f t="shared" si="0"/>
        <v xml:space="preserve"> 12/15/2011</v>
      </c>
      <c r="D13" t="str">
        <f>LEFT(RIGHT(RIGHT(A13, LEN(A13)-FIND(";", A13)),LEN(RIGHT(A13, LEN(A13)-FIND(";", A13)))-FIND(";", RIGHT(A13, LEN(A13)-FIND(";", A13)))),FIND(";",RIGHT(RIGHT(A13, LEN(A13)-FIND(";", A13)),LEN(RIGHT(A13, LEN(A13)-FIND(";", A13)))-FIND(";", RIGHT(A13, LEN(A13)-FIND(";", A13)))))-1)</f>
        <v>41000</v>
      </c>
      <c r="E13" t="str">
        <f>PROPER(LEFT(RIGHT(RIGHT(RIGHT(A13, LEN(A13)-FIND(";", A13)),LEN(RIGHT(A13, LEN(A13)-FIND(";", A13)))-FIND(";",RIGHT(A13, LEN(A13)-FIND(";", A13)))),LEN(RIGHT(RIGHT(A13, LEN(A13)-FIND(";", A13)),LEN(RIGHT(A13, LEN(A13)-FIND(";", A13)))-FIND(";", RIGHT(A13, LEN(A13)-FIND(";", A13)))))-FIND(";",RIGHT(RIGHT(A13, LEN(A13)-FIND(";", A13)),LEN(RIGHT(A13, LEN(A13)-FIND(";", A13)))-FIND(";",RIGHT(A13, LEN(A13)-FIND(";", A13)))))),FIND(";", RIGHT(RIGHT(RIGHT(A13, LEN(A13)-FIND(";", A13)),LEN(RIGHT(A13, LEN(A13)-FIND(";", A13)))-FIND(";",RIGHT(A13, LEN(A13)-FIND(";", A13)))),LEN(RIGHT(RIGHT(A13, LEN(A13)-FIND(";", A13)),LEN(RIGHT(A13, LEN(A13)-FIND(";", A13)))-FIND(";", RIGHT(A13, LEN(A13)-FIND(";", A13)))))-FIND(";",RIGHT(RIGHT(A13, LEN(A13)-FIND(";", A13)),LEN(RIGHT(A13, LEN(A13)-FIND(";", A13)))-FIND(";",RIGHT(A13, LEN(A13)-FIND(";", A13)))))))-1))</f>
        <v>Sales</v>
      </c>
      <c r="F13" t="str">
        <f t="shared" si="1"/>
        <v>Senior Technician</v>
      </c>
    </row>
    <row r="14" spans="1:6" x14ac:dyDescent="0.25">
      <c r="A14" t="s">
        <v>12</v>
      </c>
      <c r="B14" t="str">
        <f>PROPER(LEFT(A14, FIND(";", A14)-1))</f>
        <v xml:space="preserve">Cole, Ashley </v>
      </c>
      <c r="C14" s="1" t="str">
        <f t="shared" si="0"/>
        <v>11/01/2010</v>
      </c>
      <c r="D14" t="str">
        <f>LEFT(RIGHT(RIGHT(A14, LEN(A14)-FIND(";", A14)),LEN(RIGHT(A14, LEN(A14)-FIND(";", A14)))-FIND(";", RIGHT(A14, LEN(A14)-FIND(";", A14)))),FIND(";",RIGHT(RIGHT(A14, LEN(A14)-FIND(";", A14)),LEN(RIGHT(A14, LEN(A14)-FIND(";", A14)))-FIND(";", RIGHT(A14, LEN(A14)-FIND(";", A14)))))-1)</f>
        <v>54000</v>
      </c>
      <c r="E14" t="str">
        <f>PROPER(LEFT(RIGHT(RIGHT(RIGHT(A14, LEN(A14)-FIND(";", A14)),LEN(RIGHT(A14, LEN(A14)-FIND(";", A14)))-FIND(";",RIGHT(A14, LEN(A14)-FIND(";", A14)))),LEN(RIGHT(RIGHT(A14, LEN(A14)-FIND(";", A14)),LEN(RIGHT(A14, LEN(A14)-FIND(";", A14)))-FIND(";", RIGHT(A14, LEN(A14)-FIND(";", A14)))))-FIND(";",RIGHT(RIGHT(A14, LEN(A14)-FIND(";", A14)),LEN(RIGHT(A14, LEN(A14)-FIND(";", A14)))-FIND(";",RIGHT(A14, LEN(A14)-FIND(";", A14)))))),FIND(";", RIGHT(RIGHT(RIGHT(A14, LEN(A14)-FIND(";", A14)),LEN(RIGHT(A14, LEN(A14)-FIND(";", A14)))-FIND(";",RIGHT(A14, LEN(A14)-FIND(";", A14)))),LEN(RIGHT(RIGHT(A14, LEN(A14)-FIND(";", A14)),LEN(RIGHT(A14, LEN(A14)-FIND(";", A14)))-FIND(";", RIGHT(A14, LEN(A14)-FIND(";", A14)))))-FIND(";",RIGHT(RIGHT(A14, LEN(A14)-FIND(";", A14)),LEN(RIGHT(A14, LEN(A14)-FIND(";", A14)))-FIND(";",RIGHT(A14, LEN(A14)-FIND(";", A14)))))))-1))</f>
        <v>Sales</v>
      </c>
      <c r="F14" t="str">
        <f t="shared" si="1"/>
        <v>Cost Accountant</v>
      </c>
    </row>
    <row r="15" spans="1:6" x14ac:dyDescent="0.25">
      <c r="A15" t="s">
        <v>13</v>
      </c>
      <c r="B15" t="str">
        <f>PROPER(LEFT(A15, FIND(";", A15)-1))</f>
        <v>Cookson, Charles</v>
      </c>
      <c r="C15" s="1" t="str">
        <f t="shared" si="0"/>
        <v xml:space="preserve"> 04/03/2012</v>
      </c>
      <c r="D15" t="str">
        <f>LEFT(RIGHT(RIGHT(A15, LEN(A15)-FIND(";", A15)),LEN(RIGHT(A15, LEN(A15)-FIND(";", A15)))-FIND(";", RIGHT(A15, LEN(A15)-FIND(";", A15)))),FIND(";",RIGHT(RIGHT(A15, LEN(A15)-FIND(";", A15)),LEN(RIGHT(A15, LEN(A15)-FIND(";", A15)))-FIND(";", RIGHT(A15, LEN(A15)-FIND(";", A15)))))-1)</f>
        <v>63200</v>
      </c>
      <c r="E15" t="str">
        <f>PROPER(LEFT(RIGHT(RIGHT(RIGHT(A15, LEN(A15)-FIND(";", A15)),LEN(RIGHT(A15, LEN(A15)-FIND(";", A15)))-FIND(";",RIGHT(A15, LEN(A15)-FIND(";", A15)))),LEN(RIGHT(RIGHT(A15, LEN(A15)-FIND(";", A15)),LEN(RIGHT(A15, LEN(A15)-FIND(";", A15)))-FIND(";", RIGHT(A15, LEN(A15)-FIND(";", A15)))))-FIND(";",RIGHT(RIGHT(A15, LEN(A15)-FIND(";", A15)),LEN(RIGHT(A15, LEN(A15)-FIND(";", A15)))-FIND(";",RIGHT(A15, LEN(A15)-FIND(";", A15)))))),FIND(";", RIGHT(RIGHT(RIGHT(A15, LEN(A15)-FIND(";", A15)),LEN(RIGHT(A15, LEN(A15)-FIND(";", A15)))-FIND(";",RIGHT(A15, LEN(A15)-FIND(";", A15)))),LEN(RIGHT(RIGHT(A15, LEN(A15)-FIND(";", A15)),LEN(RIGHT(A15, LEN(A15)-FIND(";", A15)))-FIND(";", RIGHT(A15, LEN(A15)-FIND(";", A15)))))-FIND(";",RIGHT(RIGHT(A15, LEN(A15)-FIND(";", A15)),LEN(RIGHT(A15, LEN(A15)-FIND(";", A15)))-FIND(";",RIGHT(A15, LEN(A15)-FIND(";", A15)))))))-1))</f>
        <v>R &amp; D</v>
      </c>
      <c r="F15" t="str">
        <f t="shared" si="1"/>
        <v>Vp</v>
      </c>
    </row>
    <row r="16" spans="1:6" x14ac:dyDescent="0.25">
      <c r="A16" t="s">
        <v>14</v>
      </c>
      <c r="B16" t="str">
        <f>PROPER(LEFT(A16, FIND(";", A16)-1))</f>
        <v xml:space="preserve">Crossley, Erin </v>
      </c>
      <c r="C16" s="1" t="str">
        <f t="shared" si="0"/>
        <v>04/23/2009</v>
      </c>
      <c r="D16" t="str">
        <f>LEFT(RIGHT(RIGHT(A16, LEN(A16)-FIND(";", A16)),LEN(RIGHT(A16, LEN(A16)-FIND(";", A16)))-FIND(";", RIGHT(A16, LEN(A16)-FIND(";", A16)))),FIND(";",RIGHT(RIGHT(A16, LEN(A16)-FIND(";", A16)),LEN(RIGHT(A16, LEN(A16)-FIND(";", A16)))-FIND(";", RIGHT(A16, LEN(A16)-FIND(";", A16)))))-1)</f>
        <v>46000</v>
      </c>
      <c r="E16" t="str">
        <f>PROPER(LEFT(RIGHT(RIGHT(RIGHT(A16, LEN(A16)-FIND(";", A16)),LEN(RIGHT(A16, LEN(A16)-FIND(";", A16)))-FIND(";",RIGHT(A16, LEN(A16)-FIND(";", A16)))),LEN(RIGHT(RIGHT(A16, LEN(A16)-FIND(";", A16)),LEN(RIGHT(A16, LEN(A16)-FIND(";", A16)))-FIND(";", RIGHT(A16, LEN(A16)-FIND(";", A16)))))-FIND(";",RIGHT(RIGHT(A16, LEN(A16)-FIND(";", A16)),LEN(RIGHT(A16, LEN(A16)-FIND(";", A16)))-FIND(";",RIGHT(A16, LEN(A16)-FIND(";", A16)))))),FIND(";", RIGHT(RIGHT(RIGHT(A16, LEN(A16)-FIND(";", A16)),LEN(RIGHT(A16, LEN(A16)-FIND(";", A16)))-FIND(";",RIGHT(A16, LEN(A16)-FIND(";", A16)))),LEN(RIGHT(RIGHT(A16, LEN(A16)-FIND(";", A16)),LEN(RIGHT(A16, LEN(A16)-FIND(";", A16)))-FIND(";", RIGHT(A16, LEN(A16)-FIND(";", A16)))))-FIND(";",RIGHT(RIGHT(A16, LEN(A16)-FIND(";", A16)),LEN(RIGHT(A16, LEN(A16)-FIND(";", A16)))-FIND(";",RIGHT(A16, LEN(A16)-FIND(";", A16)))))))-1))</f>
        <v>Admin</v>
      </c>
      <c r="F16" t="str">
        <f t="shared" si="1"/>
        <v>Team Leader</v>
      </c>
    </row>
    <row r="17" spans="1:6" x14ac:dyDescent="0.25">
      <c r="A17" t="s">
        <v>15</v>
      </c>
      <c r="B17" t="str">
        <f>PROPER(LEFT(A17, FIND(";", A17)-1))</f>
        <v xml:space="preserve">Doe, Jane </v>
      </c>
      <c r="C17" s="1" t="str">
        <f t="shared" si="0"/>
        <v>07/25/2015</v>
      </c>
      <c r="D17" t="str">
        <f>LEFT(RIGHT(RIGHT(A17, LEN(A17)-FIND(";", A17)),LEN(RIGHT(A17, LEN(A17)-FIND(";", A17)))-FIND(";", RIGHT(A17, LEN(A17)-FIND(";", A17)))),FIND(";",RIGHT(RIGHT(A17, LEN(A17)-FIND(";", A17)),LEN(RIGHT(A17, LEN(A17)-FIND(";", A17)))-FIND(";", RIGHT(A17, LEN(A17)-FIND(";", A17)))))-1)</f>
        <v>21500</v>
      </c>
      <c r="E17" t="str">
        <f>PROPER(LEFT(RIGHT(RIGHT(RIGHT(A17, LEN(A17)-FIND(";", A17)),LEN(RIGHT(A17, LEN(A17)-FIND(";", A17)))-FIND(";",RIGHT(A17, LEN(A17)-FIND(";", A17)))),LEN(RIGHT(RIGHT(A17, LEN(A17)-FIND(";", A17)),LEN(RIGHT(A17, LEN(A17)-FIND(";", A17)))-FIND(";", RIGHT(A17, LEN(A17)-FIND(";", A17)))))-FIND(";",RIGHT(RIGHT(A17, LEN(A17)-FIND(";", A17)),LEN(RIGHT(A17, LEN(A17)-FIND(";", A17)))-FIND(";",RIGHT(A17, LEN(A17)-FIND(";", A17)))))),FIND(";", RIGHT(RIGHT(RIGHT(A17, LEN(A17)-FIND(";", A17)),LEN(RIGHT(A17, LEN(A17)-FIND(";", A17)))-FIND(";",RIGHT(A17, LEN(A17)-FIND(";", A17)))),LEN(RIGHT(RIGHT(A17, LEN(A17)-FIND(";", A17)),LEN(RIGHT(A17, LEN(A17)-FIND(";", A17)))-FIND(";", RIGHT(A17, LEN(A17)-FIND(";", A17)))))-FIND(";",RIGHT(RIGHT(A17, LEN(A17)-FIND(";", A17)),LEN(RIGHT(A17, LEN(A17)-FIND(";", A17)))-FIND(";",RIGHT(A17, LEN(A17)-FIND(";", A17)))))))-1))</f>
        <v>R &amp; D</v>
      </c>
      <c r="F17" t="str">
        <f t="shared" si="1"/>
        <v>Trainee</v>
      </c>
    </row>
    <row r="18" spans="1:6" x14ac:dyDescent="0.25">
      <c r="A18" t="s">
        <v>16</v>
      </c>
      <c r="B18" t="str">
        <f>PROPER(LEFT(A18, FIND(";", A18)-1))</f>
        <v xml:space="preserve">Doe, John  </v>
      </c>
      <c r="C18" s="1" t="str">
        <f t="shared" si="0"/>
        <v xml:space="preserve"> 06/05/2014</v>
      </c>
      <c r="D18" t="str">
        <f>LEFT(RIGHT(RIGHT(A18, LEN(A18)-FIND(";", A18)),LEN(RIGHT(A18, LEN(A18)-FIND(";", A18)))-FIND(";", RIGHT(A18, LEN(A18)-FIND(";", A18)))),FIND(";",RIGHT(RIGHT(A18, LEN(A18)-FIND(";", A18)),LEN(RIGHT(A18, LEN(A18)-FIND(";", A18)))-FIND(";", RIGHT(A18, LEN(A18)-FIND(";", A18)))))-1)</f>
        <v>45600</v>
      </c>
      <c r="E18" t="str">
        <f>PROPER(LEFT(RIGHT(RIGHT(RIGHT(A18, LEN(A18)-FIND(";", A18)),LEN(RIGHT(A18, LEN(A18)-FIND(";", A18)))-FIND(";",RIGHT(A18, LEN(A18)-FIND(";", A18)))),LEN(RIGHT(RIGHT(A18, LEN(A18)-FIND(";", A18)),LEN(RIGHT(A18, LEN(A18)-FIND(";", A18)))-FIND(";", RIGHT(A18, LEN(A18)-FIND(";", A18)))))-FIND(";",RIGHT(RIGHT(A18, LEN(A18)-FIND(";", A18)),LEN(RIGHT(A18, LEN(A18)-FIND(";", A18)))-FIND(";",RIGHT(A18, LEN(A18)-FIND(";", A18)))))),FIND(";", RIGHT(RIGHT(RIGHT(A18, LEN(A18)-FIND(";", A18)),LEN(RIGHT(A18, LEN(A18)-FIND(";", A18)))-FIND(";",RIGHT(A18, LEN(A18)-FIND(";", A18)))),LEN(RIGHT(RIGHT(A18, LEN(A18)-FIND(";", A18)),LEN(RIGHT(A18, LEN(A18)-FIND(";", A18)))-FIND(";", RIGHT(A18, LEN(A18)-FIND(";", A18)))))-FIND(";",RIGHT(RIGHT(A18, LEN(A18)-FIND(";", A18)),LEN(RIGHT(A18, LEN(A18)-FIND(";", A18)))-FIND(";",RIGHT(A18, LEN(A18)-FIND(";", A18)))))))-1))</f>
        <v>Engineering</v>
      </c>
      <c r="F18" t="str">
        <f t="shared" si="1"/>
        <v>Intern</v>
      </c>
    </row>
    <row r="19" spans="1:6" x14ac:dyDescent="0.25">
      <c r="A19" t="s">
        <v>17</v>
      </c>
      <c r="B19" t="str">
        <f>PROPER(LEFT(A19, FIND(";", A19)-1))</f>
        <v>Darnstein, Danny</v>
      </c>
      <c r="C19" s="1" t="str">
        <f t="shared" si="0"/>
        <v xml:space="preserve"> 12/14/2011</v>
      </c>
      <c r="D19" t="str">
        <f>LEFT(RIGHT(RIGHT(A19, LEN(A19)-FIND(";", A19)),LEN(RIGHT(A19, LEN(A19)-FIND(";", A19)))-FIND(";", RIGHT(A19, LEN(A19)-FIND(";", A19)))),FIND(";",RIGHT(RIGHT(A19, LEN(A19)-FIND(";", A19)),LEN(RIGHT(A19, LEN(A19)-FIND(";", A19)))-FIND(";", RIGHT(A19, LEN(A19)-FIND(";", A19)))))-1)</f>
        <v>52000</v>
      </c>
      <c r="E19" t="str">
        <f>PROPER(LEFT(RIGHT(RIGHT(RIGHT(A19, LEN(A19)-FIND(";", A19)),LEN(RIGHT(A19, LEN(A19)-FIND(";", A19)))-FIND(";",RIGHT(A19, LEN(A19)-FIND(";", A19)))),LEN(RIGHT(RIGHT(A19, LEN(A19)-FIND(";", A19)),LEN(RIGHT(A19, LEN(A19)-FIND(";", A19)))-FIND(";", RIGHT(A19, LEN(A19)-FIND(";", A19)))))-FIND(";",RIGHT(RIGHT(A19, LEN(A19)-FIND(";", A19)),LEN(RIGHT(A19, LEN(A19)-FIND(";", A19)))-FIND(";",RIGHT(A19, LEN(A19)-FIND(";", A19)))))),FIND(";", RIGHT(RIGHT(RIGHT(A19, LEN(A19)-FIND(";", A19)),LEN(RIGHT(A19, LEN(A19)-FIND(";", A19)))-FIND(";",RIGHT(A19, LEN(A19)-FIND(";", A19)))),LEN(RIGHT(RIGHT(A19, LEN(A19)-FIND(";", A19)),LEN(RIGHT(A19, LEN(A19)-FIND(";", A19)))-FIND(";", RIGHT(A19, LEN(A19)-FIND(";", A19)))))-FIND(";",RIGHT(RIGHT(A19, LEN(A19)-FIND(";", A19)),LEN(RIGHT(A19, LEN(A19)-FIND(";", A19)))-FIND(";",RIGHT(A19, LEN(A19)-FIND(";", A19)))))))-1))</f>
        <v>Engineering</v>
      </c>
      <c r="F19" t="str">
        <f t="shared" si="1"/>
        <v>Cost Accountant</v>
      </c>
    </row>
    <row r="20" spans="1:6" x14ac:dyDescent="0.25">
      <c r="A20" t="s">
        <v>18</v>
      </c>
      <c r="B20" t="str">
        <f>PROPER(LEFT(A20, FIND(";", A20)-1))</f>
        <v xml:space="preserve">Fallengrano, Bill </v>
      </c>
      <c r="C20" s="1" t="str">
        <f t="shared" si="0"/>
        <v xml:space="preserve"> 06/29/2001</v>
      </c>
      <c r="D20" t="str">
        <f>LEFT(RIGHT(RIGHT(A20, LEN(A20)-FIND(";", A20)),LEN(RIGHT(A20, LEN(A20)-FIND(";", A20)))-FIND(";", RIGHT(A20, LEN(A20)-FIND(";", A20)))),FIND(";",RIGHT(RIGHT(A20, LEN(A20)-FIND(";", A20)),LEN(RIGHT(A20, LEN(A20)-FIND(";", A20)))-FIND(";", RIGHT(A20, LEN(A20)-FIND(";", A20)))))-1)</f>
        <v>56750</v>
      </c>
      <c r="E20" t="str">
        <f>PROPER(LEFT(RIGHT(RIGHT(RIGHT(A20, LEN(A20)-FIND(";", A20)),LEN(RIGHT(A20, LEN(A20)-FIND(";", A20)))-FIND(";",RIGHT(A20, LEN(A20)-FIND(";", A20)))),LEN(RIGHT(RIGHT(A20, LEN(A20)-FIND(";", A20)),LEN(RIGHT(A20, LEN(A20)-FIND(";", A20)))-FIND(";", RIGHT(A20, LEN(A20)-FIND(";", A20)))))-FIND(";",RIGHT(RIGHT(A20, LEN(A20)-FIND(";", A20)),LEN(RIGHT(A20, LEN(A20)-FIND(";", A20)))-FIND(";",RIGHT(A20, LEN(A20)-FIND(";", A20)))))),FIND(";", RIGHT(RIGHT(RIGHT(A20, LEN(A20)-FIND(";", A20)),LEN(RIGHT(A20, LEN(A20)-FIND(";", A20)))-FIND(";",RIGHT(A20, LEN(A20)-FIND(";", A20)))),LEN(RIGHT(RIGHT(A20, LEN(A20)-FIND(";", A20)),LEN(RIGHT(A20, LEN(A20)-FIND(";", A20)))-FIND(";", RIGHT(A20, LEN(A20)-FIND(";", A20)))))-FIND(";",RIGHT(RIGHT(A20, LEN(A20)-FIND(";", A20)),LEN(RIGHT(A20, LEN(A20)-FIND(";", A20)))-FIND(";",RIGHT(A20, LEN(A20)-FIND(";", A20)))))))-1))</f>
        <v>Engineering</v>
      </c>
      <c r="F20" t="str">
        <f t="shared" si="1"/>
        <v>Senior Administrator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data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2026-04-01T14:07:39Z</dcterms:created>
  <dcterms:modified xsi:type="dcterms:W3CDTF">2026-04-02T14:45:42Z</dcterms:modified>
</cp:coreProperties>
</file>