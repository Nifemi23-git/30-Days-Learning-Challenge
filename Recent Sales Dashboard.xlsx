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3CFE00CA-2AE0-4C8D-BE33-D042A95F853D}" xr6:coauthVersionLast="47" xr6:coauthVersionMax="47" xr10:uidLastSave="{00000000-0000-0000-0000-000000000000}"/>
  <bookViews>
    <workbookView xWindow="-120" yWindow="-120" windowWidth="20730" windowHeight="11160" activeTab="2" xr2:uid="{CF2EB6DA-7561-4BD4-915D-254F3DE45EE5}"/>
  </bookViews>
  <sheets>
    <sheet name="Raw Data" sheetId="2" r:id="rId1"/>
    <sheet name="Pivot Table" sheetId="4" r:id="rId2"/>
    <sheet name="Dashboard" sheetId="6" r:id="rId3"/>
  </sheets>
  <definedNames>
    <definedName name="_xlcn.WorksheetConnection_Book1deepseek_csv_20260422_7f7afa1" hidden="1">deepseek_csv_20260422_7f7afa[]</definedName>
    <definedName name="ExternalData_1" localSheetId="0" hidden="1">'Raw Data'!$A$1:$L$246</definedName>
    <definedName name="Slicer_Month">#N/A</definedName>
    <definedName name="Slicer_ProductCategory">#N/A</definedName>
    <definedName name="Slicer_Region">#N/A</definedName>
    <definedName name="Slicer_SalesRep">#N/A</definedName>
  </definedNames>
  <calcPr calcId="191029"/>
  <pivotCaches>
    <pivotCache cacheId="575" r:id="rId4"/>
    <pivotCache cacheId="578" r:id="rId5"/>
    <pivotCache cacheId="581" r:id="rId6"/>
    <pivotCache cacheId="584" r:id="rId7"/>
    <pivotCache cacheId="587" r:id="rId8"/>
    <pivotCache cacheId="590" r:id="rId9"/>
    <pivotCache cacheId="593" r:id="rId10"/>
    <pivotCache cacheId="596" r:id="rId11"/>
    <pivotCache cacheId="599" r:id="rId12"/>
  </pivotCaches>
  <extLst>
    <ext xmlns:x14="http://schemas.microsoft.com/office/spreadsheetml/2009/9/main" uri="{876F7934-8845-4945-9796-88D515C7AA90}">
      <x14:pivotCaches>
        <pivotCache cacheId="142"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epseek_csv_20260422_7f7afa" name="deepseek_csv_20260422_7f7afa" connection="WorksheetConnection_Book1!deepseek_csv_20260422_7f7af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FFDD50-5105-49D5-9EE2-675174BD1255}" keepAlive="1" name="Query - deepseek_csv_20260422_7f7afa" description="Connection to the 'deepseek_csv_20260422_7f7afa' query in the workbook." type="5" refreshedVersion="7" background="1" saveData="1">
    <dbPr connection="Provider=Microsoft.Mashup.OleDb.1;Data Source=$Workbook$;Location=deepseek_csv_20260422_7f7afa;Extended Properties=&quot;&quot;" command="SELECT * FROM [deepseek_csv_20260422_7f7afa]"/>
  </connection>
  <connection id="2" xr16:uid="{875B935E-7B6E-47D3-A5D8-81659F64336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43C61F0-7796-401B-AF55-5D245A4AAEE9}" name="WorksheetConnection_Book1!deepseek_csv_20260422_7f7afa" type="102" refreshedVersion="7" minRefreshableVersion="5">
    <extLst>
      <ext xmlns:x15="http://schemas.microsoft.com/office/spreadsheetml/2010/11/main" uri="{DE250136-89BD-433C-8126-D09CA5730AF9}">
        <x15:connection id="deepseek_csv_20260422_7f7afa" autoDelete="1">
          <x15:rangePr sourceName="_xlcn.WorksheetConnection_Book1deepseek_csv_20260422_7f7afa1"/>
        </x15:connection>
      </ext>
    </extLst>
  </connection>
</connections>
</file>

<file path=xl/sharedStrings.xml><?xml version="1.0" encoding="utf-8"?>
<sst xmlns="http://schemas.openxmlformats.org/spreadsheetml/2006/main" count="1285" uniqueCount="283">
  <si>
    <t>OrderID</t>
  </si>
  <si>
    <t>OrderDate</t>
  </si>
  <si>
    <t>ProductCategory</t>
  </si>
  <si>
    <t>ProductName</t>
  </si>
  <si>
    <t>UnitsSold</t>
  </si>
  <si>
    <t>UnitPrice</t>
  </si>
  <si>
    <t>Region</t>
  </si>
  <si>
    <t>SalesRep</t>
  </si>
  <si>
    <t>PaymentMethod</t>
  </si>
  <si>
    <t>Discount</t>
  </si>
  <si>
    <t>Electronics</t>
  </si>
  <si>
    <t>Laptop</t>
  </si>
  <si>
    <t>North</t>
  </si>
  <si>
    <t>Abiola Ogun</t>
  </si>
  <si>
    <t>Card</t>
  </si>
  <si>
    <t>Clothing</t>
  </si>
  <si>
    <t>Jeans</t>
  </si>
  <si>
    <t>South</t>
  </si>
  <si>
    <t>Chidi Nwosu</t>
  </si>
  <si>
    <t>Cash</t>
  </si>
  <si>
    <t>Furniture</t>
  </si>
  <si>
    <t>Office Chair</t>
  </si>
  <si>
    <t>East</t>
  </si>
  <si>
    <t>Femi Adebayo</t>
  </si>
  <si>
    <t>Transfer</t>
  </si>
  <si>
    <t>Smartphone</t>
  </si>
  <si>
    <t>West</t>
  </si>
  <si>
    <t>Tunde Bakare</t>
  </si>
  <si>
    <t>TShirt</t>
  </si>
  <si>
    <t>Dining Table</t>
  </si>
  <si>
    <t>Headphones</t>
  </si>
  <si>
    <t>Jacket</t>
  </si>
  <si>
    <t>Bed Frame</t>
  </si>
  <si>
    <t>Tablet</t>
  </si>
  <si>
    <t>Sneakers</t>
  </si>
  <si>
    <t>Bookshelf</t>
  </si>
  <si>
    <t>Smartwatch</t>
  </si>
  <si>
    <t>Hat</t>
  </si>
  <si>
    <t>Office Desk</t>
  </si>
  <si>
    <t>Monitor</t>
  </si>
  <si>
    <t>Dress</t>
  </si>
  <si>
    <t>Wardrobe</t>
  </si>
  <si>
    <t>Keyboard</t>
  </si>
  <si>
    <t>Shorts</t>
  </si>
  <si>
    <t>Sofa Set</t>
  </si>
  <si>
    <t>Mouse</t>
  </si>
  <si>
    <t>Sweater</t>
  </si>
  <si>
    <t>Nightstand</t>
  </si>
  <si>
    <t>Printer</t>
  </si>
  <si>
    <t>Blazer</t>
  </si>
  <si>
    <t>Coffee Table</t>
  </si>
  <si>
    <t>Speaker</t>
  </si>
  <si>
    <t>Skirt</t>
  </si>
  <si>
    <t>Drawer Unit</t>
  </si>
  <si>
    <t>Webcam</t>
  </si>
  <si>
    <t>Cardigan</t>
  </si>
  <si>
    <t>Shoe Rack</t>
  </si>
  <si>
    <t>Router</t>
  </si>
  <si>
    <t>Leggings</t>
  </si>
  <si>
    <t>Desk Lamp</t>
  </si>
  <si>
    <t>USBCable</t>
  </si>
  <si>
    <t>Vest</t>
  </si>
  <si>
    <t>Mirror</t>
  </si>
  <si>
    <t>Charger</t>
  </si>
  <si>
    <t>Scarf</t>
  </si>
  <si>
    <t>CoatRack</t>
  </si>
  <si>
    <t>PowerBank</t>
  </si>
  <si>
    <t>Gloves</t>
  </si>
  <si>
    <t>MagazineRack</t>
  </si>
  <si>
    <t>HardDrive</t>
  </si>
  <si>
    <t>Belt</t>
  </si>
  <si>
    <t>FilingCabinet</t>
  </si>
  <si>
    <t>Microphone</t>
  </si>
  <si>
    <t>Slippers</t>
  </si>
  <si>
    <t>BeanBag</t>
  </si>
  <si>
    <t>Camera</t>
  </si>
  <si>
    <t>Bracelet</t>
  </si>
  <si>
    <t>WallClock</t>
  </si>
  <si>
    <t>Headset</t>
  </si>
  <si>
    <t>Socks</t>
  </si>
  <si>
    <t>PlantStand</t>
  </si>
  <si>
    <t>GraphicsTablet</t>
  </si>
  <si>
    <t>Necklace</t>
  </si>
  <si>
    <t>BarStool</t>
  </si>
  <si>
    <t>SmartLight</t>
  </si>
  <si>
    <t>Cap</t>
  </si>
  <si>
    <t>Rug</t>
  </si>
  <si>
    <t>FitnessTracker</t>
  </si>
  <si>
    <t>Handbag</t>
  </si>
  <si>
    <t>TVStand</t>
  </si>
  <si>
    <t>Projector</t>
  </si>
  <si>
    <t>PoloShirt</t>
  </si>
  <si>
    <t>LaundryBasket</t>
  </si>
  <si>
    <t>ExternalBattery</t>
  </si>
  <si>
    <t>FlipFlops</t>
  </si>
  <si>
    <t>Stool</t>
  </si>
  <si>
    <t>VRHeadset</t>
  </si>
  <si>
    <t>TankTop</t>
  </si>
  <si>
    <t>Curtains</t>
  </si>
  <si>
    <t>USBHub</t>
  </si>
  <si>
    <t>Sandals</t>
  </si>
  <si>
    <t>KeyHolder</t>
  </si>
  <si>
    <t>CardReader</t>
  </si>
  <si>
    <t>Watch</t>
  </si>
  <si>
    <t>WallShelf</t>
  </si>
  <si>
    <t>SmartPlug</t>
  </si>
  <si>
    <t>Raincoat</t>
  </si>
  <si>
    <t>PetBed</t>
  </si>
  <si>
    <t>DockingStation</t>
  </si>
  <si>
    <t>Pyjamas</t>
  </si>
  <si>
    <t>TVRemoteHolder</t>
  </si>
  <si>
    <t>ScreenProtector</t>
  </si>
  <si>
    <t>Necktie</t>
  </si>
  <si>
    <t>FoldableTable</t>
  </si>
  <si>
    <t>PhoneStand</t>
  </si>
  <si>
    <t>Suspenders</t>
  </si>
  <si>
    <t>VanityStool</t>
  </si>
  <si>
    <t>SmartScale</t>
  </si>
  <si>
    <t>Kaftan</t>
  </si>
  <si>
    <t>WallArt</t>
  </si>
  <si>
    <t>CableOrganizer</t>
  </si>
  <si>
    <t>Cufflinks</t>
  </si>
  <si>
    <t>FloorLamp</t>
  </si>
  <si>
    <t>AirPurifier</t>
  </si>
  <si>
    <t>BluetoothSpeaker</t>
  </si>
  <si>
    <t>MaxiDress</t>
  </si>
  <si>
    <t>OfficeStool</t>
  </si>
  <si>
    <t>SmartBulb</t>
  </si>
  <si>
    <t>Hoodie</t>
  </si>
  <si>
    <t>PatioChair</t>
  </si>
  <si>
    <t>WirelessMouse</t>
  </si>
  <si>
    <t>Kimono</t>
  </si>
  <si>
    <t>Bookcase</t>
  </si>
  <si>
    <t>WebcamCover</t>
  </si>
  <si>
    <t>BomberJacket</t>
  </si>
  <si>
    <t>StorageOttoman</t>
  </si>
  <si>
    <t>GamingMouse</t>
  </si>
  <si>
    <t>Blouse</t>
  </si>
  <si>
    <t>Futon</t>
  </si>
  <si>
    <t>NoiseCancellingHeadphones</t>
  </si>
  <si>
    <t>Tracksuit</t>
  </si>
  <si>
    <t>BeanBagCover</t>
  </si>
  <si>
    <t>HDMICable</t>
  </si>
  <si>
    <t>FlannelShirt</t>
  </si>
  <si>
    <t>WallMirror</t>
  </si>
  <si>
    <t>DeskFan</t>
  </si>
  <si>
    <t>Chinos</t>
  </si>
  <si>
    <t>LaundryHamper</t>
  </si>
  <si>
    <t>USBFan</t>
  </si>
  <si>
    <t>PufferJacket</t>
  </si>
  <si>
    <t>CornerShelf</t>
  </si>
  <si>
    <t>MemoryCard</t>
  </si>
  <si>
    <t>Sweatpants</t>
  </si>
  <si>
    <t>Footstool</t>
  </si>
  <si>
    <t>WirelessCharger</t>
  </si>
  <si>
    <t>Overcoat</t>
  </si>
  <si>
    <t>MagazineHolder</t>
  </si>
  <si>
    <t>LaptopStand</t>
  </si>
  <si>
    <t>CropTop</t>
  </si>
  <si>
    <t>WineRack</t>
  </si>
  <si>
    <t>SmartSpeaker</t>
  </si>
  <si>
    <t>BermudaShorts</t>
  </si>
  <si>
    <t>ShowerCaddy</t>
  </si>
  <si>
    <t>ExternalDVDDrive</t>
  </si>
  <si>
    <t>DenimSkirt</t>
  </si>
  <si>
    <t>UmbrellaStand</t>
  </si>
  <si>
    <t>LightningCable</t>
  </si>
  <si>
    <t>CardHolder</t>
  </si>
  <si>
    <t>LetterTray</t>
  </si>
  <si>
    <t>PhoneGrip</t>
  </si>
  <si>
    <t>BowTie</t>
  </si>
  <si>
    <t>PlantPot</t>
  </si>
  <si>
    <t>TabletStand</t>
  </si>
  <si>
    <t>FaceMaskPack</t>
  </si>
  <si>
    <t>PictureFrame</t>
  </si>
  <si>
    <t>StylusPen</t>
  </si>
  <si>
    <t>SportsBra</t>
  </si>
  <si>
    <t>JewelryBox</t>
  </si>
  <si>
    <t>CameraLens</t>
  </si>
  <si>
    <t>Sunglasses</t>
  </si>
  <si>
    <t>Cushion</t>
  </si>
  <si>
    <t>SmartThermostat</t>
  </si>
  <si>
    <t>WaistBag</t>
  </si>
  <si>
    <t>ThrowBlanket</t>
  </si>
  <si>
    <t>CarCharger</t>
  </si>
  <si>
    <t>Swimsuit</t>
  </si>
  <si>
    <t>BathMat</t>
  </si>
  <si>
    <t>AlarmClock</t>
  </si>
  <si>
    <t>Shawl</t>
  </si>
  <si>
    <t>KitchenTrolley</t>
  </si>
  <si>
    <t>Calculator</t>
  </si>
  <si>
    <t>SlipDress</t>
  </si>
  <si>
    <t>OverbedTable</t>
  </si>
  <si>
    <t>DigitalClock</t>
  </si>
  <si>
    <t>LegWarmers</t>
  </si>
  <si>
    <t>ClothesRack</t>
  </si>
  <si>
    <t>VoltageRegulator</t>
  </si>
  <si>
    <t>CorsetTop</t>
  </si>
  <si>
    <t>VanityTable</t>
  </si>
  <si>
    <t>SelfieStick</t>
  </si>
  <si>
    <t>AnkleSocks</t>
  </si>
  <si>
    <t>WallHook</t>
  </si>
  <si>
    <t>LensCleaner</t>
  </si>
  <si>
    <t>Headband</t>
  </si>
  <si>
    <t>TrashCan</t>
  </si>
  <si>
    <t>ExtensionCord</t>
  </si>
  <si>
    <t>TieDyeShirt</t>
  </si>
  <si>
    <t>FireplaceScreen</t>
  </si>
  <si>
    <t>AntivirusUSB</t>
  </si>
  <si>
    <t>Romper</t>
  </si>
  <si>
    <t>PetCrate</t>
  </si>
  <si>
    <t>RouterStand</t>
  </si>
  <si>
    <t>FannyPack</t>
  </si>
  <si>
    <t>MakeupMirror</t>
  </si>
  <si>
    <t>Drone</t>
  </si>
  <si>
    <t>BaseballCap</t>
  </si>
  <si>
    <t>CoatHook</t>
  </si>
  <si>
    <t>RechargeableFan</t>
  </si>
  <si>
    <t>Agbada</t>
  </si>
  <si>
    <t>TraditionalStool</t>
  </si>
  <si>
    <t>Kettle</t>
  </si>
  <si>
    <t>Hijab</t>
  </si>
  <si>
    <t>PrayerMat</t>
  </si>
  <si>
    <t>ElectricCooker</t>
  </si>
  <si>
    <t>GamingConsole</t>
  </si>
  <si>
    <t>DenimJacket</t>
  </si>
  <si>
    <t>AccentChair</t>
  </si>
  <si>
    <t>SmartTV</t>
  </si>
  <si>
    <t>LeatherJacket</t>
  </si>
  <si>
    <t>ConsoleTable</t>
  </si>
  <si>
    <t>Soundbar</t>
  </si>
  <si>
    <t>CargoPants</t>
  </si>
  <si>
    <t>AdirondackChair</t>
  </si>
  <si>
    <t>TabletCase</t>
  </si>
  <si>
    <t>Windbreaker</t>
  </si>
  <si>
    <t>HangingChair</t>
  </si>
  <si>
    <t>LEDStrip</t>
  </si>
  <si>
    <t>JeansShorts</t>
  </si>
  <si>
    <t>BarCabinet</t>
  </si>
  <si>
    <t>WebcamRingLight</t>
  </si>
  <si>
    <t>Turtleneck</t>
  </si>
  <si>
    <t>WallPuzzle</t>
  </si>
  <si>
    <t>MicroSDCard</t>
  </si>
  <si>
    <t>SilkScarf</t>
  </si>
  <si>
    <t>BistroTable</t>
  </si>
  <si>
    <t>VideoDoorbell</t>
  </si>
  <si>
    <t>HikingBoots</t>
  </si>
  <si>
    <t>FirePit</t>
  </si>
  <si>
    <t>RobotVacuum</t>
  </si>
  <si>
    <t>Bathrobe</t>
  </si>
  <si>
    <t>ShagRug</t>
  </si>
  <si>
    <t>CarSpeakers</t>
  </si>
  <si>
    <t>DrawerOrganizer</t>
  </si>
  <si>
    <t>HDMISwitch</t>
  </si>
  <si>
    <t>Poncho</t>
  </si>
  <si>
    <t>USBWallOutlet</t>
  </si>
  <si>
    <t>NoiseMachine</t>
  </si>
  <si>
    <t>FloatingShelf</t>
  </si>
  <si>
    <t>DigitalPictureFrame</t>
  </si>
  <si>
    <t>CarMount</t>
  </si>
  <si>
    <t>NeckGaiter</t>
  </si>
  <si>
    <t>Trunk</t>
  </si>
  <si>
    <t>Day</t>
  </si>
  <si>
    <t>Month</t>
  </si>
  <si>
    <t>Revenue</t>
  </si>
  <si>
    <t>January</t>
  </si>
  <si>
    <t>February</t>
  </si>
  <si>
    <t>March</t>
  </si>
  <si>
    <t>Total Revenue</t>
  </si>
  <si>
    <t>Total Units Sold</t>
  </si>
  <si>
    <t>Total Orders</t>
  </si>
  <si>
    <t>Grand Total</t>
  </si>
  <si>
    <t>Sum of Revenue</t>
  </si>
  <si>
    <t>Product Name</t>
  </si>
  <si>
    <t>Friday</t>
  </si>
  <si>
    <t>Sunday</t>
  </si>
  <si>
    <t>Tuesday</t>
  </si>
  <si>
    <t>Thursday</t>
  </si>
  <si>
    <t>Saturday</t>
  </si>
  <si>
    <t>Monday</t>
  </si>
  <si>
    <t>Wednesday</t>
  </si>
  <si>
    <t>Sales Rep</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</si>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</sst>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66]\ #,##0"/>
    <numFmt numFmtId="165" formatCode="&quot;₦&quot;\ #,##0;\-&quot;₦&quot;#,##0;&quot;₦&quot;\ #,##0"/>
  </numFmts>
  <fonts count="1" x14ac:knownFonts="1">
    <font>
      <sz val="11"/>
      <color theme="1"/>
      <name val="Calibri"/>
      <family val="2"/>
      <scheme val="minor"/>
    </font>
  </fonts>
  <fills count="3">
    <fill>
      <patternFill patternType="none"/>
    </fill>
    <fill>
      <patternFill patternType="gray125"/>
    </fill>
    <fill>
      <patternFill patternType="solid">
        <fgColor rgb="FF574964"/>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164" fontId="0" fillId="0" borderId="0" xfId="0" applyNumberFormat="1"/>
    <xf numFmtId="165" fontId="0" fillId="0" borderId="0" xfId="0" applyNumberFormat="1"/>
    <xf numFmtId="0" fontId="0" fillId="0" borderId="0" xfId="0" pivotButton="1"/>
    <xf numFmtId="3"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24">
    <dxf>
      <fill>
        <patternFill>
          <bgColor rgb="FFFFDAB3"/>
        </patternFill>
      </fill>
    </dxf>
    <dxf>
      <fill>
        <patternFill>
          <bgColor rgb="FF574964"/>
        </patternFill>
      </fill>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164" formatCode="[$₦-466]\ #,##0"/>
    </dxf>
    <dxf>
      <numFmt numFmtId="0" formatCode="General"/>
    </dxf>
    <dxf>
      <numFmt numFmtId="0" formatCode="General"/>
    </dxf>
    <dxf>
      <numFmt numFmtId="0" formatCode="General"/>
    </dxf>
    <dxf>
      <numFmt numFmtId="164" formatCode="[$₦-466]\ #,##0"/>
    </dxf>
    <dxf>
      <numFmt numFmtId="0" formatCode="General"/>
    </dxf>
    <dxf>
      <numFmt numFmtId="0" formatCode="General"/>
    </dxf>
    <dxf>
      <numFmt numFmtId="19" formatCode="m/d/yyyy"/>
    </dxf>
    <dxf>
      <numFmt numFmtId="19" formatCode="m/d/yyyy"/>
    </dxf>
    <dxf>
      <numFmt numFmtId="19" formatCode="m/d/yyyy"/>
    </dxf>
  </dxfs>
  <tableStyles count="2" defaultTableStyle="TableStyleMedium2" defaultPivotStyle="PivotStyleLight16">
    <tableStyle name="Slicer Style 1" pivot="0" table="0" count="5" xr9:uid="{6B3D6352-ADDE-49E6-A09C-8D3D31971B28}">
      <tableStyleElement type="headerRow" dxfId="0"/>
    </tableStyle>
    <tableStyle name="Slicer Style 1 2" pivot="0" table="0" count="5" xr9:uid="{F3F57CF8-35B2-4713-8D38-0E0D27E4EBA4}">
      <tableStyleElement type="headerRow" dxfId="1"/>
    </tableStyle>
  </tableStyles>
  <colors>
    <mruColors>
      <color rgb="FFC8AAAA"/>
      <color rgb="FF9F8383"/>
      <color rgb="FFFFDAB3"/>
      <color rgb="FF574964"/>
      <color rgb="FFDDAED3"/>
      <color rgb="FF213C51"/>
      <color rgb="FF6594B1"/>
    </mruColors>
  </colors>
  <extLst>
    <ext xmlns:x14="http://schemas.microsoft.com/office/spreadsheetml/2009/9/main" uri="{46F421CA-312F-682f-3DD2-61675219B42D}">
      <x14:dxfs count="8">
        <dxf>
          <fill>
            <patternFill>
              <bgColor rgb="FFFFDAB3"/>
            </patternFill>
          </fill>
        </dxf>
        <dxf>
          <fill>
            <patternFill>
              <bgColor rgb="FFC8AAAA"/>
            </patternFill>
          </fill>
        </dxf>
        <dxf>
          <fill>
            <patternFill>
              <bgColor rgb="FFC8AAAA"/>
            </patternFill>
          </fill>
        </dxf>
        <dxf>
          <fill>
            <patternFill>
              <bgColor rgb="FF9F8383"/>
            </patternFill>
          </fill>
        </dxf>
        <dxf>
          <fill>
            <patternFill>
              <bgColor rgb="FFFFDAB3"/>
            </patternFill>
          </fill>
        </dxf>
        <dxf>
          <fill>
            <patternFill>
              <bgColor rgb="FFC8AAAA"/>
            </patternFill>
          </fill>
        </dxf>
        <dxf>
          <fill>
            <patternFill>
              <bgColor rgb="FFC8AAAA"/>
            </patternFill>
          </fill>
        </dxf>
        <dxf>
          <fill>
            <patternFill>
              <bgColor rgb="FF9F8383"/>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hoveredUnselectedItemWithData" dxfId="1"/>
            <x14:slicerStyleElement type="hoveredSelectedItemWithData" dxfId="0"/>
          </x14:slicerStyleElements>
        </x14:slicerStyle>
        <x14:slicerStyle name="Slicer Style 1 2">
          <x14:slicerStyleElements>
            <x14:slicerStyleElement type="unselectedItemWithData" dxfId="7"/>
            <x14:slicerStyleElement type="unselectedItemWithNoData" dxfId="6"/>
            <x14:slicerStyleElement type="hoveredUnselectedItemWithData" dxfId="5"/>
            <x14:slicerStyleElement type="hoveredSelectedItemWithData" dxfId="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Table'!$E$6</c:f>
              <c:strCache>
                <c:ptCount val="1"/>
                <c:pt idx="0">
                  <c:v>Total</c:v>
                </c:pt>
              </c:strCache>
            </c:strRef>
          </c:tx>
          <c:spPr>
            <a:solidFill>
              <a:srgbClr val="5749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Table'!$D$7:$D$12</c:f>
              <c:strCache>
                <c:ptCount val="5"/>
                <c:pt idx="0">
                  <c:v>Drone</c:v>
                </c:pt>
                <c:pt idx="1">
                  <c:v>GamingConsole</c:v>
                </c:pt>
                <c:pt idx="2">
                  <c:v>Laptop</c:v>
                </c:pt>
                <c:pt idx="3">
                  <c:v>Projector</c:v>
                </c:pt>
                <c:pt idx="4">
                  <c:v>SmartTV</c:v>
                </c:pt>
              </c:strCache>
            </c:strRef>
          </c:cat>
          <c:val>
            <c:numRef>
              <c:f>'Pivot Table'!$E$7:$E$12</c:f>
              <c:numCache>
                <c:formatCode>[$₦-466]\ #,##0</c:formatCode>
                <c:ptCount val="5"/>
                <c:pt idx="0">
                  <c:v>250000</c:v>
                </c:pt>
                <c:pt idx="1">
                  <c:v>350000</c:v>
                </c:pt>
                <c:pt idx="2">
                  <c:v>1350000</c:v>
                </c:pt>
                <c:pt idx="3">
                  <c:v>250000</c:v>
                </c:pt>
                <c:pt idx="4">
                  <c:v>250000</c:v>
                </c:pt>
              </c:numCache>
            </c:numRef>
          </c:val>
          <c:extLst>
            <c:ext xmlns:c16="http://schemas.microsoft.com/office/drawing/2014/chart" uri="{C3380CC4-5D6E-409C-BE32-E72D297353CC}">
              <c16:uniqueId val="{00000000-66A8-4DA2-A133-88A2F4977D17}"/>
            </c:ext>
          </c:extLst>
        </c:ser>
        <c:dLbls>
          <c:dLblPos val="outEnd"/>
          <c:showLegendKey val="0"/>
          <c:showVal val="1"/>
          <c:showCatName val="0"/>
          <c:showSerName val="0"/>
          <c:showPercent val="0"/>
          <c:showBubbleSize val="0"/>
        </c:dLbls>
        <c:gapWidth val="182"/>
        <c:axId val="1548029024"/>
        <c:axId val="1548036928"/>
      </c:barChart>
      <c:catAx>
        <c:axId val="154802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8036928"/>
        <c:crosses val="autoZero"/>
        <c:auto val="1"/>
        <c:lblAlgn val="ctr"/>
        <c:lblOffset val="100"/>
        <c:noMultiLvlLbl val="0"/>
      </c:catAx>
      <c:valAx>
        <c:axId val="1548036928"/>
        <c:scaling>
          <c:orientation val="minMax"/>
        </c:scaling>
        <c:delete val="0"/>
        <c:axPos val="b"/>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802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DAB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Rep Performance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rgbClr val="5749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Table'!$D$15:$D$19</c:f>
              <c:strCache>
                <c:ptCount val="4"/>
                <c:pt idx="0">
                  <c:v>Abiola Ogun</c:v>
                </c:pt>
                <c:pt idx="1">
                  <c:v>Chidi Nwosu</c:v>
                </c:pt>
                <c:pt idx="2">
                  <c:v>Femi Adebayo</c:v>
                </c:pt>
                <c:pt idx="3">
                  <c:v>Tunde Bakare</c:v>
                </c:pt>
              </c:strCache>
            </c:strRef>
          </c:cat>
          <c:val>
            <c:numRef>
              <c:f>'Pivot Table'!$E$15:$E$19</c:f>
              <c:numCache>
                <c:formatCode>[$₦-466]\ #,##0</c:formatCode>
                <c:ptCount val="4"/>
                <c:pt idx="0">
                  <c:v>4716000</c:v>
                </c:pt>
                <c:pt idx="1">
                  <c:v>2837000</c:v>
                </c:pt>
                <c:pt idx="2">
                  <c:v>4009000</c:v>
                </c:pt>
                <c:pt idx="3">
                  <c:v>3528000</c:v>
                </c:pt>
              </c:numCache>
            </c:numRef>
          </c:val>
          <c:extLst>
            <c:ext xmlns:c16="http://schemas.microsoft.com/office/drawing/2014/chart" uri="{C3380CC4-5D6E-409C-BE32-E72D297353CC}">
              <c16:uniqueId val="{00000000-C72C-44E3-9166-BA0485707BF8}"/>
            </c:ext>
          </c:extLst>
        </c:ser>
        <c:dLbls>
          <c:dLblPos val="outEnd"/>
          <c:showLegendKey val="0"/>
          <c:showVal val="1"/>
          <c:showCatName val="0"/>
          <c:showSerName val="0"/>
          <c:showPercent val="0"/>
          <c:showBubbleSize val="0"/>
        </c:dLbls>
        <c:gapWidth val="219"/>
        <c:overlap val="-27"/>
        <c:axId val="1548038592"/>
        <c:axId val="1548044000"/>
      </c:barChart>
      <c:catAx>
        <c:axId val="154803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8044000"/>
        <c:crosses val="autoZero"/>
        <c:auto val="1"/>
        <c:lblAlgn val="ctr"/>
        <c:lblOffset val="100"/>
        <c:noMultiLvlLbl val="0"/>
      </c:catAx>
      <c:valAx>
        <c:axId val="1548044000"/>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803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DAED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213C51"/>
          </a:solidFill>
          <a:ln w="19050">
            <a:solidFill>
              <a:schemeClr val="lt1"/>
            </a:solidFill>
          </a:ln>
          <a:effectLst/>
        </c:spPr>
      </c:pivotFmt>
      <c:pivotFmt>
        <c:idx val="2"/>
        <c:spPr>
          <a:solidFill>
            <a:srgbClr val="DDAED3"/>
          </a:solidFill>
          <a:ln w="19050">
            <a:solidFill>
              <a:schemeClr val="lt1"/>
            </a:solidFill>
          </a:ln>
          <a:effectLst/>
        </c:spPr>
      </c:pivotFmt>
      <c:pivotFmt>
        <c:idx val="3"/>
        <c:spPr>
          <a:solidFill>
            <a:srgbClr val="574964"/>
          </a:solidFill>
          <a:ln w="19050">
            <a:solidFill>
              <a:schemeClr val="lt1"/>
            </a:solidFill>
          </a:ln>
          <a:effectLst/>
        </c:spPr>
      </c:pivotFmt>
      <c:pivotFmt>
        <c:idx val="4"/>
        <c:spPr>
          <a:solidFill>
            <a:srgbClr val="FFDAB3"/>
          </a:solidFill>
          <a:ln w="19050">
            <a:solidFill>
              <a:schemeClr val="lt1"/>
            </a:solidFill>
          </a:ln>
          <a:effectLst/>
        </c:spPr>
      </c:pivotFmt>
    </c:pivotFmts>
    <c:plotArea>
      <c:layout/>
      <c:pieChart>
        <c:varyColors val="1"/>
        <c:ser>
          <c:idx val="0"/>
          <c:order val="0"/>
          <c:tx>
            <c:strRef>
              <c:f>'Pivot Table'!$B$6</c:f>
              <c:strCache>
                <c:ptCount val="1"/>
                <c:pt idx="0">
                  <c:v>Total</c:v>
                </c:pt>
              </c:strCache>
            </c:strRef>
          </c:tx>
          <c:dPt>
            <c:idx val="0"/>
            <c:bubble3D val="0"/>
            <c:spPr>
              <a:solidFill>
                <a:srgbClr val="213C51"/>
              </a:solidFill>
              <a:ln w="19050">
                <a:solidFill>
                  <a:schemeClr val="lt1"/>
                </a:solidFill>
              </a:ln>
              <a:effectLst/>
            </c:spPr>
            <c:extLst>
              <c:ext xmlns:c16="http://schemas.microsoft.com/office/drawing/2014/chart" uri="{C3380CC4-5D6E-409C-BE32-E72D297353CC}">
                <c16:uniqueId val="{00000002-23CA-43B7-B102-7CA23276C046}"/>
              </c:ext>
            </c:extLst>
          </c:dPt>
          <c:dPt>
            <c:idx val="1"/>
            <c:bubble3D val="0"/>
            <c:spPr>
              <a:solidFill>
                <a:srgbClr val="FFDAB3"/>
              </a:solidFill>
              <a:ln w="19050">
                <a:solidFill>
                  <a:schemeClr val="lt1"/>
                </a:solidFill>
              </a:ln>
              <a:effectLst/>
            </c:spPr>
            <c:extLst>
              <c:ext xmlns:c16="http://schemas.microsoft.com/office/drawing/2014/chart" uri="{C3380CC4-5D6E-409C-BE32-E72D297353CC}">
                <c16:uniqueId val="{00000005-23CA-43B7-B102-7CA23276C046}"/>
              </c:ext>
            </c:extLst>
          </c:dPt>
          <c:dPt>
            <c:idx val="2"/>
            <c:bubble3D val="0"/>
            <c:spPr>
              <a:solidFill>
                <a:srgbClr val="574964"/>
              </a:solidFill>
              <a:ln w="19050">
                <a:solidFill>
                  <a:schemeClr val="lt1"/>
                </a:solidFill>
              </a:ln>
              <a:effectLst/>
            </c:spPr>
            <c:extLst>
              <c:ext xmlns:c16="http://schemas.microsoft.com/office/drawing/2014/chart" uri="{C3380CC4-5D6E-409C-BE32-E72D297353CC}">
                <c16:uniqueId val="{00000004-23CA-43B7-B102-7CA23276C046}"/>
              </c:ext>
            </c:extLst>
          </c:dPt>
          <c:dPt>
            <c:idx val="3"/>
            <c:bubble3D val="0"/>
            <c:spPr>
              <a:solidFill>
                <a:srgbClr val="DDAED3"/>
              </a:solidFill>
              <a:ln w="19050">
                <a:solidFill>
                  <a:schemeClr val="lt1"/>
                </a:solidFill>
              </a:ln>
              <a:effectLst/>
            </c:spPr>
            <c:extLst>
              <c:ext xmlns:c16="http://schemas.microsoft.com/office/drawing/2014/chart" uri="{C3380CC4-5D6E-409C-BE32-E72D297353CC}">
                <c16:uniqueId val="{00000003-23CA-43B7-B102-7CA23276C04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Table'!$A$7:$A$11</c:f>
              <c:strCache>
                <c:ptCount val="4"/>
                <c:pt idx="0">
                  <c:v>North</c:v>
                </c:pt>
                <c:pt idx="1">
                  <c:v>East</c:v>
                </c:pt>
                <c:pt idx="2">
                  <c:v>West</c:v>
                </c:pt>
                <c:pt idx="3">
                  <c:v>South</c:v>
                </c:pt>
              </c:strCache>
            </c:strRef>
          </c:cat>
          <c:val>
            <c:numRef>
              <c:f>'Pivot Table'!$B$7:$B$11</c:f>
              <c:numCache>
                <c:formatCode>[$₦-466]\ #,##0</c:formatCode>
                <c:ptCount val="4"/>
                <c:pt idx="0">
                  <c:v>4716000</c:v>
                </c:pt>
                <c:pt idx="1">
                  <c:v>4009000</c:v>
                </c:pt>
                <c:pt idx="2">
                  <c:v>3528000</c:v>
                </c:pt>
                <c:pt idx="3">
                  <c:v>2837000</c:v>
                </c:pt>
              </c:numCache>
            </c:numRef>
          </c:val>
          <c:extLst>
            <c:ext xmlns:c16="http://schemas.microsoft.com/office/drawing/2014/chart" uri="{C3380CC4-5D6E-409C-BE32-E72D297353CC}">
              <c16:uniqueId val="{00000000-23CA-43B7-B102-7CA23276C046}"/>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8AAA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213C51"/>
            </a:solidFill>
            <a:round/>
          </a:ln>
          <a:effectLst/>
        </c:spPr>
        <c:marker>
          <c:symbol val="circle"/>
          <c:size val="5"/>
          <c:spPr>
            <a:solidFill>
              <a:srgbClr val="6594B1"/>
            </a:solidFill>
            <a:ln w="9525">
              <a:solidFill>
                <a:srgbClr val="213C5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213C51"/>
            </a:solidFill>
            <a:round/>
          </a:ln>
          <a:effectLst/>
        </c:spPr>
        <c:marker>
          <c:symbol val="circle"/>
          <c:size val="5"/>
          <c:spPr>
            <a:solidFill>
              <a:srgbClr val="6594B1"/>
            </a:solidFill>
            <a:ln w="9525">
              <a:solidFill>
                <a:srgbClr val="213C51"/>
              </a:solidFill>
            </a:ln>
            <a:effectLst/>
          </c:spPr>
        </c:marker>
      </c:pivotFmt>
      <c:pivotFmt>
        <c:idx val="2"/>
        <c:spPr>
          <a:ln w="28575" cap="rnd">
            <a:solidFill>
              <a:srgbClr val="213C51"/>
            </a:solidFill>
            <a:round/>
          </a:ln>
          <a:effectLst/>
        </c:spPr>
        <c:marker>
          <c:symbol val="circle"/>
          <c:size val="5"/>
          <c:spPr>
            <a:solidFill>
              <a:srgbClr val="6594B1"/>
            </a:solidFill>
            <a:ln w="9525">
              <a:solidFill>
                <a:srgbClr val="213C51"/>
              </a:solidFill>
            </a:ln>
            <a:effectLst/>
          </c:spPr>
        </c:marker>
      </c:pivotFmt>
    </c:pivotFmts>
    <c:plotArea>
      <c:layout/>
      <c:lineChart>
        <c:grouping val="standard"/>
        <c:varyColors val="0"/>
        <c:ser>
          <c:idx val="0"/>
          <c:order val="0"/>
          <c:tx>
            <c:strRef>
              <c:f>'Pivot Table'!$B$14</c:f>
              <c:strCache>
                <c:ptCount val="1"/>
                <c:pt idx="0">
                  <c:v>Total</c:v>
                </c:pt>
              </c:strCache>
            </c:strRef>
          </c:tx>
          <c:spPr>
            <a:ln w="28575" cap="rnd">
              <a:solidFill>
                <a:srgbClr val="213C51"/>
              </a:solidFill>
              <a:round/>
            </a:ln>
            <a:effectLst/>
          </c:spPr>
          <c:marker>
            <c:symbol val="circle"/>
            <c:size val="5"/>
            <c:spPr>
              <a:solidFill>
                <a:srgbClr val="6594B1"/>
              </a:solidFill>
              <a:ln w="9525">
                <a:solidFill>
                  <a:srgbClr val="213C5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Table'!$A$15:$A$18</c:f>
              <c:strCache>
                <c:ptCount val="3"/>
                <c:pt idx="0">
                  <c:v>January</c:v>
                </c:pt>
                <c:pt idx="1">
                  <c:v>February</c:v>
                </c:pt>
                <c:pt idx="2">
                  <c:v>March</c:v>
                </c:pt>
              </c:strCache>
            </c:strRef>
          </c:cat>
          <c:val>
            <c:numRef>
              <c:f>'Pivot Table'!$B$15:$B$18</c:f>
              <c:numCache>
                <c:formatCode>[$₦-466]\ #,##0</c:formatCode>
                <c:ptCount val="3"/>
                <c:pt idx="0">
                  <c:v>8645000</c:v>
                </c:pt>
                <c:pt idx="1">
                  <c:v>6266000</c:v>
                </c:pt>
                <c:pt idx="2">
                  <c:v>179000</c:v>
                </c:pt>
              </c:numCache>
            </c:numRef>
          </c:val>
          <c:smooth val="0"/>
          <c:extLst>
            <c:ext xmlns:c16="http://schemas.microsoft.com/office/drawing/2014/chart" uri="{C3380CC4-5D6E-409C-BE32-E72D297353CC}">
              <c16:uniqueId val="{00000000-A965-4F35-B6F0-CB8A0E23605C}"/>
            </c:ext>
          </c:extLst>
        </c:ser>
        <c:dLbls>
          <c:dLblPos val="t"/>
          <c:showLegendKey val="0"/>
          <c:showVal val="1"/>
          <c:showCatName val="0"/>
          <c:showSerName val="0"/>
          <c:showPercent val="0"/>
          <c:showBubbleSize val="0"/>
        </c:dLbls>
        <c:marker val="1"/>
        <c:smooth val="0"/>
        <c:axId val="1547999072"/>
        <c:axId val="1548004064"/>
      </c:lineChart>
      <c:catAx>
        <c:axId val="15479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8004064"/>
        <c:crosses val="autoZero"/>
        <c:auto val="1"/>
        <c:lblAlgn val="ctr"/>
        <c:lblOffset val="100"/>
        <c:noMultiLvlLbl val="0"/>
      </c:catAx>
      <c:valAx>
        <c:axId val="1548004064"/>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799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8AAA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Revenue by Category</a:t>
            </a:r>
          </a:p>
        </c:rich>
      </c:tx>
      <c:layout>
        <c:manualLayout>
          <c:xMode val="edge"/>
          <c:yMode val="edge"/>
          <c:x val="0.331388888888888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DAB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Table'!$G$31</c:f>
              <c:strCache>
                <c:ptCount val="1"/>
                <c:pt idx="0">
                  <c:v>Total</c:v>
                </c:pt>
              </c:strCache>
            </c:strRef>
          </c:tx>
          <c:spPr>
            <a:solidFill>
              <a:srgbClr val="FFDAB3"/>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Table'!$F$32:$F$35</c:f>
              <c:strCache>
                <c:ptCount val="3"/>
                <c:pt idx="0">
                  <c:v>Clothing</c:v>
                </c:pt>
                <c:pt idx="1">
                  <c:v>Electronics</c:v>
                </c:pt>
                <c:pt idx="2">
                  <c:v>Furniture</c:v>
                </c:pt>
              </c:strCache>
            </c:strRef>
          </c:cat>
          <c:val>
            <c:numRef>
              <c:f>'Pivot Table'!$G$32:$G$35</c:f>
              <c:numCache>
                <c:formatCode>[$₦-466]\ #,##0</c:formatCode>
                <c:ptCount val="3"/>
                <c:pt idx="0">
                  <c:v>3457000</c:v>
                </c:pt>
                <c:pt idx="1">
                  <c:v>6882000</c:v>
                </c:pt>
                <c:pt idx="2">
                  <c:v>4751000</c:v>
                </c:pt>
              </c:numCache>
            </c:numRef>
          </c:val>
          <c:extLst>
            <c:ext xmlns:c16="http://schemas.microsoft.com/office/drawing/2014/chart" uri="{C3380CC4-5D6E-409C-BE32-E72D297353CC}">
              <c16:uniqueId val="{00000000-2EED-4EE6-A0E1-5CD12EB60878}"/>
            </c:ext>
          </c:extLst>
        </c:ser>
        <c:dLbls>
          <c:showLegendKey val="0"/>
          <c:showVal val="0"/>
          <c:showCatName val="0"/>
          <c:showSerName val="0"/>
          <c:showPercent val="0"/>
          <c:showBubbleSize val="0"/>
        </c:dLbls>
        <c:gapWidth val="150"/>
        <c:axId val="1547998656"/>
        <c:axId val="1547999904"/>
      </c:barChart>
      <c:catAx>
        <c:axId val="1547998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7999904"/>
        <c:auto val="1"/>
        <c:lblAlgn val="ctr"/>
        <c:lblOffset val="100"/>
        <c:noMultiLvlLbl val="0"/>
      </c:catAx>
      <c:valAx>
        <c:axId val="1547999904"/>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799865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13C5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Revenue</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F8383"/>
          </a:solidFill>
          <a:ln>
            <a:solidFill>
              <a:schemeClr val="tx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F8383"/>
          </a:solidFill>
          <a:ln>
            <a:solidFill>
              <a:schemeClr val="tx1"/>
            </a:solidFill>
          </a:ln>
          <a:effectLst/>
        </c:spPr>
        <c:dLbl>
          <c:idx val="0"/>
          <c:layout>
            <c:manualLayout>
              <c:x val="-4.1666666666666644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F8383"/>
          </a:solidFill>
          <a:ln>
            <a:solidFill>
              <a:schemeClr val="tx1"/>
            </a:solidFill>
          </a:ln>
          <a:effectLst/>
        </c:spPr>
        <c:dLbl>
          <c:idx val="0"/>
          <c:layout>
            <c:manualLayout>
              <c:x val="8.3333333333333332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Table'!$G$48</c:f>
              <c:strCache>
                <c:ptCount val="1"/>
                <c:pt idx="0">
                  <c:v>Total</c:v>
                </c:pt>
              </c:strCache>
            </c:strRef>
          </c:tx>
          <c:spPr>
            <a:solidFill>
              <a:srgbClr val="9F8383"/>
            </a:solidFill>
            <a:ln>
              <a:solidFill>
                <a:schemeClr val="tx1"/>
              </a:solidFill>
            </a:ln>
            <a:effectLst/>
          </c:spPr>
          <c:invertIfNegative val="0"/>
          <c:dLbls>
            <c:dLbl>
              <c:idx val="1"/>
              <c:layout>
                <c:manualLayout>
                  <c:x val="-4.1666666666666644E-2"/>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AA-4EA5-97DF-2ACD5F1FEF4C}"/>
                </c:ext>
              </c:extLst>
            </c:dLbl>
            <c:dLbl>
              <c:idx val="2"/>
              <c:layout>
                <c:manualLayout>
                  <c:x val="8.3333333333333332E-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AA-4EA5-97DF-2ACD5F1FEF4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Table'!$F$49:$F$56</c:f>
              <c:strCache>
                <c:ptCount val="7"/>
                <c:pt idx="0">
                  <c:v>Sunday</c:v>
                </c:pt>
                <c:pt idx="1">
                  <c:v>Monday</c:v>
                </c:pt>
                <c:pt idx="2">
                  <c:v>Tuesday</c:v>
                </c:pt>
                <c:pt idx="3">
                  <c:v>Wednesday</c:v>
                </c:pt>
                <c:pt idx="4">
                  <c:v>Thursday</c:v>
                </c:pt>
                <c:pt idx="5">
                  <c:v>Friday</c:v>
                </c:pt>
                <c:pt idx="6">
                  <c:v>Saturday</c:v>
                </c:pt>
              </c:strCache>
            </c:strRef>
          </c:cat>
          <c:val>
            <c:numRef>
              <c:f>'Pivot Table'!$G$49:$G$56</c:f>
              <c:numCache>
                <c:formatCode>[$₦-466]\ #,##0</c:formatCode>
                <c:ptCount val="7"/>
                <c:pt idx="0">
                  <c:v>1621000</c:v>
                </c:pt>
                <c:pt idx="1">
                  <c:v>1844000</c:v>
                </c:pt>
                <c:pt idx="2">
                  <c:v>2116000</c:v>
                </c:pt>
                <c:pt idx="3">
                  <c:v>2131000</c:v>
                </c:pt>
                <c:pt idx="4">
                  <c:v>1677000</c:v>
                </c:pt>
                <c:pt idx="5">
                  <c:v>3316000</c:v>
                </c:pt>
                <c:pt idx="6">
                  <c:v>2385000</c:v>
                </c:pt>
              </c:numCache>
            </c:numRef>
          </c:val>
          <c:extLst>
            <c:ext xmlns:c16="http://schemas.microsoft.com/office/drawing/2014/chart" uri="{C3380CC4-5D6E-409C-BE32-E72D297353CC}">
              <c16:uniqueId val="{00000000-6FAA-4EA5-97DF-2ACD5F1FEF4C}"/>
            </c:ext>
          </c:extLst>
        </c:ser>
        <c:dLbls>
          <c:showLegendKey val="0"/>
          <c:showVal val="1"/>
          <c:showCatName val="0"/>
          <c:showSerName val="0"/>
          <c:showPercent val="0"/>
          <c:showBubbleSize val="0"/>
        </c:dLbls>
        <c:gapWidth val="219"/>
        <c:axId val="1689664352"/>
        <c:axId val="1689663104"/>
      </c:barChart>
      <c:catAx>
        <c:axId val="16896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9663104"/>
        <c:crosses val="autoZero"/>
        <c:auto val="1"/>
        <c:lblAlgn val="ctr"/>
        <c:lblOffset val="100"/>
        <c:noMultiLvlLbl val="0"/>
      </c:catAx>
      <c:valAx>
        <c:axId val="1689663104"/>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966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DAB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Table'!$E$6</c:f>
              <c:strCache>
                <c:ptCount val="1"/>
                <c:pt idx="0">
                  <c:v>Total</c:v>
                </c:pt>
              </c:strCache>
            </c:strRef>
          </c:tx>
          <c:spPr>
            <a:solidFill>
              <a:srgbClr val="5749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Table'!$D$7:$D$12</c:f>
              <c:strCache>
                <c:ptCount val="5"/>
                <c:pt idx="0">
                  <c:v>Drone</c:v>
                </c:pt>
                <c:pt idx="1">
                  <c:v>GamingConsole</c:v>
                </c:pt>
                <c:pt idx="2">
                  <c:v>Laptop</c:v>
                </c:pt>
                <c:pt idx="3">
                  <c:v>Projector</c:v>
                </c:pt>
                <c:pt idx="4">
                  <c:v>SmartTV</c:v>
                </c:pt>
              </c:strCache>
            </c:strRef>
          </c:cat>
          <c:val>
            <c:numRef>
              <c:f>'Pivot Table'!$E$7:$E$12</c:f>
              <c:numCache>
                <c:formatCode>[$₦-466]\ #,##0</c:formatCode>
                <c:ptCount val="5"/>
                <c:pt idx="0">
                  <c:v>250000</c:v>
                </c:pt>
                <c:pt idx="1">
                  <c:v>350000</c:v>
                </c:pt>
                <c:pt idx="2">
                  <c:v>1350000</c:v>
                </c:pt>
                <c:pt idx="3">
                  <c:v>250000</c:v>
                </c:pt>
                <c:pt idx="4">
                  <c:v>250000</c:v>
                </c:pt>
              </c:numCache>
            </c:numRef>
          </c:val>
          <c:extLst>
            <c:ext xmlns:c16="http://schemas.microsoft.com/office/drawing/2014/chart" uri="{C3380CC4-5D6E-409C-BE32-E72D297353CC}">
              <c16:uniqueId val="{00000000-BC9E-408E-A30B-D555DDC4FFBD}"/>
            </c:ext>
          </c:extLst>
        </c:ser>
        <c:dLbls>
          <c:dLblPos val="outEnd"/>
          <c:showLegendKey val="0"/>
          <c:showVal val="1"/>
          <c:showCatName val="0"/>
          <c:showSerName val="0"/>
          <c:showPercent val="0"/>
          <c:showBubbleSize val="0"/>
        </c:dLbls>
        <c:gapWidth val="182"/>
        <c:axId val="1548029024"/>
        <c:axId val="1548036928"/>
      </c:barChart>
      <c:catAx>
        <c:axId val="154802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8036928"/>
        <c:crosses val="autoZero"/>
        <c:auto val="1"/>
        <c:lblAlgn val="ctr"/>
        <c:lblOffset val="100"/>
        <c:noMultiLvlLbl val="0"/>
      </c:catAx>
      <c:valAx>
        <c:axId val="1548036928"/>
        <c:scaling>
          <c:orientation val="minMax"/>
        </c:scaling>
        <c:delete val="0"/>
        <c:axPos val="b"/>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802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DAB3"/>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Rep Performance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749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rgbClr val="5749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Table'!$D$15:$D$19</c:f>
              <c:strCache>
                <c:ptCount val="4"/>
                <c:pt idx="0">
                  <c:v>Abiola Ogun</c:v>
                </c:pt>
                <c:pt idx="1">
                  <c:v>Chidi Nwosu</c:v>
                </c:pt>
                <c:pt idx="2">
                  <c:v>Femi Adebayo</c:v>
                </c:pt>
                <c:pt idx="3">
                  <c:v>Tunde Bakare</c:v>
                </c:pt>
              </c:strCache>
            </c:strRef>
          </c:cat>
          <c:val>
            <c:numRef>
              <c:f>'Pivot Table'!$E$15:$E$19</c:f>
              <c:numCache>
                <c:formatCode>[$₦-466]\ #,##0</c:formatCode>
                <c:ptCount val="4"/>
                <c:pt idx="0">
                  <c:v>4716000</c:v>
                </c:pt>
                <c:pt idx="1">
                  <c:v>2837000</c:v>
                </c:pt>
                <c:pt idx="2">
                  <c:v>4009000</c:v>
                </c:pt>
                <c:pt idx="3">
                  <c:v>3528000</c:v>
                </c:pt>
              </c:numCache>
            </c:numRef>
          </c:val>
          <c:extLst>
            <c:ext xmlns:c16="http://schemas.microsoft.com/office/drawing/2014/chart" uri="{C3380CC4-5D6E-409C-BE32-E72D297353CC}">
              <c16:uniqueId val="{00000000-7796-446C-B47F-197F5C618D27}"/>
            </c:ext>
          </c:extLst>
        </c:ser>
        <c:dLbls>
          <c:dLblPos val="outEnd"/>
          <c:showLegendKey val="0"/>
          <c:showVal val="1"/>
          <c:showCatName val="0"/>
          <c:showSerName val="0"/>
          <c:showPercent val="0"/>
          <c:showBubbleSize val="0"/>
        </c:dLbls>
        <c:gapWidth val="219"/>
        <c:overlap val="-27"/>
        <c:axId val="1548038592"/>
        <c:axId val="1548044000"/>
      </c:barChart>
      <c:catAx>
        <c:axId val="154803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8044000"/>
        <c:crosses val="autoZero"/>
        <c:auto val="1"/>
        <c:lblAlgn val="ctr"/>
        <c:lblOffset val="100"/>
        <c:noMultiLvlLbl val="0"/>
      </c:catAx>
      <c:valAx>
        <c:axId val="1548044000"/>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803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DAED3"/>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Revenue by Region</a:t>
            </a:r>
          </a:p>
        </c:rich>
      </c:tx>
      <c:layout>
        <c:manualLayout>
          <c:xMode val="edge"/>
          <c:yMode val="edge"/>
          <c:x val="0.34287223694361518"/>
          <c:y val="6.565780342274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213C51"/>
          </a:solidFill>
          <a:ln w="19050">
            <a:solidFill>
              <a:schemeClr val="lt1"/>
            </a:solidFill>
          </a:ln>
          <a:effectLst/>
        </c:spPr>
      </c:pivotFmt>
      <c:pivotFmt>
        <c:idx val="2"/>
        <c:spPr>
          <a:solidFill>
            <a:srgbClr val="DDAED3"/>
          </a:solidFill>
          <a:ln w="19050">
            <a:solidFill>
              <a:schemeClr val="lt1"/>
            </a:solidFill>
          </a:ln>
          <a:effectLst/>
        </c:spPr>
      </c:pivotFmt>
      <c:pivotFmt>
        <c:idx val="3"/>
        <c:spPr>
          <a:solidFill>
            <a:srgbClr val="574964"/>
          </a:solidFill>
          <a:ln w="19050">
            <a:solidFill>
              <a:schemeClr val="lt1"/>
            </a:solidFill>
          </a:ln>
          <a:effectLst/>
        </c:spPr>
      </c:pivotFmt>
      <c:pivotFmt>
        <c:idx val="4"/>
        <c:spPr>
          <a:solidFill>
            <a:srgbClr val="FFDAB3"/>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213C51"/>
          </a:solidFill>
          <a:ln w="19050">
            <a:solidFill>
              <a:schemeClr val="lt1"/>
            </a:solidFill>
          </a:ln>
          <a:effectLst/>
        </c:spPr>
      </c:pivotFmt>
      <c:pivotFmt>
        <c:idx val="7"/>
        <c:spPr>
          <a:solidFill>
            <a:srgbClr val="FFDAB3"/>
          </a:solidFill>
          <a:ln w="19050">
            <a:solidFill>
              <a:schemeClr val="lt1"/>
            </a:solidFill>
          </a:ln>
          <a:effectLst/>
        </c:spPr>
      </c:pivotFmt>
      <c:pivotFmt>
        <c:idx val="8"/>
        <c:spPr>
          <a:solidFill>
            <a:srgbClr val="574964"/>
          </a:solidFill>
          <a:ln w="19050">
            <a:solidFill>
              <a:schemeClr val="lt1"/>
            </a:solidFill>
          </a:ln>
          <a:effectLst/>
        </c:spPr>
      </c:pivotFmt>
      <c:pivotFmt>
        <c:idx val="9"/>
        <c:spPr>
          <a:solidFill>
            <a:srgbClr val="DDAED3"/>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13C5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008CFAC3-1982-499F-8D6E-7154DE44E804}" type="CATEGORYNAME">
                  <a:rPr lang="en-US"/>
                  <a:pPr>
                    <a:defRPr b="1"/>
                  </a:pPr>
                  <a:t>[CATEGORY NAME]</a:t>
                </a:fld>
                <a:r>
                  <a:rPr lang="en-US" baseline="0"/>
                  <a:t>,</a:t>
                </a:r>
              </a:p>
              <a:p>
                <a:pPr>
                  <a:defRPr b="1"/>
                </a:pPr>
                <a:r>
                  <a:rPr lang="en-US" baseline="0"/>
                  <a:t> </a:t>
                </a:r>
                <a:fld id="{352E259B-D947-4F2E-AFBE-9D5DD2E79260}" type="VALUE">
                  <a:rPr lang="en-US" baseline="0"/>
                  <a:pPr>
                    <a:defRPr b="1"/>
                  </a:pPr>
                  <a:t>[VALUE]</a:t>
                </a:fld>
                <a:r>
                  <a:rPr lang="en-US" baseline="0"/>
                  <a:t>, </a:t>
                </a:r>
                <a:fld id="{7E2A197D-5430-4E25-AFCF-97B67B8984DD}" type="PERCENTAGE">
                  <a:rPr lang="en-US" baseline="0"/>
                  <a:pPr>
                    <a:defRPr b="1"/>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rgbClr val="FFDAB3"/>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BD6EB8E7-B4AA-4BBA-8E98-B5FCD1F4FB48}" type="CATEGORYNAME">
                  <a:rPr lang="en-US"/>
                  <a:pPr>
                    <a:defRPr b="1"/>
                  </a:pPr>
                  <a:t>[CATEGORY NAME]</a:t>
                </a:fld>
                <a:r>
                  <a:rPr lang="en-US" baseline="0"/>
                  <a:t>, </a:t>
                </a:r>
              </a:p>
              <a:p>
                <a:pPr>
                  <a:defRPr b="1"/>
                </a:pPr>
                <a:fld id="{0C0EEE10-3A4C-4847-8A2E-797D74D3CD77}" type="VALUE">
                  <a:rPr lang="en-US" baseline="0"/>
                  <a:pPr>
                    <a:defRPr b="1"/>
                  </a:pPr>
                  <a:t>[VALUE]</a:t>
                </a:fld>
                <a:r>
                  <a:rPr lang="en-US" baseline="0"/>
                  <a:t>, </a:t>
                </a:r>
                <a:fld id="{8C687E1A-6DC3-459E-B73C-2DE76BD2ED93}" type="PERCENTAGE">
                  <a:rPr lang="en-US" baseline="0"/>
                  <a:pPr>
                    <a:defRPr b="1"/>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rgbClr val="574964"/>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C04572B4-C23E-4E25-AF39-4BB8404F8279}" type="CATEGORYNAME">
                  <a:rPr lang="en-US"/>
                  <a:pPr>
                    <a:defRPr b="1"/>
                  </a:pPr>
                  <a:t>[CATEGORY NAME]</a:t>
                </a:fld>
                <a:r>
                  <a:rPr lang="en-US" baseline="0"/>
                  <a:t>, </a:t>
                </a:r>
              </a:p>
              <a:p>
                <a:pPr>
                  <a:defRPr b="1"/>
                </a:pPr>
                <a:fld id="{627E98F1-7E6A-4F92-9B92-004C634A3A6D}" type="VALUE">
                  <a:rPr lang="en-US" baseline="0"/>
                  <a:pPr>
                    <a:defRPr b="1"/>
                  </a:pPr>
                  <a:t>[VALUE]</a:t>
                </a:fld>
                <a:r>
                  <a:rPr lang="en-US" baseline="0"/>
                  <a:t>, </a:t>
                </a:r>
                <a:fld id="{6CFE8422-8841-41A2-821B-64512E0E3622}" type="PERCENTAGE">
                  <a:rPr lang="en-US" baseline="0"/>
                  <a:pPr>
                    <a:defRPr b="1"/>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rgbClr val="DDAED3"/>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63AE4349-5AAF-4BA8-8B96-93DE801C4444}" type="CATEGORYNAME">
                  <a:rPr lang="en-US"/>
                  <a:pPr>
                    <a:defRPr b="1"/>
                  </a:pPr>
                  <a:t>[CATEGORY NAME]</a:t>
                </a:fld>
                <a:r>
                  <a:rPr lang="en-US" baseline="0"/>
                  <a:t>, </a:t>
                </a:r>
              </a:p>
              <a:p>
                <a:pPr>
                  <a:defRPr b="1"/>
                </a:pPr>
                <a:fld id="{C8E8798B-6D28-4739-809B-9915B4BBEAE4}" type="VALUE">
                  <a:rPr lang="en-US" baseline="0"/>
                  <a:pPr>
                    <a:defRPr b="1"/>
                  </a:pPr>
                  <a:t>[VALUE]</a:t>
                </a:fld>
                <a:r>
                  <a:rPr lang="en-US" baseline="0"/>
                  <a:t>, </a:t>
                </a:r>
                <a:fld id="{080995E6-F0F5-4838-9057-78F95B42FEAD}" type="PERCENTAGE">
                  <a:rPr lang="en-US" baseline="0"/>
                  <a:pPr>
                    <a:defRPr b="1"/>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 Table'!$B$6</c:f>
              <c:strCache>
                <c:ptCount val="1"/>
                <c:pt idx="0">
                  <c:v>Total</c:v>
                </c:pt>
              </c:strCache>
            </c:strRef>
          </c:tx>
          <c:dPt>
            <c:idx val="0"/>
            <c:bubble3D val="0"/>
            <c:spPr>
              <a:solidFill>
                <a:srgbClr val="213C51"/>
              </a:solidFill>
              <a:ln w="19050">
                <a:solidFill>
                  <a:schemeClr val="lt1"/>
                </a:solidFill>
              </a:ln>
              <a:effectLst/>
            </c:spPr>
            <c:extLst>
              <c:ext xmlns:c16="http://schemas.microsoft.com/office/drawing/2014/chart" uri="{C3380CC4-5D6E-409C-BE32-E72D297353CC}">
                <c16:uniqueId val="{00000001-E76B-4DA4-9B24-FEE5F5C49951}"/>
              </c:ext>
            </c:extLst>
          </c:dPt>
          <c:dPt>
            <c:idx val="1"/>
            <c:bubble3D val="0"/>
            <c:spPr>
              <a:solidFill>
                <a:srgbClr val="FFDAB3"/>
              </a:solidFill>
              <a:ln w="19050">
                <a:solidFill>
                  <a:schemeClr val="lt1"/>
                </a:solidFill>
              </a:ln>
              <a:effectLst/>
            </c:spPr>
            <c:extLst>
              <c:ext xmlns:c16="http://schemas.microsoft.com/office/drawing/2014/chart" uri="{C3380CC4-5D6E-409C-BE32-E72D297353CC}">
                <c16:uniqueId val="{00000003-E76B-4DA4-9B24-FEE5F5C49951}"/>
              </c:ext>
            </c:extLst>
          </c:dPt>
          <c:dPt>
            <c:idx val="2"/>
            <c:bubble3D val="0"/>
            <c:spPr>
              <a:solidFill>
                <a:srgbClr val="574964"/>
              </a:solidFill>
              <a:ln w="19050">
                <a:solidFill>
                  <a:schemeClr val="lt1"/>
                </a:solidFill>
              </a:ln>
              <a:effectLst/>
            </c:spPr>
            <c:extLst>
              <c:ext xmlns:c16="http://schemas.microsoft.com/office/drawing/2014/chart" uri="{C3380CC4-5D6E-409C-BE32-E72D297353CC}">
                <c16:uniqueId val="{00000005-E76B-4DA4-9B24-FEE5F5C49951}"/>
              </c:ext>
            </c:extLst>
          </c:dPt>
          <c:dPt>
            <c:idx val="3"/>
            <c:bubble3D val="0"/>
            <c:spPr>
              <a:solidFill>
                <a:srgbClr val="DDAED3"/>
              </a:solidFill>
              <a:ln w="19050">
                <a:solidFill>
                  <a:schemeClr val="lt1"/>
                </a:solidFill>
              </a:ln>
              <a:effectLst/>
            </c:spPr>
            <c:extLst>
              <c:ext xmlns:c16="http://schemas.microsoft.com/office/drawing/2014/chart" uri="{C3380CC4-5D6E-409C-BE32-E72D297353CC}">
                <c16:uniqueId val="{00000007-E76B-4DA4-9B24-FEE5F5C49951}"/>
              </c:ext>
            </c:extLst>
          </c:dPt>
          <c:dLbls>
            <c:dLbl>
              <c:idx val="0"/>
              <c:tx>
                <c:rich>
                  <a:bodyPr/>
                  <a:lstStyle/>
                  <a:p>
                    <a:fld id="{008CFAC3-1982-499F-8D6E-7154DE44E804}" type="CATEGORYNAME">
                      <a:rPr lang="en-US"/>
                      <a:pPr/>
                      <a:t>[CATEGORY NAME]</a:t>
                    </a:fld>
                    <a:r>
                      <a:rPr lang="en-US" baseline="0"/>
                      <a:t>,</a:t>
                    </a:r>
                  </a:p>
                  <a:p>
                    <a:r>
                      <a:rPr lang="en-US" baseline="0"/>
                      <a:t> </a:t>
                    </a:r>
                    <a:fld id="{352E259B-D947-4F2E-AFBE-9D5DD2E79260}" type="VALUE">
                      <a:rPr lang="en-US" baseline="0"/>
                      <a:pPr/>
                      <a:t>[VALUE]</a:t>
                    </a:fld>
                    <a:r>
                      <a:rPr lang="en-US" baseline="0"/>
                      <a:t>, </a:t>
                    </a:r>
                    <a:fld id="{7E2A197D-5430-4E25-AFCF-97B67B8984DD}"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76B-4DA4-9B24-FEE5F5C49951}"/>
                </c:ext>
              </c:extLst>
            </c:dLbl>
            <c:dLbl>
              <c:idx val="1"/>
              <c:tx>
                <c:rich>
                  <a:bodyPr/>
                  <a:lstStyle/>
                  <a:p>
                    <a:fld id="{BD6EB8E7-B4AA-4BBA-8E98-B5FCD1F4FB48}" type="CATEGORYNAME">
                      <a:rPr lang="en-US"/>
                      <a:pPr/>
                      <a:t>[CATEGORY NAME]</a:t>
                    </a:fld>
                    <a:r>
                      <a:rPr lang="en-US" baseline="0"/>
                      <a:t>, </a:t>
                    </a:r>
                  </a:p>
                  <a:p>
                    <a:fld id="{0C0EEE10-3A4C-4847-8A2E-797D74D3CD77}" type="VALUE">
                      <a:rPr lang="en-US" baseline="0"/>
                      <a:pPr/>
                      <a:t>[VALUE]</a:t>
                    </a:fld>
                    <a:r>
                      <a:rPr lang="en-US" baseline="0"/>
                      <a:t>, </a:t>
                    </a:r>
                    <a:fld id="{8C687E1A-6DC3-459E-B73C-2DE76BD2ED93}"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76B-4DA4-9B24-FEE5F5C49951}"/>
                </c:ext>
              </c:extLst>
            </c:dLbl>
            <c:dLbl>
              <c:idx val="2"/>
              <c:tx>
                <c:rich>
                  <a:bodyPr/>
                  <a:lstStyle/>
                  <a:p>
                    <a:fld id="{C04572B4-C23E-4E25-AF39-4BB8404F8279}" type="CATEGORYNAME">
                      <a:rPr lang="en-US"/>
                      <a:pPr/>
                      <a:t>[CATEGORY NAME]</a:t>
                    </a:fld>
                    <a:r>
                      <a:rPr lang="en-US" baseline="0"/>
                      <a:t>, </a:t>
                    </a:r>
                  </a:p>
                  <a:p>
                    <a:fld id="{627E98F1-7E6A-4F92-9B92-004C634A3A6D}" type="VALUE">
                      <a:rPr lang="en-US" baseline="0"/>
                      <a:pPr/>
                      <a:t>[VALUE]</a:t>
                    </a:fld>
                    <a:r>
                      <a:rPr lang="en-US" baseline="0"/>
                      <a:t>, </a:t>
                    </a:r>
                    <a:fld id="{6CFE8422-8841-41A2-821B-64512E0E3622}"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76B-4DA4-9B24-FEE5F5C49951}"/>
                </c:ext>
              </c:extLst>
            </c:dLbl>
            <c:dLbl>
              <c:idx val="3"/>
              <c:tx>
                <c:rich>
                  <a:bodyPr/>
                  <a:lstStyle/>
                  <a:p>
                    <a:fld id="{63AE4349-5AAF-4BA8-8B96-93DE801C4444}" type="CATEGORYNAME">
                      <a:rPr lang="en-US"/>
                      <a:pPr/>
                      <a:t>[CATEGORY NAME]</a:t>
                    </a:fld>
                    <a:r>
                      <a:rPr lang="en-US" baseline="0"/>
                      <a:t>, </a:t>
                    </a:r>
                  </a:p>
                  <a:p>
                    <a:fld id="{C8E8798B-6D28-4739-809B-9915B4BBEAE4}" type="VALUE">
                      <a:rPr lang="en-US" baseline="0"/>
                      <a:pPr/>
                      <a:t>[VALUE]</a:t>
                    </a:fld>
                    <a:r>
                      <a:rPr lang="en-US" baseline="0"/>
                      <a:t>, </a:t>
                    </a:r>
                    <a:fld id="{080995E6-F0F5-4838-9057-78F95B42FEAD}"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76B-4DA4-9B24-FEE5F5C4995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Table'!$A$7:$A$11</c:f>
              <c:strCache>
                <c:ptCount val="4"/>
                <c:pt idx="0">
                  <c:v>North</c:v>
                </c:pt>
                <c:pt idx="1">
                  <c:v>East</c:v>
                </c:pt>
                <c:pt idx="2">
                  <c:v>West</c:v>
                </c:pt>
                <c:pt idx="3">
                  <c:v>South</c:v>
                </c:pt>
              </c:strCache>
            </c:strRef>
          </c:cat>
          <c:val>
            <c:numRef>
              <c:f>'Pivot Table'!$B$7:$B$11</c:f>
              <c:numCache>
                <c:formatCode>[$₦-466]\ #,##0</c:formatCode>
                <c:ptCount val="4"/>
                <c:pt idx="0">
                  <c:v>4716000</c:v>
                </c:pt>
                <c:pt idx="1">
                  <c:v>4009000</c:v>
                </c:pt>
                <c:pt idx="2">
                  <c:v>3528000</c:v>
                </c:pt>
                <c:pt idx="3">
                  <c:v>2837000</c:v>
                </c:pt>
              </c:numCache>
            </c:numRef>
          </c:val>
          <c:extLst>
            <c:ext xmlns:c16="http://schemas.microsoft.com/office/drawing/2014/chart" uri="{C3380CC4-5D6E-409C-BE32-E72D297353CC}">
              <c16:uniqueId val="{00000008-E76B-4DA4-9B24-FEE5F5C49951}"/>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8AAA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213C51"/>
            </a:solidFill>
            <a:round/>
          </a:ln>
          <a:effectLst/>
        </c:spPr>
        <c:marker>
          <c:symbol val="circle"/>
          <c:size val="5"/>
          <c:spPr>
            <a:solidFill>
              <a:srgbClr val="6594B1"/>
            </a:solidFill>
            <a:ln w="9525">
              <a:solidFill>
                <a:srgbClr val="213C5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13C51"/>
            </a:solidFill>
            <a:round/>
          </a:ln>
          <a:effectLst/>
        </c:spPr>
        <c:marker>
          <c:symbol val="circle"/>
          <c:size val="5"/>
          <c:spPr>
            <a:solidFill>
              <a:srgbClr val="6594B1"/>
            </a:solidFill>
            <a:ln w="9525">
              <a:solidFill>
                <a:srgbClr val="213C51"/>
              </a:solidFill>
            </a:ln>
            <a:effectLst/>
          </c:spPr>
        </c:marker>
      </c:pivotFmt>
      <c:pivotFmt>
        <c:idx val="2"/>
        <c:spPr>
          <a:solidFill>
            <a:schemeClr val="accent1"/>
          </a:solidFill>
          <a:ln w="28575" cap="rnd">
            <a:solidFill>
              <a:srgbClr val="213C51"/>
            </a:solidFill>
            <a:round/>
          </a:ln>
          <a:effectLst/>
        </c:spPr>
        <c:marker>
          <c:symbol val="circle"/>
          <c:size val="5"/>
          <c:spPr>
            <a:solidFill>
              <a:srgbClr val="6594B1"/>
            </a:solidFill>
            <a:ln w="9525">
              <a:solidFill>
                <a:srgbClr val="213C51"/>
              </a:solidFill>
            </a:ln>
            <a:effectLst/>
          </c:spPr>
        </c:marker>
      </c:pivotFmt>
      <c:pivotFmt>
        <c:idx val="3"/>
        <c:spPr>
          <a:solidFill>
            <a:schemeClr val="accent1"/>
          </a:solidFill>
          <a:ln w="28575" cap="rnd">
            <a:solidFill>
              <a:srgbClr val="213C51"/>
            </a:solidFill>
            <a:round/>
          </a:ln>
          <a:effectLst/>
        </c:spPr>
        <c:marker>
          <c:symbol val="circle"/>
          <c:size val="5"/>
          <c:spPr>
            <a:solidFill>
              <a:srgbClr val="6594B1"/>
            </a:solidFill>
            <a:ln w="9525">
              <a:solidFill>
                <a:srgbClr val="213C5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213C51"/>
            </a:solidFill>
            <a:round/>
          </a:ln>
          <a:effectLst/>
        </c:spPr>
        <c:marker>
          <c:symbol val="circle"/>
          <c:size val="5"/>
          <c:spPr>
            <a:solidFill>
              <a:srgbClr val="6594B1"/>
            </a:solidFill>
            <a:ln w="9525">
              <a:solidFill>
                <a:srgbClr val="213C5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rgbClr val="213C51"/>
              </a:solidFill>
              <a:round/>
            </a:ln>
            <a:effectLst/>
          </c:spPr>
          <c:marker>
            <c:symbol val="circle"/>
            <c:size val="5"/>
            <c:spPr>
              <a:solidFill>
                <a:srgbClr val="6594B1"/>
              </a:solidFill>
              <a:ln w="9525">
                <a:solidFill>
                  <a:srgbClr val="213C5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Table'!$A$15:$A$18</c:f>
              <c:strCache>
                <c:ptCount val="3"/>
                <c:pt idx="0">
                  <c:v>January</c:v>
                </c:pt>
                <c:pt idx="1">
                  <c:v>February</c:v>
                </c:pt>
                <c:pt idx="2">
                  <c:v>March</c:v>
                </c:pt>
              </c:strCache>
            </c:strRef>
          </c:cat>
          <c:val>
            <c:numRef>
              <c:f>'Pivot Table'!$B$15:$B$18</c:f>
              <c:numCache>
                <c:formatCode>[$₦-466]\ #,##0</c:formatCode>
                <c:ptCount val="3"/>
                <c:pt idx="0">
                  <c:v>8645000</c:v>
                </c:pt>
                <c:pt idx="1">
                  <c:v>6266000</c:v>
                </c:pt>
                <c:pt idx="2">
                  <c:v>179000</c:v>
                </c:pt>
              </c:numCache>
            </c:numRef>
          </c:val>
          <c:smooth val="0"/>
          <c:extLst>
            <c:ext xmlns:c16="http://schemas.microsoft.com/office/drawing/2014/chart" uri="{C3380CC4-5D6E-409C-BE32-E72D297353CC}">
              <c16:uniqueId val="{00000000-62A6-48AC-A069-E68807446D7E}"/>
            </c:ext>
          </c:extLst>
        </c:ser>
        <c:dLbls>
          <c:dLblPos val="t"/>
          <c:showLegendKey val="0"/>
          <c:showVal val="1"/>
          <c:showCatName val="0"/>
          <c:showSerName val="0"/>
          <c:showPercent val="0"/>
          <c:showBubbleSize val="0"/>
        </c:dLbls>
        <c:marker val="1"/>
        <c:smooth val="0"/>
        <c:axId val="1547999072"/>
        <c:axId val="1548004064"/>
      </c:lineChart>
      <c:catAx>
        <c:axId val="15479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8004064"/>
        <c:crosses val="autoZero"/>
        <c:auto val="1"/>
        <c:lblAlgn val="ctr"/>
        <c:lblOffset val="100"/>
        <c:noMultiLvlLbl val="0"/>
      </c:catAx>
      <c:valAx>
        <c:axId val="1548004064"/>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799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8AAA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Revenue by Category</a:t>
            </a:r>
          </a:p>
        </c:rich>
      </c:tx>
      <c:layout>
        <c:manualLayout>
          <c:xMode val="edge"/>
          <c:yMode val="edge"/>
          <c:x val="0.25581760528087022"/>
          <c:y val="0.114013660792422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DAB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AB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AB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Table'!$G$31</c:f>
              <c:strCache>
                <c:ptCount val="1"/>
                <c:pt idx="0">
                  <c:v>Total</c:v>
                </c:pt>
              </c:strCache>
            </c:strRef>
          </c:tx>
          <c:spPr>
            <a:solidFill>
              <a:srgbClr val="FFDAB3"/>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Table'!$F$32:$F$35</c:f>
              <c:strCache>
                <c:ptCount val="3"/>
                <c:pt idx="0">
                  <c:v>Clothing</c:v>
                </c:pt>
                <c:pt idx="1">
                  <c:v>Electronics</c:v>
                </c:pt>
                <c:pt idx="2">
                  <c:v>Furniture</c:v>
                </c:pt>
              </c:strCache>
            </c:strRef>
          </c:cat>
          <c:val>
            <c:numRef>
              <c:f>'Pivot Table'!$G$32:$G$35</c:f>
              <c:numCache>
                <c:formatCode>[$₦-466]\ #,##0</c:formatCode>
                <c:ptCount val="3"/>
                <c:pt idx="0">
                  <c:v>3457000</c:v>
                </c:pt>
                <c:pt idx="1">
                  <c:v>6882000</c:v>
                </c:pt>
                <c:pt idx="2">
                  <c:v>4751000</c:v>
                </c:pt>
              </c:numCache>
            </c:numRef>
          </c:val>
          <c:extLst>
            <c:ext xmlns:c16="http://schemas.microsoft.com/office/drawing/2014/chart" uri="{C3380CC4-5D6E-409C-BE32-E72D297353CC}">
              <c16:uniqueId val="{00000000-73F6-41AB-939B-D5ABC02A658B}"/>
            </c:ext>
          </c:extLst>
        </c:ser>
        <c:dLbls>
          <c:showLegendKey val="0"/>
          <c:showVal val="0"/>
          <c:showCatName val="0"/>
          <c:showSerName val="0"/>
          <c:showPercent val="0"/>
          <c:showBubbleSize val="0"/>
        </c:dLbls>
        <c:gapWidth val="150"/>
        <c:axId val="1547998656"/>
        <c:axId val="1547999904"/>
      </c:barChart>
      <c:catAx>
        <c:axId val="1547998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7999904"/>
        <c:crosses val="autoZero"/>
        <c:auto val="1"/>
        <c:lblAlgn val="ctr"/>
        <c:lblOffset val="100"/>
        <c:noMultiLvlLbl val="0"/>
      </c:catAx>
      <c:valAx>
        <c:axId val="1547999904"/>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799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13C5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 Sales 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Revenue</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F8383"/>
          </a:solidFill>
          <a:ln>
            <a:solidFill>
              <a:schemeClr val="tx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F8383"/>
          </a:solidFill>
          <a:ln>
            <a:solidFill>
              <a:schemeClr val="tx1"/>
            </a:solidFill>
          </a:ln>
          <a:effectLst/>
        </c:spPr>
        <c:dLbl>
          <c:idx val="0"/>
          <c:layout>
            <c:manualLayout>
              <c:x val="-4.1666666666666644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F8383"/>
          </a:solidFill>
          <a:ln>
            <a:solidFill>
              <a:schemeClr val="tx1"/>
            </a:solidFill>
          </a:ln>
          <a:effectLst/>
        </c:spPr>
        <c:dLbl>
          <c:idx val="0"/>
          <c:layout>
            <c:manualLayout>
              <c:x val="8.3333333333333332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F838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F8383"/>
          </a:solidFill>
          <a:ln>
            <a:solidFill>
              <a:schemeClr val="tx1"/>
            </a:solidFill>
          </a:ln>
          <a:effectLst/>
        </c:spPr>
        <c:dLbl>
          <c:idx val="0"/>
          <c:layout>
            <c:manualLayout>
              <c:x val="-4.1666666666666644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F8383"/>
          </a:solidFill>
          <a:ln>
            <a:solidFill>
              <a:schemeClr val="tx1"/>
            </a:solidFill>
          </a:ln>
          <a:effectLst/>
        </c:spPr>
        <c:dLbl>
          <c:idx val="0"/>
          <c:layout>
            <c:manualLayout>
              <c:x val="8.3333333333333332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F838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8383"/>
          </a:solidFill>
          <a:ln>
            <a:solidFill>
              <a:schemeClr val="tx1"/>
            </a:solidFill>
          </a:ln>
          <a:effectLst/>
        </c:spPr>
        <c:dLbl>
          <c:idx val="0"/>
          <c:layout>
            <c:manualLayout>
              <c:x val="-4.1666666666666644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F8383"/>
          </a:solidFill>
          <a:ln>
            <a:solidFill>
              <a:schemeClr val="tx1"/>
            </a:solidFill>
          </a:ln>
          <a:effectLst/>
        </c:spPr>
        <c:dLbl>
          <c:idx val="0"/>
          <c:layout>
            <c:manualLayout>
              <c:x val="8.3333333333333332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Table'!$G$48</c:f>
              <c:strCache>
                <c:ptCount val="1"/>
                <c:pt idx="0">
                  <c:v>Total</c:v>
                </c:pt>
              </c:strCache>
            </c:strRef>
          </c:tx>
          <c:spPr>
            <a:solidFill>
              <a:srgbClr val="9F8383"/>
            </a:solidFill>
            <a:ln>
              <a:solidFill>
                <a:schemeClr val="tx1"/>
              </a:solidFill>
            </a:ln>
            <a:effectLst/>
          </c:spPr>
          <c:invertIfNegative val="0"/>
          <c:dLbls>
            <c:dLbl>
              <c:idx val="1"/>
              <c:layout>
                <c:manualLayout>
                  <c:x val="-4.1666666666666644E-2"/>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26-4016-936D-70D0845B0A25}"/>
                </c:ext>
              </c:extLst>
            </c:dLbl>
            <c:dLbl>
              <c:idx val="2"/>
              <c:layout>
                <c:manualLayout>
                  <c:x val="8.3333333333333332E-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26-4016-936D-70D0845B0A2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Table'!$F$49:$F$56</c:f>
              <c:strCache>
                <c:ptCount val="7"/>
                <c:pt idx="0">
                  <c:v>Sunday</c:v>
                </c:pt>
                <c:pt idx="1">
                  <c:v>Monday</c:v>
                </c:pt>
                <c:pt idx="2">
                  <c:v>Tuesday</c:v>
                </c:pt>
                <c:pt idx="3">
                  <c:v>Wednesday</c:v>
                </c:pt>
                <c:pt idx="4">
                  <c:v>Thursday</c:v>
                </c:pt>
                <c:pt idx="5">
                  <c:v>Friday</c:v>
                </c:pt>
                <c:pt idx="6">
                  <c:v>Saturday</c:v>
                </c:pt>
              </c:strCache>
            </c:strRef>
          </c:cat>
          <c:val>
            <c:numRef>
              <c:f>'Pivot Table'!$G$49:$G$56</c:f>
              <c:numCache>
                <c:formatCode>[$₦-466]\ #,##0</c:formatCode>
                <c:ptCount val="7"/>
                <c:pt idx="0">
                  <c:v>1621000</c:v>
                </c:pt>
                <c:pt idx="1">
                  <c:v>1844000</c:v>
                </c:pt>
                <c:pt idx="2">
                  <c:v>2116000</c:v>
                </c:pt>
                <c:pt idx="3">
                  <c:v>2131000</c:v>
                </c:pt>
                <c:pt idx="4">
                  <c:v>1677000</c:v>
                </c:pt>
                <c:pt idx="5">
                  <c:v>3316000</c:v>
                </c:pt>
                <c:pt idx="6">
                  <c:v>2385000</c:v>
                </c:pt>
              </c:numCache>
            </c:numRef>
          </c:val>
          <c:extLst>
            <c:ext xmlns:c16="http://schemas.microsoft.com/office/drawing/2014/chart" uri="{C3380CC4-5D6E-409C-BE32-E72D297353CC}">
              <c16:uniqueId val="{00000002-9626-4016-936D-70D0845B0A25}"/>
            </c:ext>
          </c:extLst>
        </c:ser>
        <c:dLbls>
          <c:showLegendKey val="0"/>
          <c:showVal val="1"/>
          <c:showCatName val="0"/>
          <c:showSerName val="0"/>
          <c:showPercent val="0"/>
          <c:showBubbleSize val="0"/>
        </c:dLbls>
        <c:gapWidth val="219"/>
        <c:axId val="1689664352"/>
        <c:axId val="1689663104"/>
      </c:barChart>
      <c:catAx>
        <c:axId val="16896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9663104"/>
        <c:crosses val="autoZero"/>
        <c:auto val="1"/>
        <c:lblAlgn val="ctr"/>
        <c:lblOffset val="100"/>
        <c:noMultiLvlLbl val="0"/>
      </c:catAx>
      <c:valAx>
        <c:axId val="1689663104"/>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966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DAB3"/>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123825</xdr:colOff>
      <xdr:row>13</xdr:row>
      <xdr:rowOff>185737</xdr:rowOff>
    </xdr:from>
    <xdr:to>
      <xdr:col>9</xdr:col>
      <xdr:colOff>400050</xdr:colOff>
      <xdr:row>25</xdr:row>
      <xdr:rowOff>38100</xdr:rowOff>
    </xdr:to>
    <xdr:graphicFrame macro="">
      <xdr:nvGraphicFramePr>
        <xdr:cNvPr id="2" name="Chart 1">
          <a:extLst>
            <a:ext uri="{FF2B5EF4-FFF2-40B4-BE49-F238E27FC236}">
              <a16:creationId xmlns:a16="http://schemas.microsoft.com/office/drawing/2014/main" id="{370AF7F5-7CBA-4C8E-90D9-7A66CCDD2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195262</xdr:colOff>
      <xdr:row>28</xdr:row>
      <xdr:rowOff>119062</xdr:rowOff>
    </xdr:from>
    <xdr:to>
      <xdr:col>14</xdr:col>
      <xdr:colOff>604837</xdr:colOff>
      <xdr:row>43</xdr:row>
      <xdr:rowOff>4762</xdr:rowOff>
    </xdr:to>
    <xdr:graphicFrame macro="">
      <xdr:nvGraphicFramePr>
        <xdr:cNvPr id="3" name="Chart 2">
          <a:extLst>
            <a:ext uri="{FF2B5EF4-FFF2-40B4-BE49-F238E27FC236}">
              <a16:creationId xmlns:a16="http://schemas.microsoft.com/office/drawing/2014/main" id="{628BFA39-8493-4FCA-866B-65206F311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xdr:colOff>
      <xdr:row>19</xdr:row>
      <xdr:rowOff>61912</xdr:rowOff>
    </xdr:from>
    <xdr:to>
      <xdr:col>4</xdr:col>
      <xdr:colOff>757237</xdr:colOff>
      <xdr:row>33</xdr:row>
      <xdr:rowOff>138112</xdr:rowOff>
    </xdr:to>
    <xdr:graphicFrame macro="">
      <xdr:nvGraphicFramePr>
        <xdr:cNvPr id="4" name="Chart 3">
          <a:extLst>
            <a:ext uri="{FF2B5EF4-FFF2-40B4-BE49-F238E27FC236}">
              <a16:creationId xmlns:a16="http://schemas.microsoft.com/office/drawing/2014/main" id="{73B7C4BB-B60C-41ED-B131-36E582048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61912</xdr:rowOff>
    </xdr:from>
    <xdr:to>
      <xdr:col>4</xdr:col>
      <xdr:colOff>752475</xdr:colOff>
      <xdr:row>48</xdr:row>
      <xdr:rowOff>138112</xdr:rowOff>
    </xdr:to>
    <xdr:graphicFrame macro="">
      <xdr:nvGraphicFramePr>
        <xdr:cNvPr id="5" name="Chart 4">
          <a:extLst>
            <a:ext uri="{FF2B5EF4-FFF2-40B4-BE49-F238E27FC236}">
              <a16:creationId xmlns:a16="http://schemas.microsoft.com/office/drawing/2014/main" id="{74C1EF9C-BC90-4124-825F-A71931605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49</xdr:row>
      <xdr:rowOff>128587</xdr:rowOff>
    </xdr:from>
    <xdr:to>
      <xdr:col>4</xdr:col>
      <xdr:colOff>752475</xdr:colOff>
      <xdr:row>64</xdr:row>
      <xdr:rowOff>14287</xdr:rowOff>
    </xdr:to>
    <xdr:graphicFrame macro="">
      <xdr:nvGraphicFramePr>
        <xdr:cNvPr id="6" name="Chart 5">
          <a:extLst>
            <a:ext uri="{FF2B5EF4-FFF2-40B4-BE49-F238E27FC236}">
              <a16:creationId xmlns:a16="http://schemas.microsoft.com/office/drawing/2014/main" id="{32003599-A0E9-4BA5-AE2B-7D3F4FD57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352425</xdr:colOff>
      <xdr:row>47</xdr:row>
      <xdr:rowOff>114300</xdr:rowOff>
    </xdr:from>
    <xdr:to>
      <xdr:col>17</xdr:col>
      <xdr:colOff>352426</xdr:colOff>
      <xdr:row>55</xdr:row>
      <xdr:rowOff>123825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4057F69-C10D-47A0-90EA-4C92882463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351532" y="9174389"/>
              <a:ext cx="1836965" cy="1551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514350</xdr:colOff>
      <xdr:row>47</xdr:row>
      <xdr:rowOff>104775</xdr:rowOff>
    </xdr:from>
    <xdr:to>
      <xdr:col>20</xdr:col>
      <xdr:colOff>514349</xdr:colOff>
      <xdr:row>54</xdr:row>
      <xdr:rowOff>152400</xdr:rowOff>
    </xdr:to>
    <mc:AlternateContent xmlns:mc="http://schemas.openxmlformats.org/markup-compatibility/2006">
      <mc:Choice xmlns:a14="http://schemas.microsoft.com/office/drawing/2010/main" Requires="a14">
        <xdr:graphicFrame macro="">
          <xdr:nvGraphicFramePr>
            <xdr:cNvPr id="8" name="ProductCategory">
              <a:extLst>
                <a:ext uri="{FF2B5EF4-FFF2-40B4-BE49-F238E27FC236}">
                  <a16:creationId xmlns:a16="http://schemas.microsoft.com/office/drawing/2014/main" id="{B368991C-36F4-4012-9278-40E0FA09036A}"/>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3350421" y="9164864"/>
              <a:ext cx="1836964"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361950</xdr:colOff>
      <xdr:row>47</xdr:row>
      <xdr:rowOff>76201</xdr:rowOff>
    </xdr:from>
    <xdr:to>
      <xdr:col>10</xdr:col>
      <xdr:colOff>361951</xdr:colOff>
      <xdr:row>55</xdr:row>
      <xdr:rowOff>95251</xdr:rowOff>
    </xdr:to>
    <mc:AlternateContent xmlns:mc="http://schemas.openxmlformats.org/markup-compatibility/2006">
      <mc:Choice xmlns:a14="http://schemas.microsoft.com/office/drawing/2010/main" Requires="a14">
        <xdr:graphicFrame macro="">
          <xdr:nvGraphicFramePr>
            <xdr:cNvPr id="9" name="SalesRep">
              <a:extLst>
                <a:ext uri="{FF2B5EF4-FFF2-40B4-BE49-F238E27FC236}">
                  <a16:creationId xmlns:a16="http://schemas.microsoft.com/office/drawing/2014/main" id="{DBCE330A-6931-4114-A853-D86C434197F3}"/>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7074807" y="9136290"/>
              <a:ext cx="1836965" cy="1561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381000</xdr:colOff>
      <xdr:row>56</xdr:row>
      <xdr:rowOff>147637</xdr:rowOff>
    </xdr:from>
    <xdr:to>
      <xdr:col>12</xdr:col>
      <xdr:colOff>104775</xdr:colOff>
      <xdr:row>71</xdr:row>
      <xdr:rowOff>33337</xdr:rowOff>
    </xdr:to>
    <xdr:graphicFrame macro="">
      <xdr:nvGraphicFramePr>
        <xdr:cNvPr id="10" name="Chart 9">
          <a:extLst>
            <a:ext uri="{FF2B5EF4-FFF2-40B4-BE49-F238E27FC236}">
              <a16:creationId xmlns:a16="http://schemas.microsoft.com/office/drawing/2014/main" id="{0D74457C-F10C-40F5-886C-EB22214D9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95250</xdr:colOff>
      <xdr:row>47</xdr:row>
      <xdr:rowOff>114300</xdr:rowOff>
    </xdr:from>
    <xdr:to>
      <xdr:col>14</xdr:col>
      <xdr:colOff>95250</xdr:colOff>
      <xdr:row>55</xdr:row>
      <xdr:rowOff>161925</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4C5CFBFD-45D1-4C6A-A848-5D3279BE2C3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257393" y="9174389"/>
              <a:ext cx="1836964" cy="1589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495300</xdr:colOff>
      <xdr:row>2</xdr:row>
      <xdr:rowOff>161925</xdr:rowOff>
    </xdr:from>
    <xdr:to>
      <xdr:col>8</xdr:col>
      <xdr:colOff>428625</xdr:colOff>
      <xdr:row>7</xdr:row>
      <xdr:rowOff>66675</xdr:rowOff>
    </xdr:to>
    <xdr:grpSp>
      <xdr:nvGrpSpPr>
        <xdr:cNvPr id="14" name="Group 13">
          <a:extLst>
            <a:ext uri="{FF2B5EF4-FFF2-40B4-BE49-F238E27FC236}">
              <a16:creationId xmlns:a16="http://schemas.microsoft.com/office/drawing/2014/main" id="{6FD265D5-98E6-46F3-A66C-2C81821A4D14}"/>
            </a:ext>
          </a:extLst>
        </xdr:cNvPr>
        <xdr:cNvGrpSpPr/>
      </xdr:nvGrpSpPr>
      <xdr:grpSpPr>
        <a:xfrm>
          <a:off x="6164943" y="547461"/>
          <a:ext cx="1588861" cy="868589"/>
          <a:chOff x="6048375" y="542925"/>
          <a:chExt cx="2000250" cy="857250"/>
        </a:xfrm>
      </xdr:grpSpPr>
      <xdr:sp macro="" textlink="$A$4">
        <xdr:nvSpPr>
          <xdr:cNvPr id="12" name="Rectangle: Rounded Corners 11">
            <a:extLst>
              <a:ext uri="{FF2B5EF4-FFF2-40B4-BE49-F238E27FC236}">
                <a16:creationId xmlns:a16="http://schemas.microsoft.com/office/drawing/2014/main" id="{FC6BE37F-77CA-4EAC-8365-19F313C17C43}"/>
              </a:ext>
            </a:extLst>
          </xdr:cNvPr>
          <xdr:cNvSpPr/>
        </xdr:nvSpPr>
        <xdr:spPr>
          <a:xfrm>
            <a:off x="6048375" y="542925"/>
            <a:ext cx="2000250" cy="752475"/>
          </a:xfrm>
          <a:prstGeom prst="roundRect">
            <a:avLst/>
          </a:prstGeom>
          <a:solidFill>
            <a:srgbClr val="FFDAB3"/>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A4686CF-C624-48CB-B59A-4381F793A868}" type="TxLink">
              <a:rPr lang="en-US" sz="1100" b="1" i="0" u="none" strike="noStrike">
                <a:solidFill>
                  <a:srgbClr val="000000"/>
                </a:solidFill>
                <a:latin typeface="Calibri"/>
                <a:cs typeface="Calibri"/>
              </a:rPr>
              <a:pPr algn="ctr"/>
              <a:t>₦ 15,090,000</a:t>
            </a:fld>
            <a:endParaRPr lang="en-US" sz="1100" b="1"/>
          </a:p>
        </xdr:txBody>
      </xdr:sp>
      <xdr:sp macro="" textlink="">
        <xdr:nvSpPr>
          <xdr:cNvPr id="13" name="TextBox 12">
            <a:extLst>
              <a:ext uri="{FF2B5EF4-FFF2-40B4-BE49-F238E27FC236}">
                <a16:creationId xmlns:a16="http://schemas.microsoft.com/office/drawing/2014/main" id="{F3618AB6-9501-4558-8070-B75EFB28038B}"/>
              </a:ext>
            </a:extLst>
          </xdr:cNvPr>
          <xdr:cNvSpPr txBox="1"/>
        </xdr:nvSpPr>
        <xdr:spPr>
          <a:xfrm>
            <a:off x="6219825" y="1104900"/>
            <a:ext cx="16764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Revenue</a:t>
            </a:r>
          </a:p>
        </xdr:txBody>
      </xdr:sp>
    </xdr:grpSp>
    <xdr:clientData/>
  </xdr:twoCellAnchor>
  <xdr:twoCellAnchor>
    <xdr:from>
      <xdr:col>9</xdr:col>
      <xdr:colOff>204788</xdr:colOff>
      <xdr:row>2</xdr:row>
      <xdr:rowOff>180975</xdr:rowOff>
    </xdr:from>
    <xdr:to>
      <xdr:col>11</xdr:col>
      <xdr:colOff>523875</xdr:colOff>
      <xdr:row>7</xdr:row>
      <xdr:rowOff>85725</xdr:rowOff>
    </xdr:to>
    <xdr:grpSp>
      <xdr:nvGrpSpPr>
        <xdr:cNvPr id="15" name="Group 14">
          <a:extLst>
            <a:ext uri="{FF2B5EF4-FFF2-40B4-BE49-F238E27FC236}">
              <a16:creationId xmlns:a16="http://schemas.microsoft.com/office/drawing/2014/main" id="{92C5AFA6-81BA-43AA-BCAF-8D07FC727165}"/>
            </a:ext>
          </a:extLst>
        </xdr:cNvPr>
        <xdr:cNvGrpSpPr/>
      </xdr:nvGrpSpPr>
      <xdr:grpSpPr>
        <a:xfrm>
          <a:off x="8142288" y="566511"/>
          <a:ext cx="1543730" cy="868589"/>
          <a:chOff x="5948363" y="542925"/>
          <a:chExt cx="2200275" cy="857250"/>
        </a:xfrm>
        <a:solidFill>
          <a:srgbClr val="DDAED3"/>
        </a:solidFill>
      </xdr:grpSpPr>
      <xdr:sp macro="" textlink="">
        <xdr:nvSpPr>
          <xdr:cNvPr id="16" name="Rectangle: Rounded Corners 15">
            <a:extLst>
              <a:ext uri="{FF2B5EF4-FFF2-40B4-BE49-F238E27FC236}">
                <a16:creationId xmlns:a16="http://schemas.microsoft.com/office/drawing/2014/main" id="{97A31825-CECF-4A77-9343-3E5676D571F2}"/>
              </a:ext>
            </a:extLst>
          </xdr:cNvPr>
          <xdr:cNvSpPr/>
        </xdr:nvSpPr>
        <xdr:spPr>
          <a:xfrm>
            <a:off x="5948363" y="542925"/>
            <a:ext cx="2200275" cy="752475"/>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876</a:t>
            </a:r>
          </a:p>
        </xdr:txBody>
      </xdr:sp>
      <xdr:sp macro="" textlink="">
        <xdr:nvSpPr>
          <xdr:cNvPr id="17" name="TextBox 16">
            <a:extLst>
              <a:ext uri="{FF2B5EF4-FFF2-40B4-BE49-F238E27FC236}">
                <a16:creationId xmlns:a16="http://schemas.microsoft.com/office/drawing/2014/main" id="{B1C444AA-3BAF-49D3-AB33-45F0CF12F53C}"/>
              </a:ext>
            </a:extLst>
          </xdr:cNvPr>
          <xdr:cNvSpPr txBox="1"/>
        </xdr:nvSpPr>
        <xdr:spPr>
          <a:xfrm>
            <a:off x="6219825" y="1104900"/>
            <a:ext cx="1676400" cy="2952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Units Sold</a:t>
            </a:r>
          </a:p>
        </xdr:txBody>
      </xdr:sp>
    </xdr:grpSp>
    <xdr:clientData/>
  </xdr:twoCellAnchor>
  <xdr:twoCellAnchor>
    <xdr:from>
      <xdr:col>12</xdr:col>
      <xdr:colOff>238125</xdr:colOff>
      <xdr:row>2</xdr:row>
      <xdr:rowOff>133350</xdr:rowOff>
    </xdr:from>
    <xdr:to>
      <xdr:col>14</xdr:col>
      <xdr:colOff>419100</xdr:colOff>
      <xdr:row>7</xdr:row>
      <xdr:rowOff>38100</xdr:rowOff>
    </xdr:to>
    <xdr:grpSp>
      <xdr:nvGrpSpPr>
        <xdr:cNvPr id="18" name="Group 17">
          <a:extLst>
            <a:ext uri="{FF2B5EF4-FFF2-40B4-BE49-F238E27FC236}">
              <a16:creationId xmlns:a16="http://schemas.microsoft.com/office/drawing/2014/main" id="{44C79BB9-5C39-49E3-9286-EE9DF0164D84}"/>
            </a:ext>
          </a:extLst>
        </xdr:cNvPr>
        <xdr:cNvGrpSpPr/>
      </xdr:nvGrpSpPr>
      <xdr:grpSpPr>
        <a:xfrm>
          <a:off x="10012589" y="518886"/>
          <a:ext cx="1405618" cy="868589"/>
          <a:chOff x="6048375" y="542925"/>
          <a:chExt cx="2000250" cy="857250"/>
        </a:xfrm>
      </xdr:grpSpPr>
      <xdr:sp macro="" textlink="$C$4">
        <xdr:nvSpPr>
          <xdr:cNvPr id="19" name="Rectangle: Rounded Corners 18">
            <a:extLst>
              <a:ext uri="{FF2B5EF4-FFF2-40B4-BE49-F238E27FC236}">
                <a16:creationId xmlns:a16="http://schemas.microsoft.com/office/drawing/2014/main" id="{ABFBF3B8-085F-47C6-8FC0-9E62A3C6D2DB}"/>
              </a:ext>
            </a:extLst>
          </xdr:cNvPr>
          <xdr:cNvSpPr/>
        </xdr:nvSpPr>
        <xdr:spPr>
          <a:xfrm>
            <a:off x="6048375" y="542925"/>
            <a:ext cx="2000250" cy="752475"/>
          </a:xfrm>
          <a:prstGeom prst="roundRect">
            <a:avLst/>
          </a:prstGeom>
          <a:solidFill>
            <a:srgbClr val="FFDAB3"/>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7332EDD-98DC-4686-8240-411E81304473}" type="TxLink">
              <a:rPr lang="en-US" sz="1100" b="1" i="0" u="none" strike="noStrike">
                <a:solidFill>
                  <a:srgbClr val="000000"/>
                </a:solidFill>
                <a:latin typeface="Calibri"/>
                <a:cs typeface="Calibri"/>
              </a:rPr>
              <a:t>244</a:t>
            </a:fld>
            <a:endParaRPr lang="en-US" sz="1100" b="1"/>
          </a:p>
        </xdr:txBody>
      </xdr:sp>
      <xdr:sp macro="" textlink="">
        <xdr:nvSpPr>
          <xdr:cNvPr id="20" name="TextBox 19">
            <a:extLst>
              <a:ext uri="{FF2B5EF4-FFF2-40B4-BE49-F238E27FC236}">
                <a16:creationId xmlns:a16="http://schemas.microsoft.com/office/drawing/2014/main" id="{AC434FA0-2D36-4D47-B43B-81DB047BB040}"/>
              </a:ext>
            </a:extLst>
          </xdr:cNvPr>
          <xdr:cNvSpPr txBox="1"/>
        </xdr:nvSpPr>
        <xdr:spPr>
          <a:xfrm>
            <a:off x="6219825" y="1104900"/>
            <a:ext cx="16764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Orders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522339</xdr:colOff>
      <xdr:row>7</xdr:row>
      <xdr:rowOff>156856</xdr:rowOff>
    </xdr:from>
    <xdr:to>
      <xdr:col>20</xdr:col>
      <xdr:colOff>30725</xdr:colOff>
      <xdr:row>19</xdr:row>
      <xdr:rowOff>76814</xdr:rowOff>
    </xdr:to>
    <xdr:graphicFrame macro="">
      <xdr:nvGraphicFramePr>
        <xdr:cNvPr id="2" name="Chart 1">
          <a:extLst>
            <a:ext uri="{FF2B5EF4-FFF2-40B4-BE49-F238E27FC236}">
              <a16:creationId xmlns:a16="http://schemas.microsoft.com/office/drawing/2014/main" id="{7E902F05-47FE-48F2-86B5-E6F240080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76814</xdr:colOff>
      <xdr:row>3</xdr:row>
      <xdr:rowOff>61451</xdr:rowOff>
    </xdr:from>
    <xdr:to>
      <xdr:col>8</xdr:col>
      <xdr:colOff>92177</xdr:colOff>
      <xdr:row>7</xdr:row>
      <xdr:rowOff>11980</xdr:rowOff>
    </xdr:to>
    <xdr:grpSp>
      <xdr:nvGrpSpPr>
        <xdr:cNvPr id="3" name="Group 2">
          <a:extLst>
            <a:ext uri="{FF2B5EF4-FFF2-40B4-BE49-F238E27FC236}">
              <a16:creationId xmlns:a16="http://schemas.microsoft.com/office/drawing/2014/main" id="{3F307014-621B-4AFB-86E7-652965DD432E}"/>
            </a:ext>
          </a:extLst>
        </xdr:cNvPr>
        <xdr:cNvGrpSpPr/>
      </xdr:nvGrpSpPr>
      <xdr:grpSpPr>
        <a:xfrm>
          <a:off x="3122599" y="626306"/>
          <a:ext cx="1842834" cy="703668"/>
          <a:chOff x="6048375" y="542925"/>
          <a:chExt cx="2000250" cy="857250"/>
        </a:xfrm>
        <a:effectLst>
          <a:outerShdw blurRad="63500" sx="102000" sy="102000" algn="ctr" rotWithShape="0">
            <a:prstClr val="black">
              <a:alpha val="40000"/>
            </a:prstClr>
          </a:outerShdw>
        </a:effectLst>
      </xdr:grpSpPr>
      <xdr:sp macro="" textlink="'Pivot Table'!A4">
        <xdr:nvSpPr>
          <xdr:cNvPr id="4" name="Rectangle: Rounded Corners 3">
            <a:extLst>
              <a:ext uri="{FF2B5EF4-FFF2-40B4-BE49-F238E27FC236}">
                <a16:creationId xmlns:a16="http://schemas.microsoft.com/office/drawing/2014/main" id="{B47673BC-3B56-4E95-86CE-8C3EA274C1BA}"/>
              </a:ext>
            </a:extLst>
          </xdr:cNvPr>
          <xdr:cNvSpPr/>
        </xdr:nvSpPr>
        <xdr:spPr>
          <a:xfrm>
            <a:off x="6048375" y="542925"/>
            <a:ext cx="2000250" cy="752475"/>
          </a:xfrm>
          <a:prstGeom prst="roundRect">
            <a:avLst/>
          </a:prstGeom>
          <a:solidFill>
            <a:srgbClr val="FFDAB3"/>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D27E759-7B1B-4762-900A-64924B87E9F3}" type="TxLink">
              <a:rPr lang="en-US" sz="1100" b="1" i="0" u="none" strike="noStrike">
                <a:solidFill>
                  <a:srgbClr val="000000"/>
                </a:solidFill>
                <a:latin typeface="Calibri"/>
                <a:cs typeface="Calibri"/>
              </a:rPr>
              <a:t>₦ 15,090,000</a:t>
            </a:fld>
            <a:endParaRPr lang="en-US" sz="1100" b="1"/>
          </a:p>
        </xdr:txBody>
      </xdr:sp>
      <xdr:sp macro="" textlink="">
        <xdr:nvSpPr>
          <xdr:cNvPr id="5" name="TextBox 4">
            <a:extLst>
              <a:ext uri="{FF2B5EF4-FFF2-40B4-BE49-F238E27FC236}">
                <a16:creationId xmlns:a16="http://schemas.microsoft.com/office/drawing/2014/main" id="{545FCE4E-DD3E-42BF-96BB-FED8140BE6D0}"/>
              </a:ext>
            </a:extLst>
          </xdr:cNvPr>
          <xdr:cNvSpPr txBox="1"/>
        </xdr:nvSpPr>
        <xdr:spPr>
          <a:xfrm>
            <a:off x="6219825" y="1104900"/>
            <a:ext cx="16764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Revenue</a:t>
            </a:r>
          </a:p>
        </xdr:txBody>
      </xdr:sp>
    </xdr:grpSp>
    <xdr:clientData/>
  </xdr:twoCellAnchor>
  <xdr:twoCellAnchor>
    <xdr:from>
      <xdr:col>8</xdr:col>
      <xdr:colOff>568428</xdr:colOff>
      <xdr:row>3</xdr:row>
      <xdr:rowOff>46089</xdr:rowOff>
    </xdr:from>
    <xdr:to>
      <xdr:col>11</xdr:col>
      <xdr:colOff>255334</xdr:colOff>
      <xdr:row>7</xdr:row>
      <xdr:rowOff>27346</xdr:rowOff>
    </xdr:to>
    <xdr:grpSp>
      <xdr:nvGrpSpPr>
        <xdr:cNvPr id="6" name="Group 5">
          <a:extLst>
            <a:ext uri="{FF2B5EF4-FFF2-40B4-BE49-F238E27FC236}">
              <a16:creationId xmlns:a16="http://schemas.microsoft.com/office/drawing/2014/main" id="{0C3E1024-7B5A-4C83-8D14-DF404AD548EC}"/>
            </a:ext>
          </a:extLst>
        </xdr:cNvPr>
        <xdr:cNvGrpSpPr/>
      </xdr:nvGrpSpPr>
      <xdr:grpSpPr>
        <a:xfrm>
          <a:off x="5441684" y="610944"/>
          <a:ext cx="1514377" cy="734396"/>
          <a:chOff x="5948363" y="542925"/>
          <a:chExt cx="2200275" cy="857250"/>
        </a:xfrm>
        <a:solidFill>
          <a:srgbClr val="DDAED3"/>
        </a:solidFill>
        <a:effectLst>
          <a:outerShdw blurRad="63500" sx="102000" sy="102000" algn="ctr" rotWithShape="0">
            <a:prstClr val="black">
              <a:alpha val="40000"/>
            </a:prstClr>
          </a:outerShdw>
        </a:effectLst>
      </xdr:grpSpPr>
      <xdr:sp macro="" textlink="'Pivot Table'!B4">
        <xdr:nvSpPr>
          <xdr:cNvPr id="7" name="Rectangle: Rounded Corners 6">
            <a:extLst>
              <a:ext uri="{FF2B5EF4-FFF2-40B4-BE49-F238E27FC236}">
                <a16:creationId xmlns:a16="http://schemas.microsoft.com/office/drawing/2014/main" id="{AFAB5F52-D050-4684-B8B9-EDE883B369B9}"/>
              </a:ext>
            </a:extLst>
          </xdr:cNvPr>
          <xdr:cNvSpPr/>
        </xdr:nvSpPr>
        <xdr:spPr>
          <a:xfrm>
            <a:off x="5948363" y="542925"/>
            <a:ext cx="2200275" cy="752475"/>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EEFB7E-14D9-466B-80B3-1996E1F84E83}" type="TxLink">
              <a:rPr lang="en-US" sz="1100" b="1" i="0" u="none" strike="noStrike">
                <a:solidFill>
                  <a:srgbClr val="000000"/>
                </a:solidFill>
                <a:latin typeface="Calibri"/>
                <a:cs typeface="Calibri"/>
              </a:rPr>
              <a:t>876</a:t>
            </a:fld>
            <a:endParaRPr lang="en-US" sz="1100" b="1">
              <a:solidFill>
                <a:schemeClr val="tx1"/>
              </a:solidFill>
            </a:endParaRPr>
          </a:p>
        </xdr:txBody>
      </xdr:sp>
      <xdr:sp macro="" textlink="">
        <xdr:nvSpPr>
          <xdr:cNvPr id="8" name="TextBox 7">
            <a:extLst>
              <a:ext uri="{FF2B5EF4-FFF2-40B4-BE49-F238E27FC236}">
                <a16:creationId xmlns:a16="http://schemas.microsoft.com/office/drawing/2014/main" id="{6223ED79-EA7F-4455-8FFC-413B6A102311}"/>
              </a:ext>
            </a:extLst>
          </xdr:cNvPr>
          <xdr:cNvSpPr txBox="1"/>
        </xdr:nvSpPr>
        <xdr:spPr>
          <a:xfrm>
            <a:off x="6041534" y="1114425"/>
            <a:ext cx="2078436" cy="2857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Units Sold</a:t>
            </a:r>
          </a:p>
        </xdr:txBody>
      </xdr:sp>
    </xdr:grpSp>
    <xdr:clientData/>
  </xdr:twoCellAnchor>
  <xdr:twoCellAnchor>
    <xdr:from>
      <xdr:col>12</xdr:col>
      <xdr:colOff>83574</xdr:colOff>
      <xdr:row>3</xdr:row>
      <xdr:rowOff>108459</xdr:rowOff>
    </xdr:from>
    <xdr:to>
      <xdr:col>14</xdr:col>
      <xdr:colOff>337983</xdr:colOff>
      <xdr:row>7</xdr:row>
      <xdr:rowOff>46088</xdr:rowOff>
    </xdr:to>
    <xdr:grpSp>
      <xdr:nvGrpSpPr>
        <xdr:cNvPr id="9" name="Group 8">
          <a:extLst>
            <a:ext uri="{FF2B5EF4-FFF2-40B4-BE49-F238E27FC236}">
              <a16:creationId xmlns:a16="http://schemas.microsoft.com/office/drawing/2014/main" id="{F48E3073-B7DA-4970-8316-6FD4952816E6}"/>
            </a:ext>
          </a:extLst>
        </xdr:cNvPr>
        <xdr:cNvGrpSpPr/>
      </xdr:nvGrpSpPr>
      <xdr:grpSpPr>
        <a:xfrm>
          <a:off x="7393458" y="673314"/>
          <a:ext cx="1472723" cy="690768"/>
          <a:chOff x="6048375" y="542925"/>
          <a:chExt cx="2000250" cy="857250"/>
        </a:xfrm>
        <a:effectLst>
          <a:outerShdw blurRad="63500" sx="102000" sy="102000" algn="ctr" rotWithShape="0">
            <a:prstClr val="black">
              <a:alpha val="40000"/>
            </a:prstClr>
          </a:outerShdw>
        </a:effectLst>
      </xdr:grpSpPr>
      <xdr:sp macro="" textlink="'Pivot Table'!C4">
        <xdr:nvSpPr>
          <xdr:cNvPr id="10" name="Rectangle: Rounded Corners 9">
            <a:extLst>
              <a:ext uri="{FF2B5EF4-FFF2-40B4-BE49-F238E27FC236}">
                <a16:creationId xmlns:a16="http://schemas.microsoft.com/office/drawing/2014/main" id="{05A3F41A-0595-4BD9-9D09-B9B33A5B88C7}"/>
              </a:ext>
            </a:extLst>
          </xdr:cNvPr>
          <xdr:cNvSpPr/>
        </xdr:nvSpPr>
        <xdr:spPr>
          <a:xfrm>
            <a:off x="6048375" y="542925"/>
            <a:ext cx="2000250" cy="752475"/>
          </a:xfrm>
          <a:prstGeom prst="roundRect">
            <a:avLst/>
          </a:prstGeom>
          <a:solidFill>
            <a:srgbClr val="FFDAB3"/>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7469F44-3844-409F-9E77-7839EF78C7DC}" type="TxLink">
              <a:rPr lang="en-US" sz="1100" b="1" i="0" u="none" strike="noStrike">
                <a:solidFill>
                  <a:srgbClr val="000000"/>
                </a:solidFill>
                <a:latin typeface="Calibri"/>
                <a:cs typeface="Calibri"/>
              </a:rPr>
              <a:t>244</a:t>
            </a:fld>
            <a:endParaRPr lang="en-US" sz="1100" b="1"/>
          </a:p>
        </xdr:txBody>
      </xdr:sp>
      <xdr:sp macro="" textlink="">
        <xdr:nvSpPr>
          <xdr:cNvPr id="11" name="TextBox 10">
            <a:extLst>
              <a:ext uri="{FF2B5EF4-FFF2-40B4-BE49-F238E27FC236}">
                <a16:creationId xmlns:a16="http://schemas.microsoft.com/office/drawing/2014/main" id="{B77DB99C-EA7D-40E7-BBBA-A4EFB34C6360}"/>
              </a:ext>
            </a:extLst>
          </xdr:cNvPr>
          <xdr:cNvSpPr txBox="1"/>
        </xdr:nvSpPr>
        <xdr:spPr>
          <a:xfrm>
            <a:off x="6219825" y="1104900"/>
            <a:ext cx="16764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Orders</a:t>
            </a:r>
          </a:p>
        </xdr:txBody>
      </xdr:sp>
    </xdr:grpSp>
    <xdr:clientData/>
  </xdr:twoCellAnchor>
  <xdr:twoCellAnchor>
    <xdr:from>
      <xdr:col>9</xdr:col>
      <xdr:colOff>364283</xdr:colOff>
      <xdr:row>7</xdr:row>
      <xdr:rowOff>133964</xdr:rowOff>
    </xdr:from>
    <xdr:to>
      <xdr:col>14</xdr:col>
      <xdr:colOff>421587</xdr:colOff>
      <xdr:row>19</xdr:row>
      <xdr:rowOff>92177</xdr:rowOff>
    </xdr:to>
    <xdr:graphicFrame macro="">
      <xdr:nvGraphicFramePr>
        <xdr:cNvPr id="12" name="Chart 11">
          <a:extLst>
            <a:ext uri="{FF2B5EF4-FFF2-40B4-BE49-F238E27FC236}">
              <a16:creationId xmlns:a16="http://schemas.microsoft.com/office/drawing/2014/main" id="{C605C1B7-D939-4E31-AA55-1F0202A2F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583789</xdr:colOff>
      <xdr:row>20</xdr:row>
      <xdr:rowOff>46089</xdr:rowOff>
    </xdr:from>
    <xdr:to>
      <xdr:col>19</xdr:col>
      <xdr:colOff>593316</xdr:colOff>
      <xdr:row>30</xdr:row>
      <xdr:rowOff>122903</xdr:rowOff>
    </xdr:to>
    <xdr:graphicFrame macro="">
      <xdr:nvGraphicFramePr>
        <xdr:cNvPr id="13" name="Chart 12">
          <a:extLst>
            <a:ext uri="{FF2B5EF4-FFF2-40B4-BE49-F238E27FC236}">
              <a16:creationId xmlns:a16="http://schemas.microsoft.com/office/drawing/2014/main" id="{677DAC77-9FB8-41FE-9857-153CA7392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338599</xdr:colOff>
      <xdr:row>20</xdr:row>
      <xdr:rowOff>61451</xdr:rowOff>
    </xdr:from>
    <xdr:to>
      <xdr:col>14</xdr:col>
      <xdr:colOff>460887</xdr:colOff>
      <xdr:row>30</xdr:row>
      <xdr:rowOff>122904</xdr:rowOff>
    </xdr:to>
    <xdr:graphicFrame macro="">
      <xdr:nvGraphicFramePr>
        <xdr:cNvPr id="14" name="Chart 13">
          <a:extLst>
            <a:ext uri="{FF2B5EF4-FFF2-40B4-BE49-F238E27FC236}">
              <a16:creationId xmlns:a16="http://schemas.microsoft.com/office/drawing/2014/main" id="{1B89DD77-5B84-4AB7-9317-632E26EDE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155165</xdr:colOff>
      <xdr:row>20</xdr:row>
      <xdr:rowOff>72513</xdr:rowOff>
    </xdr:from>
    <xdr:to>
      <xdr:col>9</xdr:col>
      <xdr:colOff>184355</xdr:colOff>
      <xdr:row>30</xdr:row>
      <xdr:rowOff>153629</xdr:rowOff>
    </xdr:to>
    <xdr:graphicFrame macro="">
      <xdr:nvGraphicFramePr>
        <xdr:cNvPr id="15" name="Chart 14">
          <a:extLst>
            <a:ext uri="{FF2B5EF4-FFF2-40B4-BE49-F238E27FC236}">
              <a16:creationId xmlns:a16="http://schemas.microsoft.com/office/drawing/2014/main" id="{1F4E927F-AEAA-48E5-8D5F-78D22F97A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168993</xdr:colOff>
      <xdr:row>7</xdr:row>
      <xdr:rowOff>93098</xdr:rowOff>
    </xdr:from>
    <xdr:to>
      <xdr:col>9</xdr:col>
      <xdr:colOff>212009</xdr:colOff>
      <xdr:row>19</xdr:row>
      <xdr:rowOff>122903</xdr:rowOff>
    </xdr:to>
    <xdr:graphicFrame macro="">
      <xdr:nvGraphicFramePr>
        <xdr:cNvPr id="16" name="Chart 15">
          <a:extLst>
            <a:ext uri="{FF2B5EF4-FFF2-40B4-BE49-F238E27FC236}">
              <a16:creationId xmlns:a16="http://schemas.microsoft.com/office/drawing/2014/main" id="{9F177B63-D0D7-4654-AEFC-6279663DE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46089</xdr:colOff>
      <xdr:row>20</xdr:row>
      <xdr:rowOff>3057</xdr:rowOff>
    </xdr:from>
    <xdr:to>
      <xdr:col>3</xdr:col>
      <xdr:colOff>54255</xdr:colOff>
      <xdr:row>31</xdr:row>
      <xdr:rowOff>15362</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A3A37851-F440-4B6F-BBAC-48B9EE67F98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6089" y="3768755"/>
              <a:ext cx="1835637" cy="2083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604990</xdr:colOff>
      <xdr:row>3</xdr:row>
      <xdr:rowOff>105492</xdr:rowOff>
    </xdr:from>
    <xdr:to>
      <xdr:col>19</xdr:col>
      <xdr:colOff>491612</xdr:colOff>
      <xdr:row>7</xdr:row>
      <xdr:rowOff>46089</xdr:rowOff>
    </xdr:to>
    <mc:AlternateContent xmlns:mc="http://schemas.openxmlformats.org/markup-compatibility/2006">
      <mc:Choice xmlns:a14="http://schemas.microsoft.com/office/drawing/2010/main" Requires="a14">
        <xdr:graphicFrame macro="">
          <xdr:nvGraphicFramePr>
            <xdr:cNvPr id="18" name="ProductCategory 1">
              <a:extLst>
                <a:ext uri="{FF2B5EF4-FFF2-40B4-BE49-F238E27FC236}">
                  <a16:creationId xmlns:a16="http://schemas.microsoft.com/office/drawing/2014/main" id="{4CB4339E-2471-4653-8ED1-D024A7145FDF}"/>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9133188" y="670347"/>
              <a:ext cx="2932407" cy="693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61451</xdr:colOff>
      <xdr:row>7</xdr:row>
      <xdr:rowOff>107541</xdr:rowOff>
    </xdr:from>
    <xdr:to>
      <xdr:col>3</xdr:col>
      <xdr:colOff>69617</xdr:colOff>
      <xdr:row>19</xdr:row>
      <xdr:rowOff>0</xdr:rowOff>
    </xdr:to>
    <mc:AlternateContent xmlns:mc="http://schemas.openxmlformats.org/markup-compatibility/2006">
      <mc:Choice xmlns:a14="http://schemas.microsoft.com/office/drawing/2010/main" Requires="a14">
        <xdr:graphicFrame macro="">
          <xdr:nvGraphicFramePr>
            <xdr:cNvPr id="19" name="SalesRep 1">
              <a:extLst>
                <a:ext uri="{FF2B5EF4-FFF2-40B4-BE49-F238E27FC236}">
                  <a16:creationId xmlns:a16="http://schemas.microsoft.com/office/drawing/2014/main" id="{1D98E1B6-04AE-43B6-BD52-61254A2E41ED}"/>
                </a:ext>
              </a:extLst>
            </xdr:cNvPr>
            <xdr:cNvGraphicFramePr/>
          </xdr:nvGraphicFramePr>
          <xdr:xfrm>
            <a:off x="0" y="0"/>
            <a:ext cx="0" cy="0"/>
          </xdr:xfrm>
          <a:graphic>
            <a:graphicData uri="http://schemas.microsoft.com/office/drawing/2010/slicer">
              <sle:slicer xmlns:sle="http://schemas.microsoft.com/office/drawing/2010/slicer" name="SalesRep 1"/>
            </a:graphicData>
          </a:graphic>
        </xdr:graphicFrame>
      </mc:Choice>
      <mc:Fallback>
        <xdr:sp macro="" textlink="">
          <xdr:nvSpPr>
            <xdr:cNvPr id="0" name=""/>
            <xdr:cNvSpPr>
              <a:spLocks noTextEdit="1"/>
            </xdr:cNvSpPr>
          </xdr:nvSpPr>
          <xdr:spPr>
            <a:xfrm>
              <a:off x="61451" y="1425535"/>
              <a:ext cx="1835637" cy="2151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31165</xdr:colOff>
      <xdr:row>3</xdr:row>
      <xdr:rowOff>22735</xdr:rowOff>
    </xdr:from>
    <xdr:to>
      <xdr:col>4</xdr:col>
      <xdr:colOff>568426</xdr:colOff>
      <xdr:row>7</xdr:row>
      <xdr:rowOff>30725</xdr:rowOff>
    </xdr:to>
    <mc:AlternateContent xmlns:mc="http://schemas.openxmlformats.org/markup-compatibility/2006">
      <mc:Choice xmlns:a14="http://schemas.microsoft.com/office/drawing/2010/main" Requires="a14">
        <xdr:graphicFrame macro="">
          <xdr:nvGraphicFramePr>
            <xdr:cNvPr id="20" name="Month 1">
              <a:extLst>
                <a:ext uri="{FF2B5EF4-FFF2-40B4-BE49-F238E27FC236}">
                  <a16:creationId xmlns:a16="http://schemas.microsoft.com/office/drawing/2014/main" id="{3273EBA0-DCE1-4D48-BD96-C2AB24CB377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1165" y="587590"/>
              <a:ext cx="2973889" cy="761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107541</xdr:colOff>
      <xdr:row>1</xdr:row>
      <xdr:rowOff>30726</xdr:rowOff>
    </xdr:from>
    <xdr:to>
      <xdr:col>10</xdr:col>
      <xdr:colOff>199718</xdr:colOff>
      <xdr:row>2</xdr:row>
      <xdr:rowOff>153629</xdr:rowOff>
    </xdr:to>
    <xdr:sp macro="" textlink="">
      <xdr:nvSpPr>
        <xdr:cNvPr id="21" name="TextBox 20">
          <a:extLst>
            <a:ext uri="{FF2B5EF4-FFF2-40B4-BE49-F238E27FC236}">
              <a16:creationId xmlns:a16="http://schemas.microsoft.com/office/drawing/2014/main" id="{F99C9432-F576-44B2-ADC7-869A4D91E740}"/>
            </a:ext>
          </a:extLst>
        </xdr:cNvPr>
        <xdr:cNvSpPr txBox="1"/>
      </xdr:nvSpPr>
      <xdr:spPr>
        <a:xfrm>
          <a:off x="1336573" y="215081"/>
          <a:ext cx="5008306" cy="307258"/>
        </a:xfrm>
        <a:prstGeom prst="rect">
          <a:avLst/>
        </a:prstGeom>
        <a:solidFill>
          <a:srgbClr val="C8AA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2013889" backgroundQuery="1" createdVersion="7" refreshedVersion="7" minRefreshableVersion="3" recordCount="0" supportSubquery="1" supportAdvancedDrill="1" xr:uid="{FF8339AB-8EA7-4379-B976-B31ED6E1BF99}">
  <cacheSource type="external" connectionId="2"/>
  <cacheFields count="2">
    <cacheField name="[deepseek_csv_20260422_7f7afa].[Region].[Region]" caption="Region" numFmtId="0" hierarchy="8" level="1">
      <sharedItems count="4">
        <s v="East"/>
        <s v="North"/>
        <s v="South"/>
        <s v="West"/>
      </sharedItems>
    </cacheField>
    <cacheField name="[Measures].[Sum of Revenue]" caption="Sum of Revenue" numFmtId="0" hierarchy="18" level="32767"/>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2"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2"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2"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2"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2"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2"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0"/>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2"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2"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2"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oneField="1" hidden="1">
      <fieldsUsage count="1">
        <fieldUsage x="1"/>
      </fieldsUsage>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3171297" backgroundQuery="1" createdVersion="7" refreshedVersion="7" minRefreshableVersion="3" recordCount="0" supportSubquery="1" supportAdvancedDrill="1" xr:uid="{5F67EF08-50FC-45F4-B608-C21F0998B767}">
  <cacheSource type="external" connectionId="2"/>
  <cacheFields count="3">
    <cacheField name="[Measures].[Sum of Revenue]" caption="Sum of Revenue" numFmtId="0" hierarchy="18" level="32767"/>
    <cacheField name="[deepseek_csv_20260422_7f7afa].[ProductCategory].[ProductCategory]" caption="ProductCategory" numFmtId="0" hierarchy="4" level="1">
      <sharedItems count="3">
        <s v="Clothing"/>
        <s v="Electronics"/>
        <s v="Furniture"/>
      </sharedItems>
    </cacheField>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2"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2"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2"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fieldsUsage count="2">
        <fieldUsage x="-1"/>
        <fieldUsage x="1"/>
      </fieldsUsage>
    </cacheHierarchy>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2"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2"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2"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2"/>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2"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2"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2"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oneField="1" hidden="1">
      <fieldsUsage count="1">
        <fieldUsage x="0"/>
      </fieldsUsage>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4097221" backgroundQuery="1" createdVersion="7" refreshedVersion="7" minRefreshableVersion="3" recordCount="0" supportSubquery="1" supportAdvancedDrill="1" xr:uid="{8A6F8899-B725-4340-BD1A-4CA254FA9EB7}">
  <cacheSource type="external" connectionId="2"/>
  <cacheFields count="3">
    <cacheField name="[Measures].[Sum of Revenue]" caption="Sum of Revenue" numFmtId="0" hierarchy="18" level="32767"/>
    <cacheField name="[deepseek_csv_20260422_7f7afa].[Day].[Day]" caption="Day" numFmtId="0" hierarchy="2" level="1">
      <sharedItems count="7">
        <s v="Friday"/>
        <s v="Monday"/>
        <s v="Saturday"/>
        <s v="Sunday"/>
        <s v="Thursday"/>
        <s v="Tuesday"/>
        <s v="Wednesday"/>
      </sharedItems>
    </cacheField>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2"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2"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2" memberValueDatatype="130" unbalanced="0">
      <fieldsUsage count="2">
        <fieldUsage x="-1"/>
        <fieldUsage x="1"/>
      </fieldsUsage>
    </cacheHierarchy>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2"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2"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2"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2"/>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2"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2"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2"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oneField="1" hidden="1">
      <fieldsUsage count="1">
        <fieldUsage x="0"/>
      </fieldsUsage>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5023145" backgroundQuery="1" createdVersion="7" refreshedVersion="7" minRefreshableVersion="3" recordCount="0" supportSubquery="1" supportAdvancedDrill="1" xr:uid="{FEF5055E-15BE-451F-A459-3518C226D616}">
  <cacheSource type="external" connectionId="2"/>
  <cacheFields count="2">
    <cacheField name="[Measures].[Total Revenue]" caption="Total Revenue" numFmtId="0" hierarchy="13" level="32767"/>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0"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0"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0"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0"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0"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0"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1"/>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0"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0"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0" memberValueDatatype="20" unbalanced="0"/>
    <cacheHierarchy uniqueName="[Measures].[Total Revenue]" caption="Total Revenue" measure="1" displayFolder="" measureGroup="deepseek_csv_20260422_7f7afa" count="0" oneField="1">
      <fieldsUsage count="1">
        <fieldUsage x="0"/>
      </fieldsUsage>
    </cacheHierarchy>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hidden="1">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5370368" backgroundQuery="1" createdVersion="7" refreshedVersion="7" minRefreshableVersion="3" recordCount="0" supportSubquery="1" supportAdvancedDrill="1" xr:uid="{4AEC45AB-0DF9-4EB1-A5CD-530998170791}">
  <cacheSource type="external" connectionId="2"/>
  <cacheFields count="2">
    <cacheField name="[Measures].[Total Units Sold]" caption="Total Units Sold" numFmtId="0" hierarchy="14" level="32767"/>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0"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0"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0"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0"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0"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0"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1"/>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0"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0"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0"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oneField="1">
      <fieldsUsage count="1">
        <fieldUsage x="0"/>
      </fieldsUsage>
    </cacheHierarchy>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hidden="1">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5949076" backgroundQuery="1" createdVersion="7" refreshedVersion="7" minRefreshableVersion="3" recordCount="0" supportSubquery="1" supportAdvancedDrill="1" xr:uid="{B0DCE995-EF87-4791-AAA9-8AC671D0CB80}">
  <cacheSource type="external" connectionId="2"/>
  <cacheFields count="2">
    <cacheField name="[Measures].[Total Orders]" caption="Total Orders" numFmtId="0" hierarchy="15" level="32767"/>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0"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0"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0"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0"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0"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0"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1"/>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0"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0"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0"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oneField="1">
      <fieldsUsage count="1">
        <fieldUsage x="0"/>
      </fieldsUsage>
    </cacheHierarchy>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hidden="1">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6643515" backgroundQuery="1" createdVersion="7" refreshedVersion="7" minRefreshableVersion="3" recordCount="0" supportSubquery="1" supportAdvancedDrill="1" xr:uid="{73C7CD2D-466C-4F23-B3FF-865BE6F3B89D}">
  <cacheSource type="external" connectionId="2"/>
  <cacheFields count="3">
    <cacheField name="[deepseek_csv_20260422_7f7afa].[Month].[Month]" caption="Month" numFmtId="0" hierarchy="3" level="1">
      <sharedItems count="3">
        <s v="February"/>
        <s v="January"/>
        <s v="March"/>
      </sharedItems>
    </cacheField>
    <cacheField name="[Measures].[Sum of Revenue]" caption="Sum of Revenue" numFmtId="0" hierarchy="18" level="32767"/>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0"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0"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0"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fieldsUsage count="2">
        <fieldUsage x="-1"/>
        <fieldUsage x="0"/>
      </fieldsUsage>
    </cacheHierarchy>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0"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0"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0"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2"/>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0"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0"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0"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oneField="1" hidden="1">
      <fieldsUsage count="1">
        <fieldUsage x="1"/>
      </fieldsUsage>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8263885" backgroundQuery="1" createdVersion="7" refreshedVersion="7" minRefreshableVersion="3" recordCount="0" supportSubquery="1" supportAdvancedDrill="1" xr:uid="{7B3C215C-5837-40F2-AE37-D755D271FB9E}">
  <cacheSource type="external" connectionId="2"/>
  <cacheFields count="3">
    <cacheField name="[deepseek_csv_20260422_7f7afa].[ProductName].[ProductName]" caption="ProductName" numFmtId="0" hierarchy="5" level="1">
      <sharedItems count="5">
        <s v="Drone"/>
        <s v="GamingConsole"/>
        <s v="Laptop"/>
        <s v="Projector"/>
        <s v="SmartTV"/>
      </sharedItems>
    </cacheField>
    <cacheField name="[Measures].[Sum of Revenue]" caption="Sum of Revenue" numFmtId="0" hierarchy="18" level="32767"/>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0"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0"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0"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2" memberValueDatatype="130" unbalanced="0">
      <fieldsUsage count="2">
        <fieldUsage x="-1"/>
        <fieldUsage x="0"/>
      </fieldsUsage>
    </cacheHierarchy>
    <cacheHierarchy uniqueName="[deepseek_csv_20260422_7f7afa].[UnitsSold]" caption="UnitsSold" attribute="1" defaultMemberUniqueName="[deepseek_csv_20260422_7f7afa].[UnitsSold].[All]" allUniqueName="[deepseek_csv_20260422_7f7afa].[UnitsSold].[All]" dimensionUniqueName="[deepseek_csv_20260422_7f7afa]" displayFolder="" count="0"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0"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2"/>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0"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0"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0"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oneField="1" hidden="1">
      <fieldsUsage count="1">
        <fieldUsage x="1"/>
      </fieldsUsage>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78099189817" backgroundQuery="1" createdVersion="7" refreshedVersion="7" minRefreshableVersion="3" recordCount="0" supportSubquery="1" supportAdvancedDrill="1" xr:uid="{20CAF33D-D992-43A9-8E5C-351C2FD90312}">
  <cacheSource type="external" connectionId="2"/>
  <cacheFields count="3">
    <cacheField name="[deepseek_csv_20260422_7f7afa].[SalesRep].[SalesRep]" caption="SalesRep" numFmtId="0" hierarchy="9" level="1">
      <sharedItems count="4">
        <s v="Abiola Ogun"/>
        <s v="Chidi Nwosu"/>
        <s v="Femi Adebayo"/>
        <s v="Tunde Bakare"/>
      </sharedItems>
    </cacheField>
    <cacheField name="[Measures].[Sum of Revenue]" caption="Sum of Revenue" numFmtId="0" hierarchy="18" level="32767"/>
    <cacheField name="[deepseek_csv_20260422_7f7afa].[Region].[Region]" caption="Region" numFmtId="0" hierarchy="8" level="1">
      <sharedItems containsSemiMixedTypes="0" containsNonDate="0" containsString="0"/>
    </cacheField>
  </cacheFields>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0"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0"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0"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2"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0"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0"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fieldsUsage count="2">
        <fieldUsage x="-1"/>
        <fieldUsage x="2"/>
      </fieldsUsage>
    </cacheHierarchy>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fieldsUsage count="2">
        <fieldUsage x="-1"/>
        <fieldUsage x="0"/>
      </fieldsUsage>
    </cacheHierarchy>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0"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0"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0"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oneField="1" hidden="1">
      <fieldsUsage count="1">
        <fieldUsage x="1"/>
      </fieldsUsage>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dimensions count="2">
    <dimension name="deepseek_csv_20260422_7f7afa" uniqueName="[deepseek_csv_20260422_7f7afa]" caption="deepseek_csv_20260422_7f7afa"/>
    <dimension measure="1" name="Measures" uniqueName="[Measures]" caption="Measures"/>
  </dimensions>
  <measureGroups count="1">
    <measureGroup name="deepseek_csv_20260422_7f7afa" caption="deepseek_csv_20260422_7f7af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6.842416203704" backgroundQuery="1" createdVersion="3" refreshedVersion="7" minRefreshableVersion="3" recordCount="0" supportSubquery="1" supportAdvancedDrill="1" xr:uid="{45902092-3B7A-40BD-84FA-9166E17FC313}">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deepseek_csv_20260422_7f7afa].[OrderID]" caption="OrderID" attribute="1" defaultMemberUniqueName="[deepseek_csv_20260422_7f7afa].[OrderID].[All]" allUniqueName="[deepseek_csv_20260422_7f7afa].[OrderID].[All]" dimensionUniqueName="[deepseek_csv_20260422_7f7afa]" displayFolder="" count="0" memberValueDatatype="20" unbalanced="0"/>
    <cacheHierarchy uniqueName="[deepseek_csv_20260422_7f7afa].[OrderDate]" caption="OrderDate" attribute="1" time="1" defaultMemberUniqueName="[deepseek_csv_20260422_7f7afa].[OrderDate].[All]" allUniqueName="[deepseek_csv_20260422_7f7afa].[OrderDate].[All]" dimensionUniqueName="[deepseek_csv_20260422_7f7afa]" displayFolder="" count="0" memberValueDatatype="7" unbalanced="0"/>
    <cacheHierarchy uniqueName="[deepseek_csv_20260422_7f7afa].[Day]" caption="Day" attribute="1" defaultMemberUniqueName="[deepseek_csv_20260422_7f7afa].[Day].[All]" allUniqueName="[deepseek_csv_20260422_7f7afa].[Day].[All]" dimensionUniqueName="[deepseek_csv_20260422_7f7afa]" displayFolder="" count="0" memberValueDatatype="130" unbalanced="0"/>
    <cacheHierarchy uniqueName="[deepseek_csv_20260422_7f7afa].[Month]" caption="Month" attribute="1" defaultMemberUniqueName="[deepseek_csv_20260422_7f7afa].[Month].[All]" allUniqueName="[deepseek_csv_20260422_7f7afa].[Month].[All]" dimensionUniqueName="[deepseek_csv_20260422_7f7afa]" displayFolder="" count="2" memberValueDatatype="130" unbalanced="0"/>
    <cacheHierarchy uniqueName="[deepseek_csv_20260422_7f7afa].[ProductCategory]" caption="ProductCategory" attribute="1" defaultMemberUniqueName="[deepseek_csv_20260422_7f7afa].[ProductCategory].[All]" allUniqueName="[deepseek_csv_20260422_7f7afa].[ProductCategory].[All]" dimensionUniqueName="[deepseek_csv_20260422_7f7afa]" displayFolder="" count="2" memberValueDatatype="130" unbalanced="0"/>
    <cacheHierarchy uniqueName="[deepseek_csv_20260422_7f7afa].[ProductName]" caption="ProductName" attribute="1" defaultMemberUniqueName="[deepseek_csv_20260422_7f7afa].[ProductName].[All]" allUniqueName="[deepseek_csv_20260422_7f7afa].[ProductName].[All]" dimensionUniqueName="[deepseek_csv_20260422_7f7afa]" displayFolder="" count="0" memberValueDatatype="130" unbalanced="0"/>
    <cacheHierarchy uniqueName="[deepseek_csv_20260422_7f7afa].[UnitsSold]" caption="UnitsSold" attribute="1" defaultMemberUniqueName="[deepseek_csv_20260422_7f7afa].[UnitsSold].[All]" allUniqueName="[deepseek_csv_20260422_7f7afa].[UnitsSold].[All]" dimensionUniqueName="[deepseek_csv_20260422_7f7afa]" displayFolder="" count="0" memberValueDatatype="20" unbalanced="0"/>
    <cacheHierarchy uniqueName="[deepseek_csv_20260422_7f7afa].[UnitPrice]" caption="UnitPrice" attribute="1" defaultMemberUniqueName="[deepseek_csv_20260422_7f7afa].[UnitPrice].[All]" allUniqueName="[deepseek_csv_20260422_7f7afa].[UnitPrice].[All]" dimensionUniqueName="[deepseek_csv_20260422_7f7afa]" displayFolder="" count="0" memberValueDatatype="20" unbalanced="0"/>
    <cacheHierarchy uniqueName="[deepseek_csv_20260422_7f7afa].[Region]" caption="Region" attribute="1" defaultMemberUniqueName="[deepseek_csv_20260422_7f7afa].[Region].[All]" allUniqueName="[deepseek_csv_20260422_7f7afa].[Region].[All]" dimensionUniqueName="[deepseek_csv_20260422_7f7afa]" displayFolder="" count="2" memberValueDatatype="130" unbalanced="0"/>
    <cacheHierarchy uniqueName="[deepseek_csv_20260422_7f7afa].[SalesRep]" caption="SalesRep" attribute="1" defaultMemberUniqueName="[deepseek_csv_20260422_7f7afa].[SalesRep].[All]" allUniqueName="[deepseek_csv_20260422_7f7afa].[SalesRep].[All]" dimensionUniqueName="[deepseek_csv_20260422_7f7afa]" displayFolder="" count="2" memberValueDatatype="130" unbalanced="0"/>
    <cacheHierarchy uniqueName="[deepseek_csv_20260422_7f7afa].[PaymentMethod]" caption="PaymentMethod" attribute="1" defaultMemberUniqueName="[deepseek_csv_20260422_7f7afa].[PaymentMethod].[All]" allUniqueName="[deepseek_csv_20260422_7f7afa].[PaymentMethod].[All]" dimensionUniqueName="[deepseek_csv_20260422_7f7afa]" displayFolder="" count="0" memberValueDatatype="130" unbalanced="0"/>
    <cacheHierarchy uniqueName="[deepseek_csv_20260422_7f7afa].[Discount]" caption="Discount" attribute="1" defaultMemberUniqueName="[deepseek_csv_20260422_7f7afa].[Discount].[All]" allUniqueName="[deepseek_csv_20260422_7f7afa].[Discount].[All]" dimensionUniqueName="[deepseek_csv_20260422_7f7afa]" displayFolder="" count="0" memberValueDatatype="20" unbalanced="0"/>
    <cacheHierarchy uniqueName="[deepseek_csv_20260422_7f7afa].[Revenue]" caption="Revenue" attribute="1" defaultMemberUniqueName="[deepseek_csv_20260422_7f7afa].[Revenue].[All]" allUniqueName="[deepseek_csv_20260422_7f7afa].[Revenue].[All]" dimensionUniqueName="[deepseek_csv_20260422_7f7afa]" displayFolder="" count="0" memberValueDatatype="20" unbalanced="0"/>
    <cacheHierarchy uniqueName="[Measures].[Total Revenue]" caption="Total Revenue" measure="1" displayFolder="" measureGroup="deepseek_csv_20260422_7f7afa" count="0"/>
    <cacheHierarchy uniqueName="[Measures].[Total Units Sold]" caption="Total Units Sold" measure="1" displayFolder="" measureGroup="deepseek_csv_20260422_7f7afa" count="0"/>
    <cacheHierarchy uniqueName="[Measures].[Total Orders]" caption="Total Orders" measure="1" displayFolder="" measureGroup="deepseek_csv_20260422_7f7afa" count="0"/>
    <cacheHierarchy uniqueName="[Measures].[__XL_Count deepseek_csv_20260422_7f7afa]" caption="__XL_Count deepseek_csv_20260422_7f7afa" measure="1" displayFolder="" measureGroup="deepseek_csv_20260422_7f7afa" count="0" hidden="1"/>
    <cacheHierarchy uniqueName="[Measures].[__No measures defined]" caption="__No measures defined" measure="1" displayFolder="" count="0" hidden="1"/>
    <cacheHierarchy uniqueName="[Measures].[Sum of Revenue]" caption="Sum of Revenue" measure="1" displayFolder="" measureGroup="deepseek_csv_20260422_7f7afa" count="0" hidden="1">
      <extLst>
        <ext xmlns:x15="http://schemas.microsoft.com/office/spreadsheetml/2010/11/main" uri="{B97F6D7D-B522-45F9-BDA1-12C45D357490}">
          <x15:cacheHierarchy aggregatedColumn="12"/>
        </ext>
      </extLst>
    </cacheHierarchy>
    <cacheHierarchy uniqueName="[Measures].[Min of Revenue]" caption="Min of Revenue" measure="1" displayFolder="" measureGroup="deepseek_csv_20260422_7f7af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78536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D40552-F523-492E-B9F5-C2C605444A15}" name="PivotTable11" cacheId="58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ay">
  <location ref="F48:G56"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numFmtId="164"/>
  </dataFields>
  <formats count="2">
    <format dxfId="2">
      <pivotArea outline="0" collapsedLevelsAreSubtotals="1" fieldPosition="0"/>
    </format>
    <format dxfId="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5A023-CF43-4DE1-9500-810278D346CC}" name="PivotTable10" cacheId="57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location ref="F31:G3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 fld="0" baseField="0" baseItem="0" numFmtId="164"/>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5A4CCC-07D3-4E4C-BD58-48FA76B8D503}" name="PivotTable9" cacheId="5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es Rep">
  <location ref="D14:E1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numFmtId="164"/>
  </dataFields>
  <formats count="2">
    <format dxfId="9">
      <pivotArea outline="0" collapsedLevelsAreSubtotals="1"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in of Revenue2"/>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C893D8-8A22-433B-B77E-4AF12617A2D0}" name="PivotTable8" cacheId="59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Name">
  <location ref="D6:E12"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4"/>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in of Revenue2"/>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328E58-4CE4-411B-82F2-19DF58F57EDA}" name="PivotTable6" cacheId="5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A14:B18"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Revenue" fld="1" baseField="0" baseItem="0" numFmtId="164"/>
  </dataFields>
  <formats count="2">
    <format dxfId="11">
      <pivotArea outline="0" collapsedLevelsAreSubtotals="1" fieldPosition="0"/>
    </format>
    <format dxfId="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2" format="4"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3B9A82-B80E-4197-A7DB-027BE94573E9}" name="PivotTable5" cacheId="57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A6:B11"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3"/>
    </i>
    <i>
      <x v="2"/>
    </i>
    <i t="grand">
      <x/>
    </i>
  </rowItems>
  <colItems count="1">
    <i/>
  </colItems>
  <dataFields count="1">
    <dataField name="Sum of Revenue" fld="1" baseField="0" baseItem="0" numFmtId="164"/>
  </dataFields>
  <formats count="2">
    <format dxfId="13">
      <pivotArea outline="0" collapsedLevelsAreSubtotals="1" fieldPosition="0"/>
    </format>
    <format dxfId="1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38D96A-0417-4AF6-992D-A84C1F1C8457}" name="PivotTable4" cacheId="59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521EBE-0BF6-4E67-981F-3D05972F90CF}" name="PivotTable3" cacheId="58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D20AFB-EB88-442A-9908-2B1F35383857}" name="PivotTable2" cacheId="58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0">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eepseek_csv_20260422_7f7afa">
        <x15:activeTabTopLevelEntity name="[deepseek_csv_20260422_7f7af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6547F8-40AC-47A5-B6EE-DC0D0F3A0D2A}" autoFormatId="16" applyNumberFormats="0" applyBorderFormats="0" applyFontFormats="0" applyPatternFormats="0" applyAlignmentFormats="0" applyWidthHeightFormats="0">
  <queryTableRefresh nextId="15" unboundColumnsRight="1">
    <queryTableFields count="13">
      <queryTableField id="1" name="OrderID" tableColumnId="1"/>
      <queryTableField id="2" name="OrderDate" tableColumnId="2"/>
      <queryTableField id="11" dataBound="0" tableColumnId="11"/>
      <queryTableField id="12" dataBound="0" tableColumnId="12"/>
      <queryTableField id="3" name="ProductCategory" tableColumnId="3"/>
      <queryTableField id="4" name="ProductName" tableColumnId="4"/>
      <queryTableField id="5" name="UnitsSold" tableColumnId="5"/>
      <queryTableField id="6" name="UnitPrice" tableColumnId="6"/>
      <queryTableField id="7" name="Region" tableColumnId="7"/>
      <queryTableField id="8" name="SalesRep" tableColumnId="8"/>
      <queryTableField id="9" name="PaymentMethod" tableColumnId="9"/>
      <queryTableField id="10" name="Discount" tableColumnId="10"/>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AC9628-E140-49F4-A245-C2D0A01179B1}" sourceName="[deepseek_csv_20260422_7f7afa].[Region]">
  <pivotTables>
    <pivotTable tabId="4" name="PivotTable5"/>
    <pivotTable tabId="4" name="PivotTable10"/>
    <pivotTable tabId="4" name="PivotTable11"/>
    <pivotTable tabId="4" name="PivotTable2"/>
    <pivotTable tabId="4" name="PivotTable3"/>
    <pivotTable tabId="4" name="PivotTable4"/>
    <pivotTable tabId="4" name="PivotTable6"/>
    <pivotTable tabId="4" name="PivotTable8"/>
    <pivotTable tabId="4" name="PivotTable9"/>
  </pivotTables>
  <data>
    <olap pivotCacheId="1778536107">
      <levels count="2">
        <level uniqueName="[deepseek_csv_20260422_7f7afa].[Region].[(All)]" sourceCaption="(All)" count="0"/>
        <level uniqueName="[deepseek_csv_20260422_7f7afa].[Region].[Region]" sourceCaption="Region" count="4">
          <ranges>
            <range startItem="0">
              <i n="[deepseek_csv_20260422_7f7afa].[Region].&amp;[East]" c="East"/>
              <i n="[deepseek_csv_20260422_7f7afa].[Region].&amp;[North]" c="North"/>
              <i n="[deepseek_csv_20260422_7f7afa].[Region].&amp;[South]" c="South"/>
              <i n="[deepseek_csv_20260422_7f7afa].[Region].&amp;[West]" c="West"/>
            </range>
          </ranges>
        </level>
      </levels>
      <selections count="1">
        <selection n="[deepseek_csv_20260422_7f7af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FC4F382-37BC-4648-8458-4594D4AD2DD3}" sourceName="[deepseek_csv_20260422_7f7afa].[ProductCategory]">
  <pivotTables>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olap pivotCacheId="1778536107">
      <levels count="2">
        <level uniqueName="[deepseek_csv_20260422_7f7afa].[ProductCategory].[(All)]" sourceCaption="(All)" count="0"/>
        <level uniqueName="[deepseek_csv_20260422_7f7afa].[ProductCategory].[ProductCategory]" sourceCaption="ProductCategory" count="3">
          <ranges>
            <range startItem="0">
              <i n="[deepseek_csv_20260422_7f7afa].[ProductCategory].&amp;[Clothing]" c="Clothing"/>
              <i n="[deepseek_csv_20260422_7f7afa].[ProductCategory].&amp;[Electronics]" c="Electronics"/>
              <i n="[deepseek_csv_20260422_7f7afa].[ProductCategory].&amp;[Furniture]" c="Furniture"/>
            </range>
          </ranges>
        </level>
      </levels>
      <selections count="1">
        <selection n="[deepseek_csv_20260422_7f7afa].[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A0C42312-0536-4E2D-A4C5-160B6D8285A9}" sourceName="[deepseek_csv_20260422_7f7afa].[SalesRep]">
  <pivotTables>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olap pivotCacheId="1778536107">
      <levels count="2">
        <level uniqueName="[deepseek_csv_20260422_7f7afa].[SalesRep].[(All)]" sourceCaption="(All)" count="0"/>
        <level uniqueName="[deepseek_csv_20260422_7f7afa].[SalesRep].[SalesRep]" sourceCaption="SalesRep" count="4">
          <ranges>
            <range startItem="0">
              <i n="[deepseek_csv_20260422_7f7afa].[SalesRep].&amp;[Abiola Ogun]" c="Abiola Ogun"/>
              <i n="[deepseek_csv_20260422_7f7afa].[SalesRep].&amp;[Chidi Nwosu]" c="Chidi Nwosu"/>
              <i n="[deepseek_csv_20260422_7f7afa].[SalesRep].&amp;[Femi Adebayo]" c="Femi Adebayo"/>
              <i n="[deepseek_csv_20260422_7f7afa].[SalesRep].&amp;[Tunde Bakare]" c="Tunde Bakare"/>
            </range>
          </ranges>
        </level>
      </levels>
      <selections count="1">
        <selection n="[deepseek_csv_20260422_7f7afa].[SalesRe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D98371C-F938-412D-9E49-0A595343EBAE}" sourceName="[deepseek_csv_20260422_7f7afa].[Month]">
  <pivotTables>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olap pivotCacheId="1778536107">
      <levels count="2">
        <level uniqueName="[deepseek_csv_20260422_7f7afa].[Month].[(All)]" sourceCaption="(All)" count="0"/>
        <level uniqueName="[deepseek_csv_20260422_7f7afa].[Month].[Month]" sourceCaption="Month" count="3">
          <ranges>
            <range startItem="0">
              <i n="[deepseek_csv_20260422_7f7afa].[Month].&amp;[February]" c="February"/>
              <i n="[deepseek_csv_20260422_7f7afa].[Month].&amp;[January]" c="January"/>
              <i n="[deepseek_csv_20260422_7f7afa].[Month].&amp;[March]" c="March"/>
            </range>
          </ranges>
        </level>
      </levels>
      <selections count="1">
        <selection n="[deepseek_csv_20260422_7f7afa].[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E0F7C43-F21F-461E-968A-7922E9F792B7}" cache="Slicer_Region" caption="Region" level="1" style="Slicer Style 1 2" rowHeight="241300"/>
  <slicer name="ProductCategory" xr10:uid="{674B39F1-8B21-41CE-BCBC-5CFFECE68C24}" cache="Slicer_ProductCategory" caption="ProductCategory" level="1" style="Slicer Style 1 2" rowHeight="241300"/>
  <slicer name="SalesRep" xr10:uid="{0AD60242-75DE-4529-B37B-09B4C3852400}" cache="Slicer_SalesRep" caption="SalesRep" level="1" rowHeight="241300"/>
  <slicer name="Month" xr10:uid="{5E05B8F1-7DC8-4685-98B0-C6BBFABD4BCB}" cache="Slicer_Month" caption="Month" level="1" style="Slicer Style 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61F48E5-ABAB-4EAB-B0B1-EBFAB73D788D}" cache="Slicer_Region" caption="Region" level="1" rowHeight="241300"/>
  <slicer name="ProductCategory 1" xr10:uid="{C052DEEA-AE24-4950-8C12-1118105169C1}" cache="Slicer_ProductCategory" caption="ProductCategory" columnCount="3" level="1" rowHeight="241300"/>
  <slicer name="SalesRep 1" xr10:uid="{ADAFAD3E-9EBD-42B2-96BA-290A95289ABC}" cache="Slicer_SalesRep" caption="SalesRep" level="1" rowHeight="241300"/>
  <slicer name="Month 1" xr10:uid="{8A1AFA8F-3D5C-4C09-A275-632B6BE0B61F}" cache="Slicer_Month" caption="Month"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8291A2-01F5-48F6-9360-B032D670CE7B}" name="deepseek_csv_20260422_7f7afa" displayName="deepseek_csv_20260422_7f7afa" ref="A1:M246" tableType="queryTable" totalsRowShown="0">
  <autoFilter ref="A1:M246" xr:uid="{B88291A2-01F5-48F6-9360-B032D670CE7B}"/>
  <tableColumns count="13">
    <tableColumn id="1" xr3:uid="{ABAF0677-DCF8-4B9D-8B51-A96DB1882EF8}" uniqueName="1" name="OrderID" queryTableFieldId="1"/>
    <tableColumn id="2" xr3:uid="{00733118-2CBD-4335-AB60-5594F0A7B97F}" uniqueName="2" name="OrderDate" queryTableFieldId="2" dataDxfId="23"/>
    <tableColumn id="11" xr3:uid="{D30CC55A-4063-4EBB-9140-7D6B95F625FF}" uniqueName="11" name="Day" queryTableFieldId="11" dataDxfId="22">
      <calculatedColumnFormula>TEXT(deepseek_csv_20260422_7f7afa[[#This Row],[OrderDate]], "dddd")</calculatedColumnFormula>
    </tableColumn>
    <tableColumn id="12" xr3:uid="{1B56590D-948E-4A02-AA45-B0A41BC53F42}" uniqueName="12" name="Month" queryTableFieldId="12" dataDxfId="21">
      <calculatedColumnFormula>TEXT(deepseek_csv_20260422_7f7afa[[#This Row],[OrderDate]], "mmmm")</calculatedColumnFormula>
    </tableColumn>
    <tableColumn id="3" xr3:uid="{A7E67CE5-ABE5-4193-9126-F969D532DD25}" uniqueName="3" name="ProductCategory" queryTableFieldId="3" dataDxfId="20"/>
    <tableColumn id="4" xr3:uid="{DC483652-1B85-4713-8642-B30BE7D99739}" uniqueName="4" name="ProductName" queryTableFieldId="4" dataDxfId="19"/>
    <tableColumn id="5" xr3:uid="{683E679F-1F7C-4072-BAF0-1A21F73E9042}" uniqueName="5" name="UnitsSold" queryTableFieldId="5"/>
    <tableColumn id="6" xr3:uid="{9045E389-1C70-43D1-869F-EB72B7A4A4B3}" uniqueName="6" name="UnitPrice" queryTableFieldId="6" dataDxfId="18"/>
    <tableColumn id="7" xr3:uid="{241AEE35-B975-4DF3-BC22-B72FAF9584BA}" uniqueName="7" name="Region" queryTableFieldId="7" dataDxfId="17"/>
    <tableColumn id="8" xr3:uid="{5A8DD410-C3BA-4D4C-ACA8-CAC6BE89AB1A}" uniqueName="8" name="SalesRep" queryTableFieldId="8" dataDxfId="16"/>
    <tableColumn id="9" xr3:uid="{F47CA34A-3116-4DDF-A950-4C861E2E1AC4}" uniqueName="9" name="PaymentMethod" queryTableFieldId="9" dataDxfId="15"/>
    <tableColumn id="10" xr3:uid="{78DFB735-5AC8-4721-8BAF-C689B88BA086}" uniqueName="10" name="Discount" queryTableFieldId="10"/>
    <tableColumn id="14" xr3:uid="{9523CF5A-4EE8-408B-847A-718A654D4B6E}" uniqueName="14" name="Revenue" queryTableFieldId="14"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ABA3B-6E2B-4CAF-8D9A-EC616A510016}">
  <dimension ref="A1:M246"/>
  <sheetViews>
    <sheetView topLeftCell="A2" workbookViewId="0">
      <selection activeCell="C17" sqref="C17"/>
    </sheetView>
  </sheetViews>
  <sheetFormatPr defaultRowHeight="15" x14ac:dyDescent="0.25"/>
  <cols>
    <col min="1" max="1" width="10.28515625" bestFit="1" customWidth="1"/>
    <col min="2" max="2" width="12.5703125" bestFit="1" customWidth="1"/>
    <col min="3" max="4" width="12.5703125" customWidth="1"/>
    <col min="5" max="5" width="18.140625" bestFit="1" customWidth="1"/>
    <col min="6" max="6" width="27" bestFit="1" customWidth="1"/>
    <col min="7" max="7" width="11.85546875" bestFit="1" customWidth="1"/>
    <col min="8" max="8" width="11.5703125" bestFit="1" customWidth="1"/>
    <col min="9" max="9" width="9.42578125" bestFit="1" customWidth="1"/>
    <col min="10" max="10" width="13.85546875" bestFit="1" customWidth="1"/>
    <col min="11" max="11" width="18.42578125" bestFit="1" customWidth="1"/>
    <col min="12" max="13" width="11" bestFit="1" customWidth="1"/>
  </cols>
  <sheetData>
    <row r="1" spans="1:13" x14ac:dyDescent="0.25">
      <c r="A1" t="s">
        <v>0</v>
      </c>
      <c r="B1" t="s">
        <v>1</v>
      </c>
      <c r="C1" t="s">
        <v>262</v>
      </c>
      <c r="D1" t="s">
        <v>263</v>
      </c>
      <c r="E1" t="s">
        <v>2</v>
      </c>
      <c r="F1" t="s">
        <v>3</v>
      </c>
      <c r="G1" t="s">
        <v>4</v>
      </c>
      <c r="H1" s="3" t="s">
        <v>5</v>
      </c>
      <c r="I1" t="s">
        <v>6</v>
      </c>
      <c r="J1" t="s">
        <v>7</v>
      </c>
      <c r="K1" t="s">
        <v>8</v>
      </c>
      <c r="L1" t="s">
        <v>9</v>
      </c>
      <c r="M1" s="3" t="s">
        <v>264</v>
      </c>
    </row>
    <row r="2" spans="1:13" x14ac:dyDescent="0.25">
      <c r="A2">
        <v>3001</v>
      </c>
      <c r="B2" s="1">
        <v>45667</v>
      </c>
      <c r="C2" s="1" t="str">
        <f>TEXT(deepseek_csv_20260422_7f7afa[[#This Row],[OrderDate]], "dddd")</f>
        <v>Friday</v>
      </c>
      <c r="D2" s="1" t="str">
        <f>TEXT(deepseek_csv_20260422_7f7afa[[#This Row],[OrderDate]], "mmmm")</f>
        <v>January</v>
      </c>
      <c r="E2" s="2" t="s">
        <v>10</v>
      </c>
      <c r="F2" s="2" t="s">
        <v>11</v>
      </c>
      <c r="G2">
        <v>3</v>
      </c>
      <c r="H2" s="3">
        <v>450000</v>
      </c>
      <c r="I2" s="2" t="s">
        <v>12</v>
      </c>
      <c r="J2" s="2" t="s">
        <v>13</v>
      </c>
      <c r="K2" s="2" t="s">
        <v>14</v>
      </c>
      <c r="L2">
        <v>5</v>
      </c>
      <c r="M2" s="3">
        <v>1350000</v>
      </c>
    </row>
    <row r="3" spans="1:13" x14ac:dyDescent="0.25">
      <c r="A3">
        <v>3002</v>
      </c>
      <c r="B3" s="1">
        <v>45667</v>
      </c>
      <c r="C3" s="1" t="str">
        <f>TEXT(deepseek_csv_20260422_7f7afa[[#This Row],[OrderDate]], "dddd")</f>
        <v>Friday</v>
      </c>
      <c r="D3" s="1" t="str">
        <f>TEXT(deepseek_csv_20260422_7f7afa[[#This Row],[OrderDate]], "mmmm")</f>
        <v>January</v>
      </c>
      <c r="E3" s="2" t="s">
        <v>15</v>
      </c>
      <c r="F3" s="2" t="s">
        <v>16</v>
      </c>
      <c r="G3">
        <v>5</v>
      </c>
      <c r="H3" s="3">
        <v>15000</v>
      </c>
      <c r="I3" s="2" t="s">
        <v>17</v>
      </c>
      <c r="J3" s="2" t="s">
        <v>18</v>
      </c>
      <c r="K3" s="2" t="s">
        <v>19</v>
      </c>
      <c r="L3">
        <v>0</v>
      </c>
      <c r="M3" s="3">
        <v>75000</v>
      </c>
    </row>
    <row r="4" spans="1:13" x14ac:dyDescent="0.25">
      <c r="A4">
        <v>3003</v>
      </c>
      <c r="B4" s="1">
        <v>45668</v>
      </c>
      <c r="C4" s="1" t="str">
        <f>TEXT(deepseek_csv_20260422_7f7afa[[#This Row],[OrderDate]], "dddd")</f>
        <v>Saturday</v>
      </c>
      <c r="D4" s="1" t="str">
        <f>TEXT(deepseek_csv_20260422_7f7afa[[#This Row],[OrderDate]], "mmmm")</f>
        <v>January</v>
      </c>
      <c r="E4" s="2" t="s">
        <v>20</v>
      </c>
      <c r="F4" s="2" t="s">
        <v>21</v>
      </c>
      <c r="G4">
        <v>2</v>
      </c>
      <c r="H4" s="3">
        <v>75000</v>
      </c>
      <c r="I4" s="2" t="s">
        <v>22</v>
      </c>
      <c r="J4" s="2" t="s">
        <v>23</v>
      </c>
      <c r="K4" s="2" t="s">
        <v>24</v>
      </c>
      <c r="L4">
        <v>10</v>
      </c>
      <c r="M4" s="3">
        <v>150000</v>
      </c>
    </row>
    <row r="5" spans="1:13" x14ac:dyDescent="0.25">
      <c r="A5">
        <v>3004</v>
      </c>
      <c r="B5" s="1">
        <v>45668</v>
      </c>
      <c r="C5" s="1" t="str">
        <f>TEXT(deepseek_csv_20260422_7f7afa[[#This Row],[OrderDate]], "dddd")</f>
        <v>Saturday</v>
      </c>
      <c r="D5" s="1" t="str">
        <f>TEXT(deepseek_csv_20260422_7f7afa[[#This Row],[OrderDate]], "mmmm")</f>
        <v>January</v>
      </c>
      <c r="E5" s="2" t="s">
        <v>10</v>
      </c>
      <c r="F5" s="2" t="s">
        <v>25</v>
      </c>
      <c r="G5">
        <v>2</v>
      </c>
      <c r="H5" s="3">
        <v>120000</v>
      </c>
      <c r="I5" s="2" t="s">
        <v>26</v>
      </c>
      <c r="J5" s="2" t="s">
        <v>27</v>
      </c>
      <c r="K5" s="2" t="s">
        <v>14</v>
      </c>
      <c r="L5">
        <v>0</v>
      </c>
      <c r="M5" s="3">
        <v>240000</v>
      </c>
    </row>
    <row r="6" spans="1:13" x14ac:dyDescent="0.25">
      <c r="A6">
        <v>3005</v>
      </c>
      <c r="B6" s="1">
        <v>45669</v>
      </c>
      <c r="C6" s="1" t="str">
        <f>TEXT(deepseek_csv_20260422_7f7afa[[#This Row],[OrderDate]], "dddd")</f>
        <v>Sunday</v>
      </c>
      <c r="D6" s="1" t="str">
        <f>TEXT(deepseek_csv_20260422_7f7afa[[#This Row],[OrderDate]], "mmmm")</f>
        <v>January</v>
      </c>
      <c r="E6" s="2" t="s">
        <v>15</v>
      </c>
      <c r="F6" s="2" t="s">
        <v>28</v>
      </c>
      <c r="G6">
        <v>8</v>
      </c>
      <c r="H6" s="3">
        <v>5000</v>
      </c>
      <c r="I6" s="2" t="s">
        <v>12</v>
      </c>
      <c r="J6" s="2" t="s">
        <v>13</v>
      </c>
      <c r="K6" s="2" t="s">
        <v>19</v>
      </c>
      <c r="L6">
        <v>5</v>
      </c>
      <c r="M6" s="3">
        <v>40000</v>
      </c>
    </row>
    <row r="7" spans="1:13" x14ac:dyDescent="0.25">
      <c r="A7">
        <v>3006</v>
      </c>
      <c r="B7" s="1">
        <v>45669</v>
      </c>
      <c r="C7" s="1" t="str">
        <f>TEXT(deepseek_csv_20260422_7f7afa[[#This Row],[OrderDate]], "dddd")</f>
        <v>Sunday</v>
      </c>
      <c r="D7" s="1" t="str">
        <f>TEXT(deepseek_csv_20260422_7f7afa[[#This Row],[OrderDate]], "mmmm")</f>
        <v>January</v>
      </c>
      <c r="E7" s="2" t="s">
        <v>20</v>
      </c>
      <c r="F7" s="2" t="s">
        <v>29</v>
      </c>
      <c r="G7">
        <v>1</v>
      </c>
      <c r="H7" s="3">
        <v>150000</v>
      </c>
      <c r="I7" s="2" t="s">
        <v>17</v>
      </c>
      <c r="J7" s="2" t="s">
        <v>18</v>
      </c>
      <c r="K7" s="2" t="s">
        <v>24</v>
      </c>
      <c r="L7">
        <v>0</v>
      </c>
      <c r="M7" s="3">
        <v>150000</v>
      </c>
    </row>
    <row r="8" spans="1:13" x14ac:dyDescent="0.25">
      <c r="A8">
        <v>3007</v>
      </c>
      <c r="B8" s="1">
        <v>45670</v>
      </c>
      <c r="C8" s="1" t="str">
        <f>TEXT(deepseek_csv_20260422_7f7afa[[#This Row],[OrderDate]], "dddd")</f>
        <v>Monday</v>
      </c>
      <c r="D8" s="1" t="str">
        <f>TEXT(deepseek_csv_20260422_7f7afa[[#This Row],[OrderDate]], "mmmm")</f>
        <v>January</v>
      </c>
      <c r="E8" s="2" t="s">
        <v>10</v>
      </c>
      <c r="F8" s="2" t="s">
        <v>30</v>
      </c>
      <c r="G8">
        <v>3</v>
      </c>
      <c r="H8" s="3">
        <v>25000</v>
      </c>
      <c r="I8" s="2" t="s">
        <v>22</v>
      </c>
      <c r="J8" s="2" t="s">
        <v>23</v>
      </c>
      <c r="K8" s="2" t="s">
        <v>14</v>
      </c>
      <c r="L8">
        <v>10</v>
      </c>
      <c r="M8" s="3">
        <v>75000</v>
      </c>
    </row>
    <row r="9" spans="1:13" x14ac:dyDescent="0.25">
      <c r="A9">
        <v>3008</v>
      </c>
      <c r="B9" s="1">
        <v>45670</v>
      </c>
      <c r="C9" s="1" t="str">
        <f>TEXT(deepseek_csv_20260422_7f7afa[[#This Row],[OrderDate]], "dddd")</f>
        <v>Monday</v>
      </c>
      <c r="D9" s="1" t="str">
        <f>TEXT(deepseek_csv_20260422_7f7afa[[#This Row],[OrderDate]], "mmmm")</f>
        <v>January</v>
      </c>
      <c r="E9" s="2" t="s">
        <v>15</v>
      </c>
      <c r="F9" s="2" t="s">
        <v>31</v>
      </c>
      <c r="G9">
        <v>2</v>
      </c>
      <c r="H9" s="3">
        <v>35000</v>
      </c>
      <c r="I9" s="2" t="s">
        <v>26</v>
      </c>
      <c r="J9" s="2" t="s">
        <v>27</v>
      </c>
      <c r="K9" s="2" t="s">
        <v>19</v>
      </c>
      <c r="L9">
        <v>0</v>
      </c>
      <c r="M9" s="3">
        <v>70000</v>
      </c>
    </row>
    <row r="10" spans="1:13" x14ac:dyDescent="0.25">
      <c r="A10">
        <v>3009</v>
      </c>
      <c r="B10" s="1">
        <v>45671</v>
      </c>
      <c r="C10" s="1" t="str">
        <f>TEXT(deepseek_csv_20260422_7f7afa[[#This Row],[OrderDate]], "dddd")</f>
        <v>Tuesday</v>
      </c>
      <c r="D10" s="1" t="str">
        <f>TEXT(deepseek_csv_20260422_7f7afa[[#This Row],[OrderDate]], "mmmm")</f>
        <v>January</v>
      </c>
      <c r="E10" s="2" t="s">
        <v>20</v>
      </c>
      <c r="F10" s="2" t="s">
        <v>32</v>
      </c>
      <c r="G10">
        <v>1</v>
      </c>
      <c r="H10" s="3">
        <v>120000</v>
      </c>
      <c r="I10" s="2" t="s">
        <v>12</v>
      </c>
      <c r="J10" s="2" t="s">
        <v>13</v>
      </c>
      <c r="K10" s="2" t="s">
        <v>24</v>
      </c>
      <c r="L10">
        <v>15</v>
      </c>
      <c r="M10" s="3">
        <v>120000</v>
      </c>
    </row>
    <row r="11" spans="1:13" x14ac:dyDescent="0.25">
      <c r="A11">
        <v>3010</v>
      </c>
      <c r="B11" s="1">
        <v>45671</v>
      </c>
      <c r="C11" s="1" t="str">
        <f>TEXT(deepseek_csv_20260422_7f7afa[[#This Row],[OrderDate]], "dddd")</f>
        <v>Tuesday</v>
      </c>
      <c r="D11" s="1" t="str">
        <f>TEXT(deepseek_csv_20260422_7f7afa[[#This Row],[OrderDate]], "mmmm")</f>
        <v>January</v>
      </c>
      <c r="E11" s="2" t="s">
        <v>10</v>
      </c>
      <c r="F11" s="2" t="s">
        <v>33</v>
      </c>
      <c r="G11">
        <v>2</v>
      </c>
      <c r="H11" s="3">
        <v>80000</v>
      </c>
      <c r="I11" s="2" t="s">
        <v>17</v>
      </c>
      <c r="J11" s="2" t="s">
        <v>18</v>
      </c>
      <c r="K11" s="2" t="s">
        <v>14</v>
      </c>
      <c r="L11">
        <v>5</v>
      </c>
      <c r="M11" s="3">
        <v>160000</v>
      </c>
    </row>
    <row r="12" spans="1:13" x14ac:dyDescent="0.25">
      <c r="A12">
        <v>3011</v>
      </c>
      <c r="B12" s="1">
        <v>45672</v>
      </c>
      <c r="C12" s="1" t="str">
        <f>TEXT(deepseek_csv_20260422_7f7afa[[#This Row],[OrderDate]], "dddd")</f>
        <v>Wednesday</v>
      </c>
      <c r="D12" s="1" t="str">
        <f>TEXT(deepseek_csv_20260422_7f7afa[[#This Row],[OrderDate]], "mmmm")</f>
        <v>January</v>
      </c>
      <c r="E12" s="2" t="s">
        <v>15</v>
      </c>
      <c r="F12" s="2" t="s">
        <v>34</v>
      </c>
      <c r="G12">
        <v>3</v>
      </c>
      <c r="H12" s="3">
        <v>25000</v>
      </c>
      <c r="I12" s="2" t="s">
        <v>22</v>
      </c>
      <c r="J12" s="2" t="s">
        <v>23</v>
      </c>
      <c r="K12" s="2" t="s">
        <v>19</v>
      </c>
      <c r="L12">
        <v>0</v>
      </c>
      <c r="M12" s="3">
        <v>75000</v>
      </c>
    </row>
    <row r="13" spans="1:13" x14ac:dyDescent="0.25">
      <c r="A13">
        <v>3012</v>
      </c>
      <c r="B13" s="1">
        <v>45672</v>
      </c>
      <c r="C13" s="1" t="str">
        <f>TEXT(deepseek_csv_20260422_7f7afa[[#This Row],[OrderDate]], "dddd")</f>
        <v>Wednesday</v>
      </c>
      <c r="D13" s="1" t="str">
        <f>TEXT(deepseek_csv_20260422_7f7afa[[#This Row],[OrderDate]], "mmmm")</f>
        <v>January</v>
      </c>
      <c r="E13" s="2" t="s">
        <v>20</v>
      </c>
      <c r="F13" s="2" t="s">
        <v>35</v>
      </c>
      <c r="G13">
        <v>2</v>
      </c>
      <c r="H13" s="3">
        <v>45000</v>
      </c>
      <c r="I13" s="2" t="s">
        <v>26</v>
      </c>
      <c r="J13" s="2" t="s">
        <v>27</v>
      </c>
      <c r="K13" s="2" t="s">
        <v>24</v>
      </c>
      <c r="L13">
        <v>0</v>
      </c>
      <c r="M13" s="3">
        <v>90000</v>
      </c>
    </row>
    <row r="14" spans="1:13" x14ac:dyDescent="0.25">
      <c r="A14">
        <v>3013</v>
      </c>
      <c r="B14" s="1">
        <v>45673</v>
      </c>
      <c r="C14" s="1" t="str">
        <f>TEXT(deepseek_csv_20260422_7f7afa[[#This Row],[OrderDate]], "dddd")</f>
        <v>Thursday</v>
      </c>
      <c r="D14" s="1" t="str">
        <f>TEXT(deepseek_csv_20260422_7f7afa[[#This Row],[OrderDate]], "mmmm")</f>
        <v>January</v>
      </c>
      <c r="E14" s="2" t="s">
        <v>10</v>
      </c>
      <c r="F14" s="2" t="s">
        <v>36</v>
      </c>
      <c r="G14">
        <v>2</v>
      </c>
      <c r="H14" s="3">
        <v>35000</v>
      </c>
      <c r="I14" s="2" t="s">
        <v>12</v>
      </c>
      <c r="J14" s="2" t="s">
        <v>13</v>
      </c>
      <c r="K14" s="2" t="s">
        <v>14</v>
      </c>
      <c r="L14">
        <v>0</v>
      </c>
      <c r="M14" s="3">
        <v>70000</v>
      </c>
    </row>
    <row r="15" spans="1:13" x14ac:dyDescent="0.25">
      <c r="A15">
        <v>3014</v>
      </c>
      <c r="B15" s="1">
        <v>45673</v>
      </c>
      <c r="C15" s="1" t="str">
        <f>TEXT(deepseek_csv_20260422_7f7afa[[#This Row],[OrderDate]], "dddd")</f>
        <v>Thursday</v>
      </c>
      <c r="D15" s="1" t="str">
        <f>TEXT(deepseek_csv_20260422_7f7afa[[#This Row],[OrderDate]], "mmmm")</f>
        <v>January</v>
      </c>
      <c r="E15" s="2" t="s">
        <v>15</v>
      </c>
      <c r="F15" s="2" t="s">
        <v>37</v>
      </c>
      <c r="G15">
        <v>5</v>
      </c>
      <c r="H15" s="3">
        <v>8000</v>
      </c>
      <c r="I15" s="2" t="s">
        <v>17</v>
      </c>
      <c r="J15" s="2" t="s">
        <v>18</v>
      </c>
      <c r="K15" s="2" t="s">
        <v>19</v>
      </c>
      <c r="L15">
        <v>5</v>
      </c>
      <c r="M15" s="3">
        <v>40000</v>
      </c>
    </row>
    <row r="16" spans="1:13" x14ac:dyDescent="0.25">
      <c r="A16">
        <v>3015</v>
      </c>
      <c r="B16" s="1">
        <v>45674</v>
      </c>
      <c r="C16" s="1" t="str">
        <f>TEXT(deepseek_csv_20260422_7f7afa[[#This Row],[OrderDate]], "dddd")</f>
        <v>Friday</v>
      </c>
      <c r="D16" s="1" t="str">
        <f>TEXT(deepseek_csv_20260422_7f7afa[[#This Row],[OrderDate]], "mmmm")</f>
        <v>January</v>
      </c>
      <c r="E16" s="2" t="s">
        <v>20</v>
      </c>
      <c r="F16" s="2" t="s">
        <v>38</v>
      </c>
      <c r="G16">
        <v>1</v>
      </c>
      <c r="H16" s="3">
        <v>85000</v>
      </c>
      <c r="I16" s="2" t="s">
        <v>22</v>
      </c>
      <c r="J16" s="2" t="s">
        <v>23</v>
      </c>
      <c r="K16" s="2" t="s">
        <v>24</v>
      </c>
      <c r="L16">
        <v>0</v>
      </c>
      <c r="M16" s="3">
        <v>85000</v>
      </c>
    </row>
    <row r="17" spans="1:13" x14ac:dyDescent="0.25">
      <c r="A17">
        <v>3016</v>
      </c>
      <c r="B17" s="1">
        <v>45674</v>
      </c>
      <c r="C17" s="1" t="str">
        <f>TEXT(deepseek_csv_20260422_7f7afa[[#This Row],[OrderDate]], "dddd")</f>
        <v>Friday</v>
      </c>
      <c r="D17" s="1" t="str">
        <f>TEXT(deepseek_csv_20260422_7f7afa[[#This Row],[OrderDate]], "mmmm")</f>
        <v>January</v>
      </c>
      <c r="E17" s="2" t="s">
        <v>10</v>
      </c>
      <c r="F17" s="2" t="s">
        <v>39</v>
      </c>
      <c r="G17">
        <v>2</v>
      </c>
      <c r="H17" s="3">
        <v>120000</v>
      </c>
      <c r="I17" s="2" t="s">
        <v>26</v>
      </c>
      <c r="J17" s="2" t="s">
        <v>27</v>
      </c>
      <c r="K17" s="2" t="s">
        <v>14</v>
      </c>
      <c r="L17">
        <v>10</v>
      </c>
      <c r="M17" s="3">
        <v>240000</v>
      </c>
    </row>
    <row r="18" spans="1:13" x14ac:dyDescent="0.25">
      <c r="A18">
        <v>3017</v>
      </c>
      <c r="B18" s="1">
        <v>45675</v>
      </c>
      <c r="C18" s="1" t="str">
        <f>TEXT(deepseek_csv_20260422_7f7afa[[#This Row],[OrderDate]], "dddd")</f>
        <v>Saturday</v>
      </c>
      <c r="D18" s="1" t="str">
        <f>TEXT(deepseek_csv_20260422_7f7afa[[#This Row],[OrderDate]], "mmmm")</f>
        <v>January</v>
      </c>
      <c r="E18" s="2" t="s">
        <v>15</v>
      </c>
      <c r="F18" s="2" t="s">
        <v>40</v>
      </c>
      <c r="G18">
        <v>3</v>
      </c>
      <c r="H18" s="3">
        <v>22000</v>
      </c>
      <c r="I18" s="2" t="s">
        <v>12</v>
      </c>
      <c r="J18" s="2" t="s">
        <v>13</v>
      </c>
      <c r="K18" s="2" t="s">
        <v>19</v>
      </c>
      <c r="L18">
        <v>0</v>
      </c>
      <c r="M18" s="3">
        <v>66000</v>
      </c>
    </row>
    <row r="19" spans="1:13" x14ac:dyDescent="0.25">
      <c r="A19">
        <v>3018</v>
      </c>
      <c r="B19" s="1">
        <v>45675</v>
      </c>
      <c r="C19" s="1" t="str">
        <f>TEXT(deepseek_csv_20260422_7f7afa[[#This Row],[OrderDate]], "dddd")</f>
        <v>Saturday</v>
      </c>
      <c r="D19" s="1" t="str">
        <f>TEXT(deepseek_csv_20260422_7f7afa[[#This Row],[OrderDate]], "mmmm")</f>
        <v>January</v>
      </c>
      <c r="E19" s="2" t="s">
        <v>20</v>
      </c>
      <c r="F19" s="2" t="s">
        <v>41</v>
      </c>
      <c r="G19">
        <v>1</v>
      </c>
      <c r="H19" s="3">
        <v>180000</v>
      </c>
      <c r="I19" s="2" t="s">
        <v>17</v>
      </c>
      <c r="J19" s="2" t="s">
        <v>18</v>
      </c>
      <c r="K19" s="2" t="s">
        <v>24</v>
      </c>
      <c r="L19">
        <v>0</v>
      </c>
      <c r="M19" s="3">
        <v>180000</v>
      </c>
    </row>
    <row r="20" spans="1:13" x14ac:dyDescent="0.25">
      <c r="A20">
        <v>3019</v>
      </c>
      <c r="B20" s="1">
        <v>45676</v>
      </c>
      <c r="C20" s="1" t="str">
        <f>TEXT(deepseek_csv_20260422_7f7afa[[#This Row],[OrderDate]], "dddd")</f>
        <v>Sunday</v>
      </c>
      <c r="D20" s="1" t="str">
        <f>TEXT(deepseek_csv_20260422_7f7afa[[#This Row],[OrderDate]], "mmmm")</f>
        <v>January</v>
      </c>
      <c r="E20" s="2" t="s">
        <v>10</v>
      </c>
      <c r="F20" s="2" t="s">
        <v>42</v>
      </c>
      <c r="G20">
        <v>5</v>
      </c>
      <c r="H20" s="3">
        <v>15000</v>
      </c>
      <c r="I20" s="2" t="s">
        <v>22</v>
      </c>
      <c r="J20" s="2" t="s">
        <v>23</v>
      </c>
      <c r="K20" s="2" t="s">
        <v>14</v>
      </c>
      <c r="L20">
        <v>5</v>
      </c>
      <c r="M20" s="3">
        <v>75000</v>
      </c>
    </row>
    <row r="21" spans="1:13" x14ac:dyDescent="0.25">
      <c r="A21">
        <v>3020</v>
      </c>
      <c r="B21" s="1">
        <v>45676</v>
      </c>
      <c r="C21" s="1" t="str">
        <f>TEXT(deepseek_csv_20260422_7f7afa[[#This Row],[OrderDate]], "dddd")</f>
        <v>Sunday</v>
      </c>
      <c r="D21" s="1" t="str">
        <f>TEXT(deepseek_csv_20260422_7f7afa[[#This Row],[OrderDate]], "mmmm")</f>
        <v>January</v>
      </c>
      <c r="E21" s="2" t="s">
        <v>15</v>
      </c>
      <c r="F21" s="2" t="s">
        <v>43</v>
      </c>
      <c r="G21">
        <v>6</v>
      </c>
      <c r="H21" s="3">
        <v>7000</v>
      </c>
      <c r="I21" s="2" t="s">
        <v>26</v>
      </c>
      <c r="J21" s="2" t="s">
        <v>27</v>
      </c>
      <c r="K21" s="2" t="s">
        <v>19</v>
      </c>
      <c r="L21">
        <v>0</v>
      </c>
      <c r="M21" s="3">
        <v>42000</v>
      </c>
    </row>
    <row r="22" spans="1:13" x14ac:dyDescent="0.25">
      <c r="A22">
        <v>3021</v>
      </c>
      <c r="B22" s="1">
        <v>45677</v>
      </c>
      <c r="C22" s="1" t="str">
        <f>TEXT(deepseek_csv_20260422_7f7afa[[#This Row],[OrderDate]], "dddd")</f>
        <v>Monday</v>
      </c>
      <c r="D22" s="1" t="str">
        <f>TEXT(deepseek_csv_20260422_7f7afa[[#This Row],[OrderDate]], "mmmm")</f>
        <v>January</v>
      </c>
      <c r="E22" s="2" t="s">
        <v>20</v>
      </c>
      <c r="F22" s="2" t="s">
        <v>44</v>
      </c>
      <c r="G22">
        <v>1</v>
      </c>
      <c r="H22" s="3">
        <v>250000</v>
      </c>
      <c r="I22" s="2" t="s">
        <v>12</v>
      </c>
      <c r="J22" s="2" t="s">
        <v>13</v>
      </c>
      <c r="K22" s="2" t="s">
        <v>24</v>
      </c>
      <c r="L22">
        <v>0</v>
      </c>
      <c r="M22" s="3">
        <v>250000</v>
      </c>
    </row>
    <row r="23" spans="1:13" x14ac:dyDescent="0.25">
      <c r="A23">
        <v>3022</v>
      </c>
      <c r="B23" s="1">
        <v>45677</v>
      </c>
      <c r="C23" s="1" t="str">
        <f>TEXT(deepseek_csv_20260422_7f7afa[[#This Row],[OrderDate]], "dddd")</f>
        <v>Monday</v>
      </c>
      <c r="D23" s="1" t="str">
        <f>TEXT(deepseek_csv_20260422_7f7afa[[#This Row],[OrderDate]], "mmmm")</f>
        <v>January</v>
      </c>
      <c r="E23" s="2" t="s">
        <v>10</v>
      </c>
      <c r="F23" s="2" t="s">
        <v>45</v>
      </c>
      <c r="G23">
        <v>8</v>
      </c>
      <c r="H23" s="3">
        <v>5000</v>
      </c>
      <c r="I23" s="2" t="s">
        <v>17</v>
      </c>
      <c r="J23" s="2" t="s">
        <v>18</v>
      </c>
      <c r="K23" s="2" t="s">
        <v>14</v>
      </c>
      <c r="L23">
        <v>10</v>
      </c>
      <c r="M23" s="3">
        <v>40000</v>
      </c>
    </row>
    <row r="24" spans="1:13" x14ac:dyDescent="0.25">
      <c r="A24">
        <v>3023</v>
      </c>
      <c r="B24" s="1">
        <v>45678</v>
      </c>
      <c r="C24" s="1" t="str">
        <f>TEXT(deepseek_csv_20260422_7f7afa[[#This Row],[OrderDate]], "dddd")</f>
        <v>Tuesday</v>
      </c>
      <c r="D24" s="1" t="str">
        <f>TEXT(deepseek_csv_20260422_7f7afa[[#This Row],[OrderDate]], "mmmm")</f>
        <v>January</v>
      </c>
      <c r="E24" s="2" t="s">
        <v>15</v>
      </c>
      <c r="F24" s="2" t="s">
        <v>46</v>
      </c>
      <c r="G24">
        <v>3</v>
      </c>
      <c r="H24" s="3">
        <v>18000</v>
      </c>
      <c r="I24" s="2" t="s">
        <v>22</v>
      </c>
      <c r="J24" s="2" t="s">
        <v>23</v>
      </c>
      <c r="K24" s="2" t="s">
        <v>19</v>
      </c>
      <c r="L24">
        <v>0</v>
      </c>
      <c r="M24" s="3">
        <v>54000</v>
      </c>
    </row>
    <row r="25" spans="1:13" x14ac:dyDescent="0.25">
      <c r="A25">
        <v>3024</v>
      </c>
      <c r="B25" s="1">
        <v>45678</v>
      </c>
      <c r="C25" s="1" t="str">
        <f>TEXT(deepseek_csv_20260422_7f7afa[[#This Row],[OrderDate]], "dddd")</f>
        <v>Tuesday</v>
      </c>
      <c r="D25" s="1" t="str">
        <f>TEXT(deepseek_csv_20260422_7f7afa[[#This Row],[OrderDate]], "mmmm")</f>
        <v>January</v>
      </c>
      <c r="E25" s="2" t="s">
        <v>20</v>
      </c>
      <c r="F25" s="2" t="s">
        <v>47</v>
      </c>
      <c r="G25">
        <v>3</v>
      </c>
      <c r="H25" s="3">
        <v>25000</v>
      </c>
      <c r="I25" s="2" t="s">
        <v>26</v>
      </c>
      <c r="J25" s="2" t="s">
        <v>27</v>
      </c>
      <c r="K25" s="2" t="s">
        <v>24</v>
      </c>
      <c r="L25">
        <v>5</v>
      </c>
      <c r="M25" s="3">
        <v>75000</v>
      </c>
    </row>
    <row r="26" spans="1:13" x14ac:dyDescent="0.25">
      <c r="A26">
        <v>3025</v>
      </c>
      <c r="B26" s="1">
        <v>45679</v>
      </c>
      <c r="C26" s="1" t="str">
        <f>TEXT(deepseek_csv_20260422_7f7afa[[#This Row],[OrderDate]], "dddd")</f>
        <v>Wednesday</v>
      </c>
      <c r="D26" s="1" t="str">
        <f>TEXT(deepseek_csv_20260422_7f7afa[[#This Row],[OrderDate]], "mmmm")</f>
        <v>January</v>
      </c>
      <c r="E26" s="2" t="s">
        <v>10</v>
      </c>
      <c r="F26" s="2" t="s">
        <v>48</v>
      </c>
      <c r="G26">
        <v>1</v>
      </c>
      <c r="H26" s="3">
        <v>65000</v>
      </c>
      <c r="I26" s="2" t="s">
        <v>12</v>
      </c>
      <c r="J26" s="2" t="s">
        <v>13</v>
      </c>
      <c r="K26" s="2" t="s">
        <v>14</v>
      </c>
      <c r="L26">
        <v>0</v>
      </c>
      <c r="M26" s="3">
        <v>65000</v>
      </c>
    </row>
    <row r="27" spans="1:13" x14ac:dyDescent="0.25">
      <c r="A27">
        <v>3026</v>
      </c>
      <c r="B27" s="1">
        <v>45679</v>
      </c>
      <c r="C27" s="1" t="str">
        <f>TEXT(deepseek_csv_20260422_7f7afa[[#This Row],[OrderDate]], "dddd")</f>
        <v>Wednesday</v>
      </c>
      <c r="D27" s="1" t="str">
        <f>TEXT(deepseek_csv_20260422_7f7afa[[#This Row],[OrderDate]], "mmmm")</f>
        <v>January</v>
      </c>
      <c r="E27" s="2" t="s">
        <v>15</v>
      </c>
      <c r="F27" s="2" t="s">
        <v>49</v>
      </c>
      <c r="G27">
        <v>1</v>
      </c>
      <c r="H27" s="3">
        <v>40000</v>
      </c>
      <c r="I27" s="2" t="s">
        <v>17</v>
      </c>
      <c r="J27" s="2" t="s">
        <v>18</v>
      </c>
      <c r="K27" s="2" t="s">
        <v>19</v>
      </c>
      <c r="L27">
        <v>15</v>
      </c>
      <c r="M27" s="3">
        <v>40000</v>
      </c>
    </row>
    <row r="28" spans="1:13" x14ac:dyDescent="0.25">
      <c r="A28">
        <v>3027</v>
      </c>
      <c r="B28" s="1">
        <v>45680</v>
      </c>
      <c r="C28" s="1" t="str">
        <f>TEXT(deepseek_csv_20260422_7f7afa[[#This Row],[OrderDate]], "dddd")</f>
        <v>Thursday</v>
      </c>
      <c r="D28" s="1" t="str">
        <f>TEXT(deepseek_csv_20260422_7f7afa[[#This Row],[OrderDate]], "mmmm")</f>
        <v>January</v>
      </c>
      <c r="E28" s="2" t="s">
        <v>20</v>
      </c>
      <c r="F28" s="2" t="s">
        <v>50</v>
      </c>
      <c r="G28">
        <v>2</v>
      </c>
      <c r="H28" s="3">
        <v>55000</v>
      </c>
      <c r="I28" s="2" t="s">
        <v>22</v>
      </c>
      <c r="J28" s="2" t="s">
        <v>23</v>
      </c>
      <c r="K28" s="2" t="s">
        <v>24</v>
      </c>
      <c r="L28">
        <v>0</v>
      </c>
      <c r="M28" s="3">
        <v>110000</v>
      </c>
    </row>
    <row r="29" spans="1:13" x14ac:dyDescent="0.25">
      <c r="A29">
        <v>3028</v>
      </c>
      <c r="B29" s="1">
        <v>45680</v>
      </c>
      <c r="C29" s="1" t="str">
        <f>TEXT(deepseek_csv_20260422_7f7afa[[#This Row],[OrderDate]], "dddd")</f>
        <v>Thursday</v>
      </c>
      <c r="D29" s="1" t="str">
        <f>TEXT(deepseek_csv_20260422_7f7afa[[#This Row],[OrderDate]], "mmmm")</f>
        <v>January</v>
      </c>
      <c r="E29" s="2" t="s">
        <v>10</v>
      </c>
      <c r="F29" s="2" t="s">
        <v>51</v>
      </c>
      <c r="G29">
        <v>3</v>
      </c>
      <c r="H29" s="3">
        <v>30000</v>
      </c>
      <c r="I29" s="2" t="s">
        <v>26</v>
      </c>
      <c r="J29" s="2" t="s">
        <v>27</v>
      </c>
      <c r="K29" s="2" t="s">
        <v>14</v>
      </c>
      <c r="L29">
        <v>0</v>
      </c>
      <c r="M29" s="3">
        <v>90000</v>
      </c>
    </row>
    <row r="30" spans="1:13" x14ac:dyDescent="0.25">
      <c r="A30">
        <v>3029</v>
      </c>
      <c r="B30" s="1">
        <v>45681</v>
      </c>
      <c r="C30" s="1" t="str">
        <f>TEXT(deepseek_csv_20260422_7f7afa[[#This Row],[OrderDate]], "dddd")</f>
        <v>Friday</v>
      </c>
      <c r="D30" s="1" t="str">
        <f>TEXT(deepseek_csv_20260422_7f7afa[[#This Row],[OrderDate]], "mmmm")</f>
        <v>January</v>
      </c>
      <c r="E30" s="2" t="s">
        <v>15</v>
      </c>
      <c r="F30" s="2" t="s">
        <v>52</v>
      </c>
      <c r="G30">
        <v>4</v>
      </c>
      <c r="H30" s="3">
        <v>12000</v>
      </c>
      <c r="I30" s="2" t="s">
        <v>12</v>
      </c>
      <c r="J30" s="2" t="s">
        <v>13</v>
      </c>
      <c r="K30" s="2" t="s">
        <v>19</v>
      </c>
      <c r="L30">
        <v>5</v>
      </c>
      <c r="M30" s="3">
        <v>48000</v>
      </c>
    </row>
    <row r="31" spans="1:13" x14ac:dyDescent="0.25">
      <c r="A31">
        <v>3030</v>
      </c>
      <c r="B31" s="1">
        <v>45681</v>
      </c>
      <c r="C31" s="1" t="str">
        <f>TEXT(deepseek_csv_20260422_7f7afa[[#This Row],[OrderDate]], "dddd")</f>
        <v>Friday</v>
      </c>
      <c r="D31" s="1" t="str">
        <f>TEXT(deepseek_csv_20260422_7f7afa[[#This Row],[OrderDate]], "mmmm")</f>
        <v>January</v>
      </c>
      <c r="E31" s="2" t="s">
        <v>20</v>
      </c>
      <c r="F31" s="2" t="s">
        <v>53</v>
      </c>
      <c r="G31">
        <v>2</v>
      </c>
      <c r="H31" s="3">
        <v>40000</v>
      </c>
      <c r="I31" s="2" t="s">
        <v>17</v>
      </c>
      <c r="J31" s="2" t="s">
        <v>18</v>
      </c>
      <c r="K31" s="2" t="s">
        <v>24</v>
      </c>
      <c r="L31">
        <v>0</v>
      </c>
      <c r="M31" s="3">
        <v>80000</v>
      </c>
    </row>
    <row r="32" spans="1:13" x14ac:dyDescent="0.25">
      <c r="A32">
        <v>3031</v>
      </c>
      <c r="B32" s="1">
        <v>45682</v>
      </c>
      <c r="C32" s="1" t="str">
        <f>TEXT(deepseek_csv_20260422_7f7afa[[#This Row],[OrderDate]], "dddd")</f>
        <v>Saturday</v>
      </c>
      <c r="D32" s="1" t="str">
        <f>TEXT(deepseek_csv_20260422_7f7afa[[#This Row],[OrderDate]], "mmmm")</f>
        <v>January</v>
      </c>
      <c r="E32" s="2" t="s">
        <v>10</v>
      </c>
      <c r="F32" s="2" t="s">
        <v>54</v>
      </c>
      <c r="G32">
        <v>2</v>
      </c>
      <c r="H32" s="3">
        <v>25000</v>
      </c>
      <c r="I32" s="2" t="s">
        <v>22</v>
      </c>
      <c r="J32" s="2" t="s">
        <v>23</v>
      </c>
      <c r="K32" s="2" t="s">
        <v>14</v>
      </c>
      <c r="L32">
        <v>0</v>
      </c>
      <c r="M32" s="3">
        <v>50000</v>
      </c>
    </row>
    <row r="33" spans="1:13" x14ac:dyDescent="0.25">
      <c r="A33">
        <v>3032</v>
      </c>
      <c r="B33" s="1">
        <v>45682</v>
      </c>
      <c r="C33" s="1" t="str">
        <f>TEXT(deepseek_csv_20260422_7f7afa[[#This Row],[OrderDate]], "dddd")</f>
        <v>Saturday</v>
      </c>
      <c r="D33" s="1" t="str">
        <f>TEXT(deepseek_csv_20260422_7f7afa[[#This Row],[OrderDate]], "mmmm")</f>
        <v>January</v>
      </c>
      <c r="E33" s="2" t="s">
        <v>15</v>
      </c>
      <c r="F33" s="2" t="s">
        <v>55</v>
      </c>
      <c r="G33">
        <v>3</v>
      </c>
      <c r="H33" s="3">
        <v>15000</v>
      </c>
      <c r="I33" s="2" t="s">
        <v>26</v>
      </c>
      <c r="J33" s="2" t="s">
        <v>27</v>
      </c>
      <c r="K33" s="2" t="s">
        <v>19</v>
      </c>
      <c r="L33">
        <v>10</v>
      </c>
      <c r="M33" s="3">
        <v>45000</v>
      </c>
    </row>
    <row r="34" spans="1:13" x14ac:dyDescent="0.25">
      <c r="A34">
        <v>3033</v>
      </c>
      <c r="B34" s="1">
        <v>45683</v>
      </c>
      <c r="C34" s="1" t="str">
        <f>TEXT(deepseek_csv_20260422_7f7afa[[#This Row],[OrderDate]], "dddd")</f>
        <v>Sunday</v>
      </c>
      <c r="D34" s="1" t="str">
        <f>TEXT(deepseek_csv_20260422_7f7afa[[#This Row],[OrderDate]], "mmmm")</f>
        <v>January</v>
      </c>
      <c r="E34" s="2" t="s">
        <v>20</v>
      </c>
      <c r="F34" s="2" t="s">
        <v>56</v>
      </c>
      <c r="G34">
        <v>2</v>
      </c>
      <c r="H34" s="3">
        <v>15000</v>
      </c>
      <c r="I34" s="2" t="s">
        <v>12</v>
      </c>
      <c r="J34" s="2" t="s">
        <v>13</v>
      </c>
      <c r="K34" s="2" t="s">
        <v>24</v>
      </c>
      <c r="L34">
        <v>0</v>
      </c>
      <c r="M34" s="3">
        <v>30000</v>
      </c>
    </row>
    <row r="35" spans="1:13" x14ac:dyDescent="0.25">
      <c r="A35">
        <v>3034</v>
      </c>
      <c r="B35" s="1">
        <v>45683</v>
      </c>
      <c r="C35" s="1" t="str">
        <f>TEXT(deepseek_csv_20260422_7f7afa[[#This Row],[OrderDate]], "dddd")</f>
        <v>Sunday</v>
      </c>
      <c r="D35" s="1" t="str">
        <f>TEXT(deepseek_csv_20260422_7f7afa[[#This Row],[OrderDate]], "mmmm")</f>
        <v>January</v>
      </c>
      <c r="E35" s="2" t="s">
        <v>10</v>
      </c>
      <c r="F35" s="2" t="s">
        <v>57</v>
      </c>
      <c r="G35">
        <v>2</v>
      </c>
      <c r="H35" s="3">
        <v>22000</v>
      </c>
      <c r="I35" s="2" t="s">
        <v>17</v>
      </c>
      <c r="J35" s="2" t="s">
        <v>18</v>
      </c>
      <c r="K35" s="2" t="s">
        <v>14</v>
      </c>
      <c r="L35">
        <v>0</v>
      </c>
      <c r="M35" s="3">
        <v>44000</v>
      </c>
    </row>
    <row r="36" spans="1:13" x14ac:dyDescent="0.25">
      <c r="A36">
        <v>3035</v>
      </c>
      <c r="B36" s="1">
        <v>45684</v>
      </c>
      <c r="C36" s="1" t="str">
        <f>TEXT(deepseek_csv_20260422_7f7afa[[#This Row],[OrderDate]], "dddd")</f>
        <v>Monday</v>
      </c>
      <c r="D36" s="1" t="str">
        <f>TEXT(deepseek_csv_20260422_7f7afa[[#This Row],[OrderDate]], "mmmm")</f>
        <v>January</v>
      </c>
      <c r="E36" s="2" t="s">
        <v>15</v>
      </c>
      <c r="F36" s="2" t="s">
        <v>58</v>
      </c>
      <c r="G36">
        <v>6</v>
      </c>
      <c r="H36" s="3">
        <v>8000</v>
      </c>
      <c r="I36" s="2" t="s">
        <v>22</v>
      </c>
      <c r="J36" s="2" t="s">
        <v>23</v>
      </c>
      <c r="K36" s="2" t="s">
        <v>19</v>
      </c>
      <c r="L36">
        <v>5</v>
      </c>
      <c r="M36" s="3">
        <v>48000</v>
      </c>
    </row>
    <row r="37" spans="1:13" x14ac:dyDescent="0.25">
      <c r="A37">
        <v>3036</v>
      </c>
      <c r="B37" s="1">
        <v>45684</v>
      </c>
      <c r="C37" s="1" t="str">
        <f>TEXT(deepseek_csv_20260422_7f7afa[[#This Row],[OrderDate]], "dddd")</f>
        <v>Monday</v>
      </c>
      <c r="D37" s="1" t="str">
        <f>TEXT(deepseek_csv_20260422_7f7afa[[#This Row],[OrderDate]], "mmmm")</f>
        <v>January</v>
      </c>
      <c r="E37" s="2" t="s">
        <v>20</v>
      </c>
      <c r="F37" s="2" t="s">
        <v>59</v>
      </c>
      <c r="G37">
        <v>3</v>
      </c>
      <c r="H37" s="3">
        <v>12000</v>
      </c>
      <c r="I37" s="2" t="s">
        <v>26</v>
      </c>
      <c r="J37" s="2" t="s">
        <v>27</v>
      </c>
      <c r="K37" s="2" t="s">
        <v>24</v>
      </c>
      <c r="L37">
        <v>0</v>
      </c>
      <c r="M37" s="3">
        <v>36000</v>
      </c>
    </row>
    <row r="38" spans="1:13" x14ac:dyDescent="0.25">
      <c r="A38">
        <v>3037</v>
      </c>
      <c r="B38" s="1">
        <v>45685</v>
      </c>
      <c r="C38" s="1" t="str">
        <f>TEXT(deepseek_csv_20260422_7f7afa[[#This Row],[OrderDate]], "dddd")</f>
        <v>Tuesday</v>
      </c>
      <c r="D38" s="1" t="str">
        <f>TEXT(deepseek_csv_20260422_7f7afa[[#This Row],[OrderDate]], "mmmm")</f>
        <v>January</v>
      </c>
      <c r="E38" s="2" t="s">
        <v>10</v>
      </c>
      <c r="F38" s="2" t="s">
        <v>60</v>
      </c>
      <c r="G38">
        <v>15</v>
      </c>
      <c r="H38" s="3">
        <v>2000</v>
      </c>
      <c r="I38" s="2" t="s">
        <v>12</v>
      </c>
      <c r="J38" s="2" t="s">
        <v>13</v>
      </c>
      <c r="K38" s="2" t="s">
        <v>14</v>
      </c>
      <c r="L38">
        <v>10</v>
      </c>
      <c r="M38" s="3">
        <v>30000</v>
      </c>
    </row>
    <row r="39" spans="1:13" x14ac:dyDescent="0.25">
      <c r="A39">
        <v>3038</v>
      </c>
      <c r="B39" s="1">
        <v>45685</v>
      </c>
      <c r="C39" s="1" t="str">
        <f>TEXT(deepseek_csv_20260422_7f7afa[[#This Row],[OrderDate]], "dddd")</f>
        <v>Tuesday</v>
      </c>
      <c r="D39" s="1" t="str">
        <f>TEXT(deepseek_csv_20260422_7f7afa[[#This Row],[OrderDate]], "mmmm")</f>
        <v>January</v>
      </c>
      <c r="E39" s="2" t="s">
        <v>15</v>
      </c>
      <c r="F39" s="2" t="s">
        <v>61</v>
      </c>
      <c r="G39">
        <v>5</v>
      </c>
      <c r="H39" s="3">
        <v>5000</v>
      </c>
      <c r="I39" s="2" t="s">
        <v>17</v>
      </c>
      <c r="J39" s="2" t="s">
        <v>18</v>
      </c>
      <c r="K39" s="2" t="s">
        <v>19</v>
      </c>
      <c r="L39">
        <v>0</v>
      </c>
      <c r="M39" s="3">
        <v>25000</v>
      </c>
    </row>
    <row r="40" spans="1:13" x14ac:dyDescent="0.25">
      <c r="A40">
        <v>3039</v>
      </c>
      <c r="B40" s="1">
        <v>45686</v>
      </c>
      <c r="C40" s="1" t="str">
        <f>TEXT(deepseek_csv_20260422_7f7afa[[#This Row],[OrderDate]], "dddd")</f>
        <v>Wednesday</v>
      </c>
      <c r="D40" s="1" t="str">
        <f>TEXT(deepseek_csv_20260422_7f7afa[[#This Row],[OrderDate]], "mmmm")</f>
        <v>January</v>
      </c>
      <c r="E40" s="2" t="s">
        <v>20</v>
      </c>
      <c r="F40" s="2" t="s">
        <v>62</v>
      </c>
      <c r="G40">
        <v>2</v>
      </c>
      <c r="H40" s="3">
        <v>25000</v>
      </c>
      <c r="I40" s="2" t="s">
        <v>22</v>
      </c>
      <c r="J40" s="2" t="s">
        <v>23</v>
      </c>
      <c r="K40" s="2" t="s">
        <v>24</v>
      </c>
      <c r="L40">
        <v>0</v>
      </c>
      <c r="M40" s="3">
        <v>50000</v>
      </c>
    </row>
    <row r="41" spans="1:13" x14ac:dyDescent="0.25">
      <c r="A41">
        <v>3040</v>
      </c>
      <c r="B41" s="1">
        <v>45686</v>
      </c>
      <c r="C41" s="1" t="str">
        <f>TEXT(deepseek_csv_20260422_7f7afa[[#This Row],[OrderDate]], "dddd")</f>
        <v>Wednesday</v>
      </c>
      <c r="D41" s="1" t="str">
        <f>TEXT(deepseek_csv_20260422_7f7afa[[#This Row],[OrderDate]], "mmmm")</f>
        <v>January</v>
      </c>
      <c r="E41" s="2" t="s">
        <v>10</v>
      </c>
      <c r="F41" s="2" t="s">
        <v>63</v>
      </c>
      <c r="G41">
        <v>8</v>
      </c>
      <c r="H41" s="3">
        <v>8000</v>
      </c>
      <c r="I41" s="2" t="s">
        <v>26</v>
      </c>
      <c r="J41" s="2" t="s">
        <v>27</v>
      </c>
      <c r="K41" s="2" t="s">
        <v>14</v>
      </c>
      <c r="L41">
        <v>5</v>
      </c>
      <c r="M41" s="3">
        <v>64000</v>
      </c>
    </row>
    <row r="42" spans="1:13" x14ac:dyDescent="0.25">
      <c r="A42">
        <v>3041</v>
      </c>
      <c r="B42" s="1">
        <v>45687</v>
      </c>
      <c r="C42" s="1" t="str">
        <f>TEXT(deepseek_csv_20260422_7f7afa[[#This Row],[OrderDate]], "dddd")</f>
        <v>Thursday</v>
      </c>
      <c r="D42" s="1" t="str">
        <f>TEXT(deepseek_csv_20260422_7f7afa[[#This Row],[OrderDate]], "mmmm")</f>
        <v>January</v>
      </c>
      <c r="E42" s="2" t="s">
        <v>15</v>
      </c>
      <c r="F42" s="2" t="s">
        <v>64</v>
      </c>
      <c r="G42">
        <v>7</v>
      </c>
      <c r="H42" s="3">
        <v>3000</v>
      </c>
      <c r="I42" s="2" t="s">
        <v>12</v>
      </c>
      <c r="J42" s="2" t="s">
        <v>13</v>
      </c>
      <c r="K42" s="2" t="s">
        <v>19</v>
      </c>
      <c r="L42">
        <v>0</v>
      </c>
      <c r="M42" s="3">
        <v>21000</v>
      </c>
    </row>
    <row r="43" spans="1:13" x14ac:dyDescent="0.25">
      <c r="A43">
        <v>3042</v>
      </c>
      <c r="B43" s="1">
        <v>45687</v>
      </c>
      <c r="C43" s="1" t="str">
        <f>TEXT(deepseek_csv_20260422_7f7afa[[#This Row],[OrderDate]], "dddd")</f>
        <v>Thursday</v>
      </c>
      <c r="D43" s="1" t="str">
        <f>TEXT(deepseek_csv_20260422_7f7afa[[#This Row],[OrderDate]], "mmmm")</f>
        <v>January</v>
      </c>
      <c r="E43" s="2" t="s">
        <v>20</v>
      </c>
      <c r="F43" s="2" t="s">
        <v>65</v>
      </c>
      <c r="G43">
        <v>2</v>
      </c>
      <c r="H43" s="3">
        <v>18000</v>
      </c>
      <c r="I43" s="2" t="s">
        <v>17</v>
      </c>
      <c r="J43" s="2" t="s">
        <v>18</v>
      </c>
      <c r="K43" s="2" t="s">
        <v>24</v>
      </c>
      <c r="L43">
        <v>0</v>
      </c>
      <c r="M43" s="3">
        <v>36000</v>
      </c>
    </row>
    <row r="44" spans="1:13" x14ac:dyDescent="0.25">
      <c r="A44">
        <v>3043</v>
      </c>
      <c r="B44" s="1">
        <v>45688</v>
      </c>
      <c r="C44" s="1" t="str">
        <f>TEXT(deepseek_csv_20260422_7f7afa[[#This Row],[OrderDate]], "dddd")</f>
        <v>Friday</v>
      </c>
      <c r="D44" s="1" t="str">
        <f>TEXT(deepseek_csv_20260422_7f7afa[[#This Row],[OrderDate]], "mmmm")</f>
        <v>January</v>
      </c>
      <c r="E44" s="2" t="s">
        <v>10</v>
      </c>
      <c r="F44" s="2" t="s">
        <v>66</v>
      </c>
      <c r="G44">
        <v>3</v>
      </c>
      <c r="H44" s="3">
        <v>15000</v>
      </c>
      <c r="I44" s="2" t="s">
        <v>22</v>
      </c>
      <c r="J44" s="2" t="s">
        <v>23</v>
      </c>
      <c r="K44" s="2" t="s">
        <v>14</v>
      </c>
      <c r="L44">
        <v>10</v>
      </c>
      <c r="M44" s="3">
        <v>45000</v>
      </c>
    </row>
    <row r="45" spans="1:13" x14ac:dyDescent="0.25">
      <c r="A45">
        <v>3044</v>
      </c>
      <c r="B45" s="1">
        <v>45688</v>
      </c>
      <c r="C45" s="1" t="str">
        <f>TEXT(deepseek_csv_20260422_7f7afa[[#This Row],[OrderDate]], "dddd")</f>
        <v>Friday</v>
      </c>
      <c r="D45" s="1" t="str">
        <f>TEXT(deepseek_csv_20260422_7f7afa[[#This Row],[OrderDate]], "mmmm")</f>
        <v>January</v>
      </c>
      <c r="E45" s="2" t="s">
        <v>15</v>
      </c>
      <c r="F45" s="2" t="s">
        <v>67</v>
      </c>
      <c r="G45">
        <v>6</v>
      </c>
      <c r="H45" s="3">
        <v>4000</v>
      </c>
      <c r="I45" s="2" t="s">
        <v>26</v>
      </c>
      <c r="J45" s="2" t="s">
        <v>27</v>
      </c>
      <c r="K45" s="2" t="s">
        <v>19</v>
      </c>
      <c r="L45">
        <v>0</v>
      </c>
      <c r="M45" s="3">
        <v>24000</v>
      </c>
    </row>
    <row r="46" spans="1:13" x14ac:dyDescent="0.25">
      <c r="A46">
        <v>3045</v>
      </c>
      <c r="B46" s="1">
        <v>45689</v>
      </c>
      <c r="C46" s="1" t="str">
        <f>TEXT(deepseek_csv_20260422_7f7afa[[#This Row],[OrderDate]], "dddd")</f>
        <v>Saturday</v>
      </c>
      <c r="D46" s="1" t="str">
        <f>TEXT(deepseek_csv_20260422_7f7afa[[#This Row],[OrderDate]], "mmmm")</f>
        <v>February</v>
      </c>
      <c r="E46" s="2" t="s">
        <v>20</v>
      </c>
      <c r="F46" s="2" t="s">
        <v>68</v>
      </c>
      <c r="G46">
        <v>2</v>
      </c>
      <c r="H46" s="3">
        <v>10000</v>
      </c>
      <c r="I46" s="2" t="s">
        <v>12</v>
      </c>
      <c r="J46" s="2" t="s">
        <v>13</v>
      </c>
      <c r="K46" s="2" t="s">
        <v>24</v>
      </c>
      <c r="L46">
        <v>5</v>
      </c>
      <c r="M46" s="3">
        <v>20000</v>
      </c>
    </row>
    <row r="47" spans="1:13" x14ac:dyDescent="0.25">
      <c r="A47">
        <v>3046</v>
      </c>
      <c r="B47" s="1">
        <v>45689</v>
      </c>
      <c r="C47" s="1" t="str">
        <f>TEXT(deepseek_csv_20260422_7f7afa[[#This Row],[OrderDate]], "dddd")</f>
        <v>Saturday</v>
      </c>
      <c r="D47" s="1" t="str">
        <f>TEXT(deepseek_csv_20260422_7f7afa[[#This Row],[OrderDate]], "mmmm")</f>
        <v>February</v>
      </c>
      <c r="E47" s="2" t="s">
        <v>10</v>
      </c>
      <c r="F47" s="2" t="s">
        <v>69</v>
      </c>
      <c r="G47">
        <v>1</v>
      </c>
      <c r="H47" s="3">
        <v>55000</v>
      </c>
      <c r="I47" s="2" t="s">
        <v>17</v>
      </c>
      <c r="J47" s="2" t="s">
        <v>18</v>
      </c>
      <c r="K47" s="2" t="s">
        <v>14</v>
      </c>
      <c r="L47">
        <v>0</v>
      </c>
      <c r="M47" s="3">
        <v>55000</v>
      </c>
    </row>
    <row r="48" spans="1:13" x14ac:dyDescent="0.25">
      <c r="A48">
        <v>3047</v>
      </c>
      <c r="B48" s="1">
        <v>45690</v>
      </c>
      <c r="C48" s="1" t="str">
        <f>TEXT(deepseek_csv_20260422_7f7afa[[#This Row],[OrderDate]], "dddd")</f>
        <v>Sunday</v>
      </c>
      <c r="D48" s="1" t="str">
        <f>TEXT(deepseek_csv_20260422_7f7afa[[#This Row],[OrderDate]], "mmmm")</f>
        <v>February</v>
      </c>
      <c r="E48" s="2" t="s">
        <v>15</v>
      </c>
      <c r="F48" s="2" t="s">
        <v>70</v>
      </c>
      <c r="G48">
        <v>6</v>
      </c>
      <c r="H48" s="3">
        <v>6000</v>
      </c>
      <c r="I48" s="2" t="s">
        <v>22</v>
      </c>
      <c r="J48" s="2" t="s">
        <v>23</v>
      </c>
      <c r="K48" s="2" t="s">
        <v>19</v>
      </c>
      <c r="L48">
        <v>0</v>
      </c>
      <c r="M48" s="3">
        <v>36000</v>
      </c>
    </row>
    <row r="49" spans="1:13" x14ac:dyDescent="0.25">
      <c r="A49">
        <v>3048</v>
      </c>
      <c r="B49" s="1">
        <v>45690</v>
      </c>
      <c r="C49" s="1" t="str">
        <f>TEXT(deepseek_csv_20260422_7f7afa[[#This Row],[OrderDate]], "dddd")</f>
        <v>Sunday</v>
      </c>
      <c r="D49" s="1" t="str">
        <f>TEXT(deepseek_csv_20260422_7f7afa[[#This Row],[OrderDate]], "mmmm")</f>
        <v>February</v>
      </c>
      <c r="E49" s="2" t="s">
        <v>20</v>
      </c>
      <c r="F49" s="2" t="s">
        <v>71</v>
      </c>
      <c r="G49">
        <v>1</v>
      </c>
      <c r="H49" s="3">
        <v>35000</v>
      </c>
      <c r="I49" s="2" t="s">
        <v>26</v>
      </c>
      <c r="J49" s="2" t="s">
        <v>27</v>
      </c>
      <c r="K49" s="2" t="s">
        <v>24</v>
      </c>
      <c r="L49">
        <v>10</v>
      </c>
      <c r="M49" s="3">
        <v>35000</v>
      </c>
    </row>
    <row r="50" spans="1:13" x14ac:dyDescent="0.25">
      <c r="A50">
        <v>3049</v>
      </c>
      <c r="B50" s="1">
        <v>45691</v>
      </c>
      <c r="C50" s="1" t="str">
        <f>TEXT(deepseek_csv_20260422_7f7afa[[#This Row],[OrderDate]], "dddd")</f>
        <v>Monday</v>
      </c>
      <c r="D50" s="1" t="str">
        <f>TEXT(deepseek_csv_20260422_7f7afa[[#This Row],[OrderDate]], "mmmm")</f>
        <v>February</v>
      </c>
      <c r="E50" s="2" t="s">
        <v>10</v>
      </c>
      <c r="F50" s="2" t="s">
        <v>72</v>
      </c>
      <c r="G50">
        <v>2</v>
      </c>
      <c r="H50" s="3">
        <v>20000</v>
      </c>
      <c r="I50" s="2" t="s">
        <v>12</v>
      </c>
      <c r="J50" s="2" t="s">
        <v>13</v>
      </c>
      <c r="K50" s="2" t="s">
        <v>14</v>
      </c>
      <c r="L50">
        <v>0</v>
      </c>
      <c r="M50" s="3">
        <v>40000</v>
      </c>
    </row>
    <row r="51" spans="1:13" x14ac:dyDescent="0.25">
      <c r="A51">
        <v>3050</v>
      </c>
      <c r="B51" s="1">
        <v>45691</v>
      </c>
      <c r="C51" s="1" t="str">
        <f>TEXT(deepseek_csv_20260422_7f7afa[[#This Row],[OrderDate]], "dddd")</f>
        <v>Monday</v>
      </c>
      <c r="D51" s="1" t="str">
        <f>TEXT(deepseek_csv_20260422_7f7afa[[#This Row],[OrderDate]], "mmmm")</f>
        <v>February</v>
      </c>
      <c r="E51" s="2" t="s">
        <v>15</v>
      </c>
      <c r="F51" s="2" t="s">
        <v>73</v>
      </c>
      <c r="G51">
        <v>5</v>
      </c>
      <c r="H51" s="3">
        <v>7000</v>
      </c>
      <c r="I51" s="2" t="s">
        <v>17</v>
      </c>
      <c r="J51" s="2" t="s">
        <v>18</v>
      </c>
      <c r="K51" s="2" t="s">
        <v>19</v>
      </c>
      <c r="L51">
        <v>0</v>
      </c>
      <c r="M51" s="3">
        <v>35000</v>
      </c>
    </row>
    <row r="52" spans="1:13" x14ac:dyDescent="0.25">
      <c r="A52">
        <v>3051</v>
      </c>
      <c r="B52" s="1">
        <v>45692</v>
      </c>
      <c r="C52" s="1" t="str">
        <f>TEXT(deepseek_csv_20260422_7f7afa[[#This Row],[OrderDate]], "dddd")</f>
        <v>Tuesday</v>
      </c>
      <c r="D52" s="1" t="str">
        <f>TEXT(deepseek_csv_20260422_7f7afa[[#This Row],[OrderDate]], "mmmm")</f>
        <v>February</v>
      </c>
      <c r="E52" s="2" t="s">
        <v>20</v>
      </c>
      <c r="F52" s="2" t="s">
        <v>74</v>
      </c>
      <c r="G52">
        <v>3</v>
      </c>
      <c r="H52" s="3">
        <v>25000</v>
      </c>
      <c r="I52" s="2" t="s">
        <v>22</v>
      </c>
      <c r="J52" s="2" t="s">
        <v>23</v>
      </c>
      <c r="K52" s="2" t="s">
        <v>24</v>
      </c>
      <c r="L52">
        <v>5</v>
      </c>
      <c r="M52" s="3">
        <v>75000</v>
      </c>
    </row>
    <row r="53" spans="1:13" x14ac:dyDescent="0.25">
      <c r="A53">
        <v>3052</v>
      </c>
      <c r="B53" s="1">
        <v>45692</v>
      </c>
      <c r="C53" s="1" t="str">
        <f>TEXT(deepseek_csv_20260422_7f7afa[[#This Row],[OrderDate]], "dddd")</f>
        <v>Tuesday</v>
      </c>
      <c r="D53" s="1" t="str">
        <f>TEXT(deepseek_csv_20260422_7f7afa[[#This Row],[OrderDate]], "mmmm")</f>
        <v>February</v>
      </c>
      <c r="E53" s="2" t="s">
        <v>10</v>
      </c>
      <c r="F53" s="2" t="s">
        <v>75</v>
      </c>
      <c r="G53">
        <v>1</v>
      </c>
      <c r="H53" s="3">
        <v>180000</v>
      </c>
      <c r="I53" s="2" t="s">
        <v>26</v>
      </c>
      <c r="J53" s="2" t="s">
        <v>27</v>
      </c>
      <c r="K53" s="2" t="s">
        <v>14</v>
      </c>
      <c r="L53">
        <v>0</v>
      </c>
      <c r="M53" s="3">
        <v>180000</v>
      </c>
    </row>
    <row r="54" spans="1:13" x14ac:dyDescent="0.25">
      <c r="A54">
        <v>3053</v>
      </c>
      <c r="B54" s="1">
        <v>45693</v>
      </c>
      <c r="C54" s="1" t="str">
        <f>TEXT(deepseek_csv_20260422_7f7afa[[#This Row],[OrderDate]], "dddd")</f>
        <v>Wednesday</v>
      </c>
      <c r="D54" s="1" t="str">
        <f>TEXT(deepseek_csv_20260422_7f7afa[[#This Row],[OrderDate]], "mmmm")</f>
        <v>February</v>
      </c>
      <c r="E54" s="2" t="s">
        <v>15</v>
      </c>
      <c r="F54" s="2" t="s">
        <v>76</v>
      </c>
      <c r="G54">
        <v>8</v>
      </c>
      <c r="H54" s="3">
        <v>5000</v>
      </c>
      <c r="I54" s="2" t="s">
        <v>12</v>
      </c>
      <c r="J54" s="2" t="s">
        <v>13</v>
      </c>
      <c r="K54" s="2" t="s">
        <v>19</v>
      </c>
      <c r="L54">
        <v>10</v>
      </c>
      <c r="M54" s="3">
        <v>40000</v>
      </c>
    </row>
    <row r="55" spans="1:13" x14ac:dyDescent="0.25">
      <c r="A55">
        <v>3054</v>
      </c>
      <c r="B55" s="1">
        <v>45693</v>
      </c>
      <c r="C55" s="1" t="str">
        <f>TEXT(deepseek_csv_20260422_7f7afa[[#This Row],[OrderDate]], "dddd")</f>
        <v>Wednesday</v>
      </c>
      <c r="D55" s="1" t="str">
        <f>TEXT(deepseek_csv_20260422_7f7afa[[#This Row],[OrderDate]], "mmmm")</f>
        <v>February</v>
      </c>
      <c r="E55" s="2" t="s">
        <v>20</v>
      </c>
      <c r="F55" s="2" t="s">
        <v>77</v>
      </c>
      <c r="G55">
        <v>3</v>
      </c>
      <c r="H55" s="3">
        <v>12000</v>
      </c>
      <c r="I55" s="2" t="s">
        <v>17</v>
      </c>
      <c r="J55" s="2" t="s">
        <v>18</v>
      </c>
      <c r="K55" s="2" t="s">
        <v>24</v>
      </c>
      <c r="L55">
        <v>0</v>
      </c>
      <c r="M55" s="3">
        <v>36000</v>
      </c>
    </row>
    <row r="56" spans="1:13" x14ac:dyDescent="0.25">
      <c r="A56">
        <v>3055</v>
      </c>
      <c r="B56" s="1">
        <v>45694</v>
      </c>
      <c r="C56" s="1" t="str">
        <f>TEXT(deepseek_csv_20260422_7f7afa[[#This Row],[OrderDate]], "dddd")</f>
        <v>Thursday</v>
      </c>
      <c r="D56" s="1" t="str">
        <f>TEXT(deepseek_csv_20260422_7f7afa[[#This Row],[OrderDate]], "mmmm")</f>
        <v>February</v>
      </c>
      <c r="E56" s="2" t="s">
        <v>10</v>
      </c>
      <c r="F56" s="2" t="s">
        <v>78</v>
      </c>
      <c r="G56">
        <v>4</v>
      </c>
      <c r="H56" s="3">
        <v>15000</v>
      </c>
      <c r="I56" s="2" t="s">
        <v>22</v>
      </c>
      <c r="J56" s="2" t="s">
        <v>23</v>
      </c>
      <c r="K56" s="2" t="s">
        <v>14</v>
      </c>
      <c r="L56">
        <v>0</v>
      </c>
      <c r="M56" s="3">
        <v>60000</v>
      </c>
    </row>
    <row r="57" spans="1:13" x14ac:dyDescent="0.25">
      <c r="A57">
        <v>3056</v>
      </c>
      <c r="B57" s="1">
        <v>45694</v>
      </c>
      <c r="C57" s="1" t="str">
        <f>TEXT(deepseek_csv_20260422_7f7afa[[#This Row],[OrderDate]], "dddd")</f>
        <v>Thursday</v>
      </c>
      <c r="D57" s="1" t="str">
        <f>TEXT(deepseek_csv_20260422_7f7afa[[#This Row],[OrderDate]], "mmmm")</f>
        <v>February</v>
      </c>
      <c r="E57" s="2" t="s">
        <v>15</v>
      </c>
      <c r="F57" s="2" t="s">
        <v>79</v>
      </c>
      <c r="G57">
        <v>12</v>
      </c>
      <c r="H57" s="3">
        <v>2000</v>
      </c>
      <c r="I57" s="2" t="s">
        <v>26</v>
      </c>
      <c r="J57" s="2" t="s">
        <v>27</v>
      </c>
      <c r="K57" s="2" t="s">
        <v>19</v>
      </c>
      <c r="L57">
        <v>5</v>
      </c>
      <c r="M57" s="3">
        <v>24000</v>
      </c>
    </row>
    <row r="58" spans="1:13" x14ac:dyDescent="0.25">
      <c r="A58">
        <v>3057</v>
      </c>
      <c r="B58" s="1">
        <v>45695</v>
      </c>
      <c r="C58" s="1" t="str">
        <f>TEXT(deepseek_csv_20260422_7f7afa[[#This Row],[OrderDate]], "dddd")</f>
        <v>Friday</v>
      </c>
      <c r="D58" s="1" t="str">
        <f>TEXT(deepseek_csv_20260422_7f7afa[[#This Row],[OrderDate]], "mmmm")</f>
        <v>February</v>
      </c>
      <c r="E58" s="2" t="s">
        <v>20</v>
      </c>
      <c r="F58" s="2" t="s">
        <v>80</v>
      </c>
      <c r="G58">
        <v>3</v>
      </c>
      <c r="H58" s="3">
        <v>8000</v>
      </c>
      <c r="I58" s="2" t="s">
        <v>12</v>
      </c>
      <c r="J58" s="2" t="s">
        <v>13</v>
      </c>
      <c r="K58" s="2" t="s">
        <v>24</v>
      </c>
      <c r="L58">
        <v>0</v>
      </c>
      <c r="M58" s="3">
        <v>24000</v>
      </c>
    </row>
    <row r="59" spans="1:13" x14ac:dyDescent="0.25">
      <c r="A59">
        <v>3058</v>
      </c>
      <c r="B59" s="1">
        <v>45695</v>
      </c>
      <c r="C59" s="1" t="str">
        <f>TEXT(deepseek_csv_20260422_7f7afa[[#This Row],[OrderDate]], "dddd")</f>
        <v>Friday</v>
      </c>
      <c r="D59" s="1" t="str">
        <f>TEXT(deepseek_csv_20260422_7f7afa[[#This Row],[OrderDate]], "mmmm")</f>
        <v>February</v>
      </c>
      <c r="E59" s="2" t="s">
        <v>10</v>
      </c>
      <c r="F59" s="2" t="s">
        <v>81</v>
      </c>
      <c r="G59">
        <v>1</v>
      </c>
      <c r="H59" s="3">
        <v>45000</v>
      </c>
      <c r="I59" s="2" t="s">
        <v>17</v>
      </c>
      <c r="J59" s="2" t="s">
        <v>18</v>
      </c>
      <c r="K59" s="2" t="s">
        <v>14</v>
      </c>
      <c r="L59">
        <v>0</v>
      </c>
      <c r="M59" s="3">
        <v>45000</v>
      </c>
    </row>
    <row r="60" spans="1:13" x14ac:dyDescent="0.25">
      <c r="A60">
        <v>3059</v>
      </c>
      <c r="B60" s="1">
        <v>45696</v>
      </c>
      <c r="C60" s="1" t="str">
        <f>TEXT(deepseek_csv_20260422_7f7afa[[#This Row],[OrderDate]], "dddd")</f>
        <v>Saturday</v>
      </c>
      <c r="D60" s="1" t="str">
        <f>TEXT(deepseek_csv_20260422_7f7afa[[#This Row],[OrderDate]], "mmmm")</f>
        <v>February</v>
      </c>
      <c r="E60" s="2" t="s">
        <v>15</v>
      </c>
      <c r="F60" s="2" t="s">
        <v>82</v>
      </c>
      <c r="G60">
        <v>6</v>
      </c>
      <c r="H60" s="3">
        <v>8000</v>
      </c>
      <c r="I60" s="2" t="s">
        <v>22</v>
      </c>
      <c r="J60" s="2" t="s">
        <v>23</v>
      </c>
      <c r="K60" s="2" t="s">
        <v>19</v>
      </c>
      <c r="L60">
        <v>5</v>
      </c>
      <c r="M60" s="3">
        <v>48000</v>
      </c>
    </row>
    <row r="61" spans="1:13" x14ac:dyDescent="0.25">
      <c r="A61">
        <v>3060</v>
      </c>
      <c r="B61" s="1">
        <v>45696</v>
      </c>
      <c r="C61" s="1" t="str">
        <f>TEXT(deepseek_csv_20260422_7f7afa[[#This Row],[OrderDate]], "dddd")</f>
        <v>Saturday</v>
      </c>
      <c r="D61" s="1" t="str">
        <f>TEXT(deepseek_csv_20260422_7f7afa[[#This Row],[OrderDate]], "mmmm")</f>
        <v>February</v>
      </c>
      <c r="E61" s="2" t="s">
        <v>20</v>
      </c>
      <c r="F61" s="2" t="s">
        <v>83</v>
      </c>
      <c r="G61">
        <v>4</v>
      </c>
      <c r="H61" s="3">
        <v>20000</v>
      </c>
      <c r="I61" s="2" t="s">
        <v>26</v>
      </c>
      <c r="J61" s="2" t="s">
        <v>27</v>
      </c>
      <c r="K61" s="2" t="s">
        <v>24</v>
      </c>
      <c r="L61">
        <v>0</v>
      </c>
      <c r="M61" s="3">
        <v>80000</v>
      </c>
    </row>
    <row r="62" spans="1:13" x14ac:dyDescent="0.25">
      <c r="A62">
        <v>3061</v>
      </c>
      <c r="B62" s="1">
        <v>45697</v>
      </c>
      <c r="C62" s="1" t="str">
        <f>TEXT(deepseek_csv_20260422_7f7afa[[#This Row],[OrderDate]], "dddd")</f>
        <v>Sunday</v>
      </c>
      <c r="D62" s="1" t="str">
        <f>TEXT(deepseek_csv_20260422_7f7afa[[#This Row],[OrderDate]], "mmmm")</f>
        <v>February</v>
      </c>
      <c r="E62" s="2" t="s">
        <v>10</v>
      </c>
      <c r="F62" s="2" t="s">
        <v>84</v>
      </c>
      <c r="G62">
        <v>5</v>
      </c>
      <c r="H62" s="3">
        <v>8000</v>
      </c>
      <c r="I62" s="2" t="s">
        <v>12</v>
      </c>
      <c r="J62" s="2" t="s">
        <v>13</v>
      </c>
      <c r="K62" s="2" t="s">
        <v>14</v>
      </c>
      <c r="L62">
        <v>10</v>
      </c>
      <c r="M62" s="3">
        <v>40000</v>
      </c>
    </row>
    <row r="63" spans="1:13" x14ac:dyDescent="0.25">
      <c r="A63">
        <v>3062</v>
      </c>
      <c r="B63" s="1">
        <v>45697</v>
      </c>
      <c r="C63" s="1" t="str">
        <f>TEXT(deepseek_csv_20260422_7f7afa[[#This Row],[OrderDate]], "dddd")</f>
        <v>Sunday</v>
      </c>
      <c r="D63" s="1" t="str">
        <f>TEXT(deepseek_csv_20260422_7f7afa[[#This Row],[OrderDate]], "mmmm")</f>
        <v>February</v>
      </c>
      <c r="E63" s="2" t="s">
        <v>15</v>
      </c>
      <c r="F63" s="2" t="s">
        <v>85</v>
      </c>
      <c r="G63">
        <v>8</v>
      </c>
      <c r="H63" s="3">
        <v>4000</v>
      </c>
      <c r="I63" s="2" t="s">
        <v>17</v>
      </c>
      <c r="J63" s="2" t="s">
        <v>18</v>
      </c>
      <c r="K63" s="2" t="s">
        <v>19</v>
      </c>
      <c r="L63">
        <v>0</v>
      </c>
      <c r="M63" s="3">
        <v>32000</v>
      </c>
    </row>
    <row r="64" spans="1:13" x14ac:dyDescent="0.25">
      <c r="A64">
        <v>3063</v>
      </c>
      <c r="B64" s="1">
        <v>45698</v>
      </c>
      <c r="C64" s="1" t="str">
        <f>TEXT(deepseek_csv_20260422_7f7afa[[#This Row],[OrderDate]], "dddd")</f>
        <v>Monday</v>
      </c>
      <c r="D64" s="1" t="str">
        <f>TEXT(deepseek_csv_20260422_7f7afa[[#This Row],[OrderDate]], "mmmm")</f>
        <v>February</v>
      </c>
      <c r="E64" s="2" t="s">
        <v>20</v>
      </c>
      <c r="F64" s="2" t="s">
        <v>86</v>
      </c>
      <c r="G64">
        <v>2</v>
      </c>
      <c r="H64" s="3">
        <v>45000</v>
      </c>
      <c r="I64" s="2" t="s">
        <v>22</v>
      </c>
      <c r="J64" s="2" t="s">
        <v>23</v>
      </c>
      <c r="K64" s="2" t="s">
        <v>24</v>
      </c>
      <c r="L64">
        <v>0</v>
      </c>
      <c r="M64" s="3">
        <v>90000</v>
      </c>
    </row>
    <row r="65" spans="1:13" x14ac:dyDescent="0.25">
      <c r="A65">
        <v>3064</v>
      </c>
      <c r="B65" s="1">
        <v>45698</v>
      </c>
      <c r="C65" s="1" t="str">
        <f>TEXT(deepseek_csv_20260422_7f7afa[[#This Row],[OrderDate]], "dddd")</f>
        <v>Monday</v>
      </c>
      <c r="D65" s="1" t="str">
        <f>TEXT(deepseek_csv_20260422_7f7afa[[#This Row],[OrderDate]], "mmmm")</f>
        <v>February</v>
      </c>
      <c r="E65" s="2" t="s">
        <v>10</v>
      </c>
      <c r="F65" s="2" t="s">
        <v>87</v>
      </c>
      <c r="G65">
        <v>2</v>
      </c>
      <c r="H65" s="3">
        <v>25000</v>
      </c>
      <c r="I65" s="2" t="s">
        <v>26</v>
      </c>
      <c r="J65" s="2" t="s">
        <v>27</v>
      </c>
      <c r="K65" s="2" t="s">
        <v>14</v>
      </c>
      <c r="L65">
        <v>5</v>
      </c>
      <c r="M65" s="3">
        <v>50000</v>
      </c>
    </row>
    <row r="66" spans="1:13" x14ac:dyDescent="0.25">
      <c r="A66">
        <v>3065</v>
      </c>
      <c r="B66" s="1">
        <v>45699</v>
      </c>
      <c r="C66" s="1" t="str">
        <f>TEXT(deepseek_csv_20260422_7f7afa[[#This Row],[OrderDate]], "dddd")</f>
        <v>Tuesday</v>
      </c>
      <c r="D66" s="1" t="str">
        <f>TEXT(deepseek_csv_20260422_7f7afa[[#This Row],[OrderDate]], "mmmm")</f>
        <v>February</v>
      </c>
      <c r="E66" s="2" t="s">
        <v>15</v>
      </c>
      <c r="F66" s="2" t="s">
        <v>88</v>
      </c>
      <c r="G66">
        <v>1</v>
      </c>
      <c r="H66" s="3">
        <v>35000</v>
      </c>
      <c r="I66" s="2" t="s">
        <v>12</v>
      </c>
      <c r="J66" s="2" t="s">
        <v>13</v>
      </c>
      <c r="K66" s="2" t="s">
        <v>19</v>
      </c>
      <c r="L66">
        <v>0</v>
      </c>
      <c r="M66" s="3">
        <v>35000</v>
      </c>
    </row>
    <row r="67" spans="1:13" x14ac:dyDescent="0.25">
      <c r="A67">
        <v>3066</v>
      </c>
      <c r="B67" s="1">
        <v>45699</v>
      </c>
      <c r="C67" s="1" t="str">
        <f>TEXT(deepseek_csv_20260422_7f7afa[[#This Row],[OrderDate]], "dddd")</f>
        <v>Tuesday</v>
      </c>
      <c r="D67" s="1" t="str">
        <f>TEXT(deepseek_csv_20260422_7f7afa[[#This Row],[OrderDate]], "mmmm")</f>
        <v>February</v>
      </c>
      <c r="E67" s="2" t="s">
        <v>20</v>
      </c>
      <c r="F67" s="2" t="s">
        <v>89</v>
      </c>
      <c r="G67">
        <v>1</v>
      </c>
      <c r="H67" s="3">
        <v>65000</v>
      </c>
      <c r="I67" s="2" t="s">
        <v>17</v>
      </c>
      <c r="J67" s="2" t="s">
        <v>18</v>
      </c>
      <c r="K67" s="2" t="s">
        <v>24</v>
      </c>
      <c r="L67">
        <v>15</v>
      </c>
      <c r="M67" s="3">
        <v>65000</v>
      </c>
    </row>
    <row r="68" spans="1:13" x14ac:dyDescent="0.25">
      <c r="A68">
        <v>3067</v>
      </c>
      <c r="B68" s="1">
        <v>45700</v>
      </c>
      <c r="C68" s="1" t="str">
        <f>TEXT(deepseek_csv_20260422_7f7afa[[#This Row],[OrderDate]], "dddd")</f>
        <v>Wednesday</v>
      </c>
      <c r="D68" s="1" t="str">
        <f>TEXT(deepseek_csv_20260422_7f7afa[[#This Row],[OrderDate]], "mmmm")</f>
        <v>February</v>
      </c>
      <c r="E68" s="2" t="s">
        <v>10</v>
      </c>
      <c r="F68" s="2" t="s">
        <v>90</v>
      </c>
      <c r="G68">
        <v>1</v>
      </c>
      <c r="H68" s="3">
        <v>250000</v>
      </c>
      <c r="I68" s="2" t="s">
        <v>22</v>
      </c>
      <c r="J68" s="2" t="s">
        <v>23</v>
      </c>
      <c r="K68" s="2" t="s">
        <v>14</v>
      </c>
      <c r="L68">
        <v>0</v>
      </c>
      <c r="M68" s="3">
        <v>250000</v>
      </c>
    </row>
    <row r="69" spans="1:13" x14ac:dyDescent="0.25">
      <c r="A69">
        <v>3068</v>
      </c>
      <c r="B69" s="1">
        <v>45700</v>
      </c>
      <c r="C69" s="1" t="str">
        <f>TEXT(deepseek_csv_20260422_7f7afa[[#This Row],[OrderDate]], "dddd")</f>
        <v>Wednesday</v>
      </c>
      <c r="D69" s="1" t="str">
        <f>TEXT(deepseek_csv_20260422_7f7afa[[#This Row],[OrderDate]], "mmmm")</f>
        <v>February</v>
      </c>
      <c r="E69" s="2" t="s">
        <v>15</v>
      </c>
      <c r="F69" s="2" t="s">
        <v>91</v>
      </c>
      <c r="G69">
        <v>4</v>
      </c>
      <c r="H69" s="3">
        <v>10000</v>
      </c>
      <c r="I69" s="2" t="s">
        <v>26</v>
      </c>
      <c r="J69" s="2" t="s">
        <v>27</v>
      </c>
      <c r="K69" s="2" t="s">
        <v>19</v>
      </c>
      <c r="L69">
        <v>5</v>
      </c>
      <c r="M69" s="3">
        <v>40000</v>
      </c>
    </row>
    <row r="70" spans="1:13" x14ac:dyDescent="0.25">
      <c r="A70">
        <v>3069</v>
      </c>
      <c r="B70" s="1">
        <v>45701</v>
      </c>
      <c r="C70" s="1" t="str">
        <f>TEXT(deepseek_csv_20260422_7f7afa[[#This Row],[OrderDate]], "dddd")</f>
        <v>Thursday</v>
      </c>
      <c r="D70" s="1" t="str">
        <f>TEXT(deepseek_csv_20260422_7f7afa[[#This Row],[OrderDate]], "mmmm")</f>
        <v>February</v>
      </c>
      <c r="E70" s="2" t="s">
        <v>20</v>
      </c>
      <c r="F70" s="2" t="s">
        <v>92</v>
      </c>
      <c r="G70">
        <v>3</v>
      </c>
      <c r="H70" s="3">
        <v>8000</v>
      </c>
      <c r="I70" s="2" t="s">
        <v>12</v>
      </c>
      <c r="J70" s="2" t="s">
        <v>13</v>
      </c>
      <c r="K70" s="2" t="s">
        <v>24</v>
      </c>
      <c r="L70">
        <v>0</v>
      </c>
      <c r="M70" s="3">
        <v>24000</v>
      </c>
    </row>
    <row r="71" spans="1:13" x14ac:dyDescent="0.25">
      <c r="A71">
        <v>3070</v>
      </c>
      <c r="B71" s="1">
        <v>45701</v>
      </c>
      <c r="C71" s="1" t="str">
        <f>TEXT(deepseek_csv_20260422_7f7afa[[#This Row],[OrderDate]], "dddd")</f>
        <v>Thursday</v>
      </c>
      <c r="D71" s="1" t="str">
        <f>TEXT(deepseek_csv_20260422_7f7afa[[#This Row],[OrderDate]], "mmmm")</f>
        <v>February</v>
      </c>
      <c r="E71" s="2" t="s">
        <v>10</v>
      </c>
      <c r="F71" s="2" t="s">
        <v>93</v>
      </c>
      <c r="G71">
        <v>3</v>
      </c>
      <c r="H71" s="3">
        <v>12000</v>
      </c>
      <c r="I71" s="2" t="s">
        <v>17</v>
      </c>
      <c r="J71" s="2" t="s">
        <v>18</v>
      </c>
      <c r="K71" s="2" t="s">
        <v>14</v>
      </c>
      <c r="L71">
        <v>0</v>
      </c>
      <c r="M71" s="3">
        <v>36000</v>
      </c>
    </row>
    <row r="72" spans="1:13" x14ac:dyDescent="0.25">
      <c r="A72">
        <v>3071</v>
      </c>
      <c r="B72" s="1">
        <v>45702</v>
      </c>
      <c r="C72" s="1" t="str">
        <f>TEXT(deepseek_csv_20260422_7f7afa[[#This Row],[OrderDate]], "dddd")</f>
        <v>Friday</v>
      </c>
      <c r="D72" s="1" t="str">
        <f>TEXT(deepseek_csv_20260422_7f7afa[[#This Row],[OrderDate]], "mmmm")</f>
        <v>February</v>
      </c>
      <c r="E72" s="2" t="s">
        <v>15</v>
      </c>
      <c r="F72" s="2" t="s">
        <v>94</v>
      </c>
      <c r="G72">
        <v>7</v>
      </c>
      <c r="H72" s="3">
        <v>5000</v>
      </c>
      <c r="I72" s="2" t="s">
        <v>22</v>
      </c>
      <c r="J72" s="2" t="s">
        <v>23</v>
      </c>
      <c r="K72" s="2" t="s">
        <v>19</v>
      </c>
      <c r="L72">
        <v>10</v>
      </c>
      <c r="M72" s="3">
        <v>35000</v>
      </c>
    </row>
    <row r="73" spans="1:13" x14ac:dyDescent="0.25">
      <c r="A73">
        <v>3072</v>
      </c>
      <c r="B73" s="1">
        <v>45702</v>
      </c>
      <c r="C73" s="1" t="str">
        <f>TEXT(deepseek_csv_20260422_7f7afa[[#This Row],[OrderDate]], "dddd")</f>
        <v>Friday</v>
      </c>
      <c r="D73" s="1" t="str">
        <f>TEXT(deepseek_csv_20260422_7f7afa[[#This Row],[OrderDate]], "mmmm")</f>
        <v>February</v>
      </c>
      <c r="E73" s="2" t="s">
        <v>20</v>
      </c>
      <c r="F73" s="2" t="s">
        <v>95</v>
      </c>
      <c r="G73">
        <v>5</v>
      </c>
      <c r="H73" s="3">
        <v>7000</v>
      </c>
      <c r="I73" s="2" t="s">
        <v>26</v>
      </c>
      <c r="J73" s="2" t="s">
        <v>27</v>
      </c>
      <c r="K73" s="2" t="s">
        <v>24</v>
      </c>
      <c r="L73">
        <v>0</v>
      </c>
      <c r="M73" s="3">
        <v>35000</v>
      </c>
    </row>
    <row r="74" spans="1:13" x14ac:dyDescent="0.25">
      <c r="A74">
        <v>3073</v>
      </c>
      <c r="B74" s="1">
        <v>45703</v>
      </c>
      <c r="C74" s="1" t="str">
        <f>TEXT(deepseek_csv_20260422_7f7afa[[#This Row],[OrderDate]], "dddd")</f>
        <v>Saturday</v>
      </c>
      <c r="D74" s="1" t="str">
        <f>TEXT(deepseek_csv_20260422_7f7afa[[#This Row],[OrderDate]], "mmmm")</f>
        <v>February</v>
      </c>
      <c r="E74" s="2" t="s">
        <v>10</v>
      </c>
      <c r="F74" s="2" t="s">
        <v>96</v>
      </c>
      <c r="G74">
        <v>1</v>
      </c>
      <c r="H74" s="3">
        <v>150000</v>
      </c>
      <c r="I74" s="2" t="s">
        <v>12</v>
      </c>
      <c r="J74" s="2" t="s">
        <v>13</v>
      </c>
      <c r="K74" s="2" t="s">
        <v>14</v>
      </c>
      <c r="L74">
        <v>0</v>
      </c>
      <c r="M74" s="3">
        <v>150000</v>
      </c>
    </row>
    <row r="75" spans="1:13" x14ac:dyDescent="0.25">
      <c r="A75">
        <v>3074</v>
      </c>
      <c r="B75" s="1">
        <v>45703</v>
      </c>
      <c r="C75" s="1" t="str">
        <f>TEXT(deepseek_csv_20260422_7f7afa[[#This Row],[OrderDate]], "dddd")</f>
        <v>Saturday</v>
      </c>
      <c r="D75" s="1" t="str">
        <f>TEXT(deepseek_csv_20260422_7f7afa[[#This Row],[OrderDate]], "mmmm")</f>
        <v>February</v>
      </c>
      <c r="E75" s="2" t="s">
        <v>15</v>
      </c>
      <c r="F75" s="2" t="s">
        <v>97</v>
      </c>
      <c r="G75">
        <v>8</v>
      </c>
      <c r="H75" s="3">
        <v>4000</v>
      </c>
      <c r="I75" s="2" t="s">
        <v>17</v>
      </c>
      <c r="J75" s="2" t="s">
        <v>18</v>
      </c>
      <c r="K75" s="2" t="s">
        <v>19</v>
      </c>
      <c r="L75">
        <v>5</v>
      </c>
      <c r="M75" s="3">
        <v>32000</v>
      </c>
    </row>
    <row r="76" spans="1:13" x14ac:dyDescent="0.25">
      <c r="A76">
        <v>3075</v>
      </c>
      <c r="B76" s="1">
        <v>45704</v>
      </c>
      <c r="C76" s="1" t="str">
        <f>TEXT(deepseek_csv_20260422_7f7afa[[#This Row],[OrderDate]], "dddd")</f>
        <v>Sunday</v>
      </c>
      <c r="D76" s="1" t="str">
        <f>TEXT(deepseek_csv_20260422_7f7afa[[#This Row],[OrderDate]], "mmmm")</f>
        <v>February</v>
      </c>
      <c r="E76" s="2" t="s">
        <v>20</v>
      </c>
      <c r="F76" s="2" t="s">
        <v>98</v>
      </c>
      <c r="G76">
        <v>3</v>
      </c>
      <c r="H76" s="3">
        <v>20000</v>
      </c>
      <c r="I76" s="2" t="s">
        <v>22</v>
      </c>
      <c r="J76" s="2" t="s">
        <v>23</v>
      </c>
      <c r="K76" s="2" t="s">
        <v>24</v>
      </c>
      <c r="L76">
        <v>0</v>
      </c>
      <c r="M76" s="3">
        <v>60000</v>
      </c>
    </row>
    <row r="77" spans="1:13" x14ac:dyDescent="0.25">
      <c r="A77">
        <v>3076</v>
      </c>
      <c r="B77" s="1">
        <v>45704</v>
      </c>
      <c r="C77" s="1" t="str">
        <f>TEXT(deepseek_csv_20260422_7f7afa[[#This Row],[OrderDate]], "dddd")</f>
        <v>Sunday</v>
      </c>
      <c r="D77" s="1" t="str">
        <f>TEXT(deepseek_csv_20260422_7f7afa[[#This Row],[OrderDate]], "mmmm")</f>
        <v>February</v>
      </c>
      <c r="E77" s="2" t="s">
        <v>10</v>
      </c>
      <c r="F77" s="2" t="s">
        <v>99</v>
      </c>
      <c r="G77">
        <v>4</v>
      </c>
      <c r="H77" s="3">
        <v>6000</v>
      </c>
      <c r="I77" s="2" t="s">
        <v>26</v>
      </c>
      <c r="J77" s="2" t="s">
        <v>27</v>
      </c>
      <c r="K77" s="2" t="s">
        <v>14</v>
      </c>
      <c r="L77">
        <v>0</v>
      </c>
      <c r="M77" s="3">
        <v>24000</v>
      </c>
    </row>
    <row r="78" spans="1:13" x14ac:dyDescent="0.25">
      <c r="A78">
        <v>3077</v>
      </c>
      <c r="B78" s="1">
        <v>45705</v>
      </c>
      <c r="C78" s="1" t="str">
        <f>TEXT(deepseek_csv_20260422_7f7afa[[#This Row],[OrderDate]], "dddd")</f>
        <v>Monday</v>
      </c>
      <c r="D78" s="1" t="str">
        <f>TEXT(deepseek_csv_20260422_7f7afa[[#This Row],[OrderDate]], "mmmm")</f>
        <v>February</v>
      </c>
      <c r="E78" s="2" t="s">
        <v>15</v>
      </c>
      <c r="F78" s="2" t="s">
        <v>100</v>
      </c>
      <c r="G78">
        <v>3</v>
      </c>
      <c r="H78" s="3">
        <v>12000</v>
      </c>
      <c r="I78" s="2" t="s">
        <v>12</v>
      </c>
      <c r="J78" s="2" t="s">
        <v>13</v>
      </c>
      <c r="K78" s="2" t="s">
        <v>19</v>
      </c>
      <c r="L78">
        <v>5</v>
      </c>
      <c r="M78" s="3">
        <v>36000</v>
      </c>
    </row>
    <row r="79" spans="1:13" x14ac:dyDescent="0.25">
      <c r="A79">
        <v>3078</v>
      </c>
      <c r="B79" s="1">
        <v>45705</v>
      </c>
      <c r="C79" s="1" t="str">
        <f>TEXT(deepseek_csv_20260422_7f7afa[[#This Row],[OrderDate]], "dddd")</f>
        <v>Monday</v>
      </c>
      <c r="D79" s="1" t="str">
        <f>TEXT(deepseek_csv_20260422_7f7afa[[#This Row],[OrderDate]], "mmmm")</f>
        <v>February</v>
      </c>
      <c r="E79" s="2" t="s">
        <v>20</v>
      </c>
      <c r="F79" s="2" t="s">
        <v>101</v>
      </c>
      <c r="G79">
        <v>7</v>
      </c>
      <c r="H79" s="3">
        <v>3000</v>
      </c>
      <c r="I79" s="2" t="s">
        <v>17</v>
      </c>
      <c r="J79" s="2" t="s">
        <v>18</v>
      </c>
      <c r="K79" s="2" t="s">
        <v>24</v>
      </c>
      <c r="L79">
        <v>0</v>
      </c>
      <c r="M79" s="3">
        <v>21000</v>
      </c>
    </row>
    <row r="80" spans="1:13" x14ac:dyDescent="0.25">
      <c r="A80">
        <v>3079</v>
      </c>
      <c r="B80" s="1">
        <v>45706</v>
      </c>
      <c r="C80" s="1" t="str">
        <f>TEXT(deepseek_csv_20260422_7f7afa[[#This Row],[OrderDate]], "dddd")</f>
        <v>Tuesday</v>
      </c>
      <c r="D80" s="1" t="str">
        <f>TEXT(deepseek_csv_20260422_7f7afa[[#This Row],[OrderDate]], "mmmm")</f>
        <v>February</v>
      </c>
      <c r="E80" s="2" t="s">
        <v>10</v>
      </c>
      <c r="F80" s="2" t="s">
        <v>102</v>
      </c>
      <c r="G80">
        <v>2</v>
      </c>
      <c r="H80" s="3">
        <v>15000</v>
      </c>
      <c r="I80" s="2" t="s">
        <v>22</v>
      </c>
      <c r="J80" s="2" t="s">
        <v>23</v>
      </c>
      <c r="K80" s="2" t="s">
        <v>14</v>
      </c>
      <c r="L80">
        <v>0</v>
      </c>
      <c r="M80" s="3">
        <v>30000</v>
      </c>
    </row>
    <row r="81" spans="1:13" x14ac:dyDescent="0.25">
      <c r="A81">
        <v>3080</v>
      </c>
      <c r="B81" s="1">
        <v>45706</v>
      </c>
      <c r="C81" s="1" t="str">
        <f>TEXT(deepseek_csv_20260422_7f7afa[[#This Row],[OrderDate]], "dddd")</f>
        <v>Tuesday</v>
      </c>
      <c r="D81" s="1" t="str">
        <f>TEXT(deepseek_csv_20260422_7f7afa[[#This Row],[OrderDate]], "mmmm")</f>
        <v>February</v>
      </c>
      <c r="E81" s="2" t="s">
        <v>15</v>
      </c>
      <c r="F81" s="2" t="s">
        <v>103</v>
      </c>
      <c r="G81">
        <v>1</v>
      </c>
      <c r="H81" s="3">
        <v>25000</v>
      </c>
      <c r="I81" s="2" t="s">
        <v>26</v>
      </c>
      <c r="J81" s="2" t="s">
        <v>27</v>
      </c>
      <c r="K81" s="2" t="s">
        <v>19</v>
      </c>
      <c r="L81">
        <v>10</v>
      </c>
      <c r="M81" s="3">
        <v>25000</v>
      </c>
    </row>
    <row r="82" spans="1:13" x14ac:dyDescent="0.25">
      <c r="A82">
        <v>3081</v>
      </c>
      <c r="B82" s="1">
        <v>45707</v>
      </c>
      <c r="C82" s="1" t="str">
        <f>TEXT(deepseek_csv_20260422_7f7afa[[#This Row],[OrderDate]], "dddd")</f>
        <v>Wednesday</v>
      </c>
      <c r="D82" s="1" t="str">
        <f>TEXT(deepseek_csv_20260422_7f7afa[[#This Row],[OrderDate]], "mmmm")</f>
        <v>February</v>
      </c>
      <c r="E82" s="2" t="s">
        <v>20</v>
      </c>
      <c r="F82" s="2" t="s">
        <v>104</v>
      </c>
      <c r="G82">
        <v>3</v>
      </c>
      <c r="H82" s="3">
        <v>12000</v>
      </c>
      <c r="I82" s="2" t="s">
        <v>12</v>
      </c>
      <c r="J82" s="2" t="s">
        <v>13</v>
      </c>
      <c r="K82" s="2" t="s">
        <v>24</v>
      </c>
      <c r="L82">
        <v>0</v>
      </c>
      <c r="M82" s="3">
        <v>36000</v>
      </c>
    </row>
    <row r="83" spans="1:13" x14ac:dyDescent="0.25">
      <c r="A83">
        <v>3082</v>
      </c>
      <c r="B83" s="1">
        <v>45707</v>
      </c>
      <c r="C83" s="1" t="str">
        <f>TEXT(deepseek_csv_20260422_7f7afa[[#This Row],[OrderDate]], "dddd")</f>
        <v>Wednesday</v>
      </c>
      <c r="D83" s="1" t="str">
        <f>TEXT(deepseek_csv_20260422_7f7afa[[#This Row],[OrderDate]], "mmmm")</f>
        <v>February</v>
      </c>
      <c r="E83" s="2" t="s">
        <v>10</v>
      </c>
      <c r="F83" s="2" t="s">
        <v>105</v>
      </c>
      <c r="G83">
        <v>4</v>
      </c>
      <c r="H83" s="3">
        <v>8000</v>
      </c>
      <c r="I83" s="2" t="s">
        <v>17</v>
      </c>
      <c r="J83" s="2" t="s">
        <v>18</v>
      </c>
      <c r="K83" s="2" t="s">
        <v>14</v>
      </c>
      <c r="L83">
        <v>0</v>
      </c>
      <c r="M83" s="3">
        <v>32000</v>
      </c>
    </row>
    <row r="84" spans="1:13" x14ac:dyDescent="0.25">
      <c r="A84">
        <v>3083</v>
      </c>
      <c r="B84" s="1">
        <v>45708</v>
      </c>
      <c r="C84" s="1" t="str">
        <f>TEXT(deepseek_csv_20260422_7f7afa[[#This Row],[OrderDate]], "dddd")</f>
        <v>Thursday</v>
      </c>
      <c r="D84" s="1" t="str">
        <f>TEXT(deepseek_csv_20260422_7f7afa[[#This Row],[OrderDate]], "mmmm")</f>
        <v>February</v>
      </c>
      <c r="E84" s="2" t="s">
        <v>15</v>
      </c>
      <c r="F84" s="2" t="s">
        <v>106</v>
      </c>
      <c r="G84">
        <v>1</v>
      </c>
      <c r="H84" s="3">
        <v>18000</v>
      </c>
      <c r="I84" s="2" t="s">
        <v>22</v>
      </c>
      <c r="J84" s="2" t="s">
        <v>23</v>
      </c>
      <c r="K84" s="2" t="s">
        <v>19</v>
      </c>
      <c r="L84">
        <v>5</v>
      </c>
      <c r="M84" s="3">
        <v>18000</v>
      </c>
    </row>
    <row r="85" spans="1:13" x14ac:dyDescent="0.25">
      <c r="A85">
        <v>3084</v>
      </c>
      <c r="B85" s="1">
        <v>45708</v>
      </c>
      <c r="C85" s="1" t="str">
        <f>TEXT(deepseek_csv_20260422_7f7afa[[#This Row],[OrderDate]], "dddd")</f>
        <v>Thursday</v>
      </c>
      <c r="D85" s="1" t="str">
        <f>TEXT(deepseek_csv_20260422_7f7afa[[#This Row],[OrderDate]], "mmmm")</f>
        <v>February</v>
      </c>
      <c r="E85" s="2" t="s">
        <v>20</v>
      </c>
      <c r="F85" s="2" t="s">
        <v>107</v>
      </c>
      <c r="G85">
        <v>3</v>
      </c>
      <c r="H85" s="3">
        <v>10000</v>
      </c>
      <c r="I85" s="2" t="s">
        <v>26</v>
      </c>
      <c r="J85" s="2" t="s">
        <v>27</v>
      </c>
      <c r="K85" s="2" t="s">
        <v>24</v>
      </c>
      <c r="L85">
        <v>0</v>
      </c>
      <c r="M85" s="3">
        <v>30000</v>
      </c>
    </row>
    <row r="86" spans="1:13" x14ac:dyDescent="0.25">
      <c r="A86">
        <v>3085</v>
      </c>
      <c r="B86" s="1">
        <v>45709</v>
      </c>
      <c r="C86" s="1" t="str">
        <f>TEXT(deepseek_csv_20260422_7f7afa[[#This Row],[OrderDate]], "dddd")</f>
        <v>Friday</v>
      </c>
      <c r="D86" s="1" t="str">
        <f>TEXT(deepseek_csv_20260422_7f7afa[[#This Row],[OrderDate]], "mmmm")</f>
        <v>February</v>
      </c>
      <c r="E86" s="2" t="s">
        <v>10</v>
      </c>
      <c r="F86" s="2" t="s">
        <v>108</v>
      </c>
      <c r="G86">
        <v>1</v>
      </c>
      <c r="H86" s="3">
        <v>25000</v>
      </c>
      <c r="I86" s="2" t="s">
        <v>12</v>
      </c>
      <c r="J86" s="2" t="s">
        <v>13</v>
      </c>
      <c r="K86" s="2" t="s">
        <v>14</v>
      </c>
      <c r="L86">
        <v>0</v>
      </c>
      <c r="M86" s="3">
        <v>25000</v>
      </c>
    </row>
    <row r="87" spans="1:13" x14ac:dyDescent="0.25">
      <c r="A87">
        <v>3086</v>
      </c>
      <c r="B87" s="1">
        <v>45709</v>
      </c>
      <c r="C87" s="1" t="str">
        <f>TEXT(deepseek_csv_20260422_7f7afa[[#This Row],[OrderDate]], "dddd")</f>
        <v>Friday</v>
      </c>
      <c r="D87" s="1" t="str">
        <f>TEXT(deepseek_csv_20260422_7f7afa[[#This Row],[OrderDate]], "mmmm")</f>
        <v>February</v>
      </c>
      <c r="E87" s="2" t="s">
        <v>15</v>
      </c>
      <c r="F87" s="2" t="s">
        <v>109</v>
      </c>
      <c r="G87">
        <v>4</v>
      </c>
      <c r="H87" s="3">
        <v>9000</v>
      </c>
      <c r="I87" s="2" t="s">
        <v>17</v>
      </c>
      <c r="J87" s="2" t="s">
        <v>18</v>
      </c>
      <c r="K87" s="2" t="s">
        <v>19</v>
      </c>
      <c r="L87">
        <v>10</v>
      </c>
      <c r="M87" s="3">
        <v>36000</v>
      </c>
    </row>
    <row r="88" spans="1:13" x14ac:dyDescent="0.25">
      <c r="A88">
        <v>3087</v>
      </c>
      <c r="B88" s="1">
        <v>45710</v>
      </c>
      <c r="C88" s="1" t="str">
        <f>TEXT(deepseek_csv_20260422_7f7afa[[#This Row],[OrderDate]], "dddd")</f>
        <v>Saturday</v>
      </c>
      <c r="D88" s="1" t="str">
        <f>TEXT(deepseek_csv_20260422_7f7afa[[#This Row],[OrderDate]], "mmmm")</f>
        <v>February</v>
      </c>
      <c r="E88" s="2" t="s">
        <v>20</v>
      </c>
      <c r="F88" s="2" t="s">
        <v>110</v>
      </c>
      <c r="G88">
        <v>8</v>
      </c>
      <c r="H88" s="3">
        <v>2000</v>
      </c>
      <c r="I88" s="2" t="s">
        <v>22</v>
      </c>
      <c r="J88" s="2" t="s">
        <v>23</v>
      </c>
      <c r="K88" s="2" t="s">
        <v>24</v>
      </c>
      <c r="L88">
        <v>0</v>
      </c>
      <c r="M88" s="3">
        <v>16000</v>
      </c>
    </row>
    <row r="89" spans="1:13" x14ac:dyDescent="0.25">
      <c r="A89">
        <v>3088</v>
      </c>
      <c r="B89" s="1">
        <v>45710</v>
      </c>
      <c r="C89" s="1" t="str">
        <f>TEXT(deepseek_csv_20260422_7f7afa[[#This Row],[OrderDate]], "dddd")</f>
        <v>Saturday</v>
      </c>
      <c r="D89" s="1" t="str">
        <f>TEXT(deepseek_csv_20260422_7f7afa[[#This Row],[OrderDate]], "mmmm")</f>
        <v>February</v>
      </c>
      <c r="E89" s="2" t="s">
        <v>10</v>
      </c>
      <c r="F89" s="2" t="s">
        <v>111</v>
      </c>
      <c r="G89">
        <v>10</v>
      </c>
      <c r="H89" s="3">
        <v>3000</v>
      </c>
      <c r="I89" s="2" t="s">
        <v>26</v>
      </c>
      <c r="J89" s="2" t="s">
        <v>27</v>
      </c>
      <c r="K89" s="2" t="s">
        <v>14</v>
      </c>
      <c r="L89">
        <v>5</v>
      </c>
      <c r="M89" s="3">
        <v>30000</v>
      </c>
    </row>
    <row r="90" spans="1:13" x14ac:dyDescent="0.25">
      <c r="A90">
        <v>3089</v>
      </c>
      <c r="B90" s="1">
        <v>45711</v>
      </c>
      <c r="C90" s="1" t="str">
        <f>TEXT(deepseek_csv_20260422_7f7afa[[#This Row],[OrderDate]], "dddd")</f>
        <v>Sunday</v>
      </c>
      <c r="D90" s="1" t="str">
        <f>TEXT(deepseek_csv_20260422_7f7afa[[#This Row],[OrderDate]], "mmmm")</f>
        <v>February</v>
      </c>
      <c r="E90" s="2" t="s">
        <v>15</v>
      </c>
      <c r="F90" s="2" t="s">
        <v>112</v>
      </c>
      <c r="G90">
        <v>6</v>
      </c>
      <c r="H90" s="3">
        <v>5000</v>
      </c>
      <c r="I90" s="2" t="s">
        <v>12</v>
      </c>
      <c r="J90" s="2" t="s">
        <v>13</v>
      </c>
      <c r="K90" s="2" t="s">
        <v>19</v>
      </c>
      <c r="L90">
        <v>0</v>
      </c>
      <c r="M90" s="3">
        <v>30000</v>
      </c>
    </row>
    <row r="91" spans="1:13" x14ac:dyDescent="0.25">
      <c r="A91">
        <v>3090</v>
      </c>
      <c r="B91" s="1">
        <v>45711</v>
      </c>
      <c r="C91" s="1" t="str">
        <f>TEXT(deepseek_csv_20260422_7f7afa[[#This Row],[OrderDate]], "dddd")</f>
        <v>Sunday</v>
      </c>
      <c r="D91" s="1" t="str">
        <f>TEXT(deepseek_csv_20260422_7f7afa[[#This Row],[OrderDate]], "mmmm")</f>
        <v>February</v>
      </c>
      <c r="E91" s="2" t="s">
        <v>20</v>
      </c>
      <c r="F91" s="2" t="s">
        <v>113</v>
      </c>
      <c r="G91">
        <v>3</v>
      </c>
      <c r="H91" s="3">
        <v>15000</v>
      </c>
      <c r="I91" s="2" t="s">
        <v>17</v>
      </c>
      <c r="J91" s="2" t="s">
        <v>18</v>
      </c>
      <c r="K91" s="2" t="s">
        <v>24</v>
      </c>
      <c r="L91">
        <v>0</v>
      </c>
      <c r="M91" s="3">
        <v>45000</v>
      </c>
    </row>
    <row r="92" spans="1:13" x14ac:dyDescent="0.25">
      <c r="A92">
        <v>3091</v>
      </c>
      <c r="B92" s="1">
        <v>45712</v>
      </c>
      <c r="C92" s="1" t="str">
        <f>TEXT(deepseek_csv_20260422_7f7afa[[#This Row],[OrderDate]], "dddd")</f>
        <v>Monday</v>
      </c>
      <c r="D92" s="1" t="str">
        <f>TEXT(deepseek_csv_20260422_7f7afa[[#This Row],[OrderDate]], "mmmm")</f>
        <v>February</v>
      </c>
      <c r="E92" s="2" t="s">
        <v>10</v>
      </c>
      <c r="F92" s="2" t="s">
        <v>114</v>
      </c>
      <c r="G92">
        <v>7</v>
      </c>
      <c r="H92" s="3">
        <v>4000</v>
      </c>
      <c r="I92" s="2" t="s">
        <v>22</v>
      </c>
      <c r="J92" s="2" t="s">
        <v>23</v>
      </c>
      <c r="K92" s="2" t="s">
        <v>14</v>
      </c>
      <c r="L92">
        <v>5</v>
      </c>
      <c r="M92" s="3">
        <v>28000</v>
      </c>
    </row>
    <row r="93" spans="1:13" x14ac:dyDescent="0.25">
      <c r="A93">
        <v>3092</v>
      </c>
      <c r="B93" s="1">
        <v>45712</v>
      </c>
      <c r="C93" s="1" t="str">
        <f>TEXT(deepseek_csv_20260422_7f7afa[[#This Row],[OrderDate]], "dddd")</f>
        <v>Monday</v>
      </c>
      <c r="D93" s="1" t="str">
        <f>TEXT(deepseek_csv_20260422_7f7afa[[#This Row],[OrderDate]], "mmmm")</f>
        <v>February</v>
      </c>
      <c r="E93" s="2" t="s">
        <v>15</v>
      </c>
      <c r="F93" s="2" t="s">
        <v>115</v>
      </c>
      <c r="G93">
        <v>3</v>
      </c>
      <c r="H93" s="3">
        <v>6000</v>
      </c>
      <c r="I93" s="2" t="s">
        <v>26</v>
      </c>
      <c r="J93" s="2" t="s">
        <v>27</v>
      </c>
      <c r="K93" s="2" t="s">
        <v>19</v>
      </c>
      <c r="L93">
        <v>0</v>
      </c>
      <c r="M93" s="3">
        <v>18000</v>
      </c>
    </row>
    <row r="94" spans="1:13" x14ac:dyDescent="0.25">
      <c r="A94">
        <v>3093</v>
      </c>
      <c r="B94" s="1">
        <v>45713</v>
      </c>
      <c r="C94" s="1" t="str">
        <f>TEXT(deepseek_csv_20260422_7f7afa[[#This Row],[OrderDate]], "dddd")</f>
        <v>Tuesday</v>
      </c>
      <c r="D94" s="1" t="str">
        <f>TEXT(deepseek_csv_20260422_7f7afa[[#This Row],[OrderDate]], "mmmm")</f>
        <v>February</v>
      </c>
      <c r="E94" s="2" t="s">
        <v>20</v>
      </c>
      <c r="F94" s="2" t="s">
        <v>116</v>
      </c>
      <c r="G94">
        <v>2</v>
      </c>
      <c r="H94" s="3">
        <v>18000</v>
      </c>
      <c r="I94" s="2" t="s">
        <v>12</v>
      </c>
      <c r="J94" s="2" t="s">
        <v>13</v>
      </c>
      <c r="K94" s="2" t="s">
        <v>24</v>
      </c>
      <c r="L94">
        <v>0</v>
      </c>
      <c r="M94" s="3">
        <v>36000</v>
      </c>
    </row>
    <row r="95" spans="1:13" x14ac:dyDescent="0.25">
      <c r="A95">
        <v>3094</v>
      </c>
      <c r="B95" s="1">
        <v>45713</v>
      </c>
      <c r="C95" s="1" t="str">
        <f>TEXT(deepseek_csv_20260422_7f7afa[[#This Row],[OrderDate]], "dddd")</f>
        <v>Tuesday</v>
      </c>
      <c r="D95" s="1" t="str">
        <f>TEXT(deepseek_csv_20260422_7f7afa[[#This Row],[OrderDate]], "mmmm")</f>
        <v>February</v>
      </c>
      <c r="E95" s="2" t="s">
        <v>10</v>
      </c>
      <c r="F95" s="2" t="s">
        <v>117</v>
      </c>
      <c r="G95">
        <v>2</v>
      </c>
      <c r="H95" s="3">
        <v>22000</v>
      </c>
      <c r="I95" s="2" t="s">
        <v>17</v>
      </c>
      <c r="J95" s="2" t="s">
        <v>18</v>
      </c>
      <c r="K95" s="2" t="s">
        <v>14</v>
      </c>
      <c r="L95">
        <v>10</v>
      </c>
      <c r="M95" s="3">
        <v>44000</v>
      </c>
    </row>
    <row r="96" spans="1:13" x14ac:dyDescent="0.25">
      <c r="A96">
        <v>3095</v>
      </c>
      <c r="B96" s="1">
        <v>45714</v>
      </c>
      <c r="C96" s="1" t="str">
        <f>TEXT(deepseek_csv_20260422_7f7afa[[#This Row],[OrderDate]], "dddd")</f>
        <v>Wednesday</v>
      </c>
      <c r="D96" s="1" t="str">
        <f>TEXT(deepseek_csv_20260422_7f7afa[[#This Row],[OrderDate]], "mmmm")</f>
        <v>February</v>
      </c>
      <c r="E96" s="2" t="s">
        <v>15</v>
      </c>
      <c r="F96" s="2" t="s">
        <v>118</v>
      </c>
      <c r="G96">
        <v>3</v>
      </c>
      <c r="H96" s="3">
        <v>25000</v>
      </c>
      <c r="I96" s="2" t="s">
        <v>22</v>
      </c>
      <c r="J96" s="2" t="s">
        <v>23</v>
      </c>
      <c r="K96" s="2" t="s">
        <v>19</v>
      </c>
      <c r="L96">
        <v>0</v>
      </c>
      <c r="M96" s="3">
        <v>75000</v>
      </c>
    </row>
    <row r="97" spans="1:13" x14ac:dyDescent="0.25">
      <c r="A97">
        <v>3096</v>
      </c>
      <c r="B97" s="1">
        <v>45714</v>
      </c>
      <c r="C97" s="1" t="str">
        <f>TEXT(deepseek_csv_20260422_7f7afa[[#This Row],[OrderDate]], "dddd")</f>
        <v>Wednesday</v>
      </c>
      <c r="D97" s="1" t="str">
        <f>TEXT(deepseek_csv_20260422_7f7afa[[#This Row],[OrderDate]], "mmmm")</f>
        <v>February</v>
      </c>
      <c r="E97" s="2" t="s">
        <v>20</v>
      </c>
      <c r="F97" s="2" t="s">
        <v>119</v>
      </c>
      <c r="G97">
        <v>4</v>
      </c>
      <c r="H97" s="3">
        <v>15000</v>
      </c>
      <c r="I97" s="2" t="s">
        <v>26</v>
      </c>
      <c r="J97" s="2" t="s">
        <v>27</v>
      </c>
      <c r="K97" s="2" t="s">
        <v>24</v>
      </c>
      <c r="L97">
        <v>5</v>
      </c>
      <c r="M97" s="3">
        <v>60000</v>
      </c>
    </row>
    <row r="98" spans="1:13" x14ac:dyDescent="0.25">
      <c r="A98">
        <v>3097</v>
      </c>
      <c r="B98" s="1">
        <v>45715</v>
      </c>
      <c r="C98" s="1" t="str">
        <f>TEXT(deepseek_csv_20260422_7f7afa[[#This Row],[OrderDate]], "dddd")</f>
        <v>Thursday</v>
      </c>
      <c r="D98" s="1" t="str">
        <f>TEXT(deepseek_csv_20260422_7f7afa[[#This Row],[OrderDate]], "mmmm")</f>
        <v>February</v>
      </c>
      <c r="E98" s="2" t="s">
        <v>10</v>
      </c>
      <c r="F98" s="2" t="s">
        <v>120</v>
      </c>
      <c r="G98">
        <v>6</v>
      </c>
      <c r="H98" s="3">
        <v>3000</v>
      </c>
      <c r="I98" s="2" t="s">
        <v>12</v>
      </c>
      <c r="J98" s="2" t="s">
        <v>13</v>
      </c>
      <c r="K98" s="2" t="s">
        <v>14</v>
      </c>
      <c r="L98">
        <v>0</v>
      </c>
      <c r="M98" s="3">
        <v>18000</v>
      </c>
    </row>
    <row r="99" spans="1:13" x14ac:dyDescent="0.25">
      <c r="A99">
        <v>3098</v>
      </c>
      <c r="B99" s="1">
        <v>45715</v>
      </c>
      <c r="C99" s="1" t="str">
        <f>TEXT(deepseek_csv_20260422_7f7afa[[#This Row],[OrderDate]], "dddd")</f>
        <v>Thursday</v>
      </c>
      <c r="D99" s="1" t="str">
        <f>TEXT(deepseek_csv_20260422_7f7afa[[#This Row],[OrderDate]], "mmmm")</f>
        <v>February</v>
      </c>
      <c r="E99" s="2" t="s">
        <v>15</v>
      </c>
      <c r="F99" s="2" t="s">
        <v>121</v>
      </c>
      <c r="G99">
        <v>4</v>
      </c>
      <c r="H99" s="3">
        <v>8000</v>
      </c>
      <c r="I99" s="2" t="s">
        <v>17</v>
      </c>
      <c r="J99" s="2" t="s">
        <v>18</v>
      </c>
      <c r="K99" s="2" t="s">
        <v>19</v>
      </c>
      <c r="L99">
        <v>0</v>
      </c>
      <c r="M99" s="3">
        <v>32000</v>
      </c>
    </row>
    <row r="100" spans="1:13" x14ac:dyDescent="0.25">
      <c r="A100">
        <v>3099</v>
      </c>
      <c r="B100" s="1">
        <v>45716</v>
      </c>
      <c r="C100" s="1" t="str">
        <f>TEXT(deepseek_csv_20260422_7f7afa[[#This Row],[OrderDate]], "dddd")</f>
        <v>Friday</v>
      </c>
      <c r="D100" s="1" t="str">
        <f>TEXT(deepseek_csv_20260422_7f7afa[[#This Row],[OrderDate]], "mmmm")</f>
        <v>February</v>
      </c>
      <c r="E100" s="2" t="s">
        <v>20</v>
      </c>
      <c r="F100" s="2" t="s">
        <v>122</v>
      </c>
      <c r="G100">
        <v>2</v>
      </c>
      <c r="H100" s="3">
        <v>25000</v>
      </c>
      <c r="I100" s="2" t="s">
        <v>22</v>
      </c>
      <c r="J100" s="2" t="s">
        <v>23</v>
      </c>
      <c r="K100" s="2" t="s">
        <v>24</v>
      </c>
      <c r="L100">
        <v>5</v>
      </c>
      <c r="M100" s="3">
        <v>50000</v>
      </c>
    </row>
    <row r="101" spans="1:13" x14ac:dyDescent="0.25">
      <c r="A101">
        <v>3100</v>
      </c>
      <c r="B101" s="1">
        <v>45716</v>
      </c>
      <c r="C101" s="1" t="str">
        <f>TEXT(deepseek_csv_20260422_7f7afa[[#This Row],[OrderDate]], "dddd")</f>
        <v>Friday</v>
      </c>
      <c r="D101" s="1" t="str">
        <f>TEXT(deepseek_csv_20260422_7f7afa[[#This Row],[OrderDate]], "mmmm")</f>
        <v>February</v>
      </c>
      <c r="E101" s="2" t="s">
        <v>10</v>
      </c>
      <c r="F101" s="2" t="s">
        <v>123</v>
      </c>
      <c r="G101">
        <v>1</v>
      </c>
      <c r="H101" s="3">
        <v>85000</v>
      </c>
      <c r="I101" s="2" t="s">
        <v>26</v>
      </c>
      <c r="J101" s="2" t="s">
        <v>27</v>
      </c>
      <c r="K101" s="2" t="s">
        <v>14</v>
      </c>
      <c r="L101">
        <v>0</v>
      </c>
      <c r="M101" s="3">
        <v>85000</v>
      </c>
    </row>
    <row r="102" spans="1:13" x14ac:dyDescent="0.25">
      <c r="A102">
        <v>3101</v>
      </c>
      <c r="B102" s="1">
        <v>45669</v>
      </c>
      <c r="C102" s="1" t="str">
        <f>TEXT(deepseek_csv_20260422_7f7afa[[#This Row],[OrderDate]], "dddd")</f>
        <v>Sunday</v>
      </c>
      <c r="D102" s="1" t="str">
        <f>TEXT(deepseek_csv_20260422_7f7afa[[#This Row],[OrderDate]], "mmmm")</f>
        <v>January</v>
      </c>
      <c r="E102" s="2" t="s">
        <v>10</v>
      </c>
      <c r="F102" s="2" t="s">
        <v>124</v>
      </c>
      <c r="G102">
        <v>3</v>
      </c>
      <c r="H102" s="3">
        <v>35000</v>
      </c>
      <c r="I102" s="2" t="s">
        <v>12</v>
      </c>
      <c r="J102" s="2" t="s">
        <v>13</v>
      </c>
      <c r="K102" s="2" t="s">
        <v>14</v>
      </c>
      <c r="L102">
        <v>10</v>
      </c>
      <c r="M102" s="3">
        <v>105000</v>
      </c>
    </row>
    <row r="103" spans="1:13" x14ac:dyDescent="0.25">
      <c r="A103">
        <v>3102</v>
      </c>
      <c r="B103" s="1">
        <v>45670</v>
      </c>
      <c r="C103" s="1" t="str">
        <f>TEXT(deepseek_csv_20260422_7f7afa[[#This Row],[OrderDate]], "dddd")</f>
        <v>Monday</v>
      </c>
      <c r="D103" s="1" t="str">
        <f>TEXT(deepseek_csv_20260422_7f7afa[[#This Row],[OrderDate]], "mmmm")</f>
        <v>January</v>
      </c>
      <c r="E103" s="2" t="s">
        <v>15</v>
      </c>
      <c r="F103" s="2" t="s">
        <v>125</v>
      </c>
      <c r="G103">
        <v>2</v>
      </c>
      <c r="H103" s="3">
        <v>28000</v>
      </c>
      <c r="I103" s="2" t="s">
        <v>17</v>
      </c>
      <c r="J103" s="2" t="s">
        <v>18</v>
      </c>
      <c r="K103" s="2" t="s">
        <v>19</v>
      </c>
      <c r="L103">
        <v>0</v>
      </c>
      <c r="M103" s="3">
        <v>56000</v>
      </c>
    </row>
    <row r="104" spans="1:13" x14ac:dyDescent="0.25">
      <c r="A104">
        <v>3103</v>
      </c>
      <c r="B104" s="1">
        <v>45671</v>
      </c>
      <c r="C104" s="1" t="str">
        <f>TEXT(deepseek_csv_20260422_7f7afa[[#This Row],[OrderDate]], "dddd")</f>
        <v>Tuesday</v>
      </c>
      <c r="D104" s="1" t="str">
        <f>TEXT(deepseek_csv_20260422_7f7afa[[#This Row],[OrderDate]], "mmmm")</f>
        <v>January</v>
      </c>
      <c r="E104" s="2" t="s">
        <v>20</v>
      </c>
      <c r="F104" s="2" t="s">
        <v>126</v>
      </c>
      <c r="G104">
        <v>4</v>
      </c>
      <c r="H104" s="3">
        <v>12000</v>
      </c>
      <c r="I104" s="2" t="s">
        <v>22</v>
      </c>
      <c r="J104" s="2" t="s">
        <v>23</v>
      </c>
      <c r="K104" s="2" t="s">
        <v>24</v>
      </c>
      <c r="L104">
        <v>5</v>
      </c>
      <c r="M104" s="3">
        <v>48000</v>
      </c>
    </row>
    <row r="105" spans="1:13" x14ac:dyDescent="0.25">
      <c r="A105">
        <v>3104</v>
      </c>
      <c r="B105" s="1">
        <v>45672</v>
      </c>
      <c r="C105" s="1" t="str">
        <f>TEXT(deepseek_csv_20260422_7f7afa[[#This Row],[OrderDate]], "dddd")</f>
        <v>Wednesday</v>
      </c>
      <c r="D105" s="1" t="str">
        <f>TEXT(deepseek_csv_20260422_7f7afa[[#This Row],[OrderDate]], "mmmm")</f>
        <v>January</v>
      </c>
      <c r="E105" s="2" t="s">
        <v>10</v>
      </c>
      <c r="F105" s="2" t="s">
        <v>127</v>
      </c>
      <c r="G105">
        <v>6</v>
      </c>
      <c r="H105" s="3">
        <v>4000</v>
      </c>
      <c r="I105" s="2" t="s">
        <v>26</v>
      </c>
      <c r="J105" s="2" t="s">
        <v>27</v>
      </c>
      <c r="K105" s="2" t="s">
        <v>14</v>
      </c>
      <c r="L105">
        <v>0</v>
      </c>
      <c r="M105" s="3">
        <v>24000</v>
      </c>
    </row>
    <row r="106" spans="1:13" x14ac:dyDescent="0.25">
      <c r="A106">
        <v>3105</v>
      </c>
      <c r="B106" s="1">
        <v>45673</v>
      </c>
      <c r="C106" s="1" t="str">
        <f>TEXT(deepseek_csv_20260422_7f7afa[[#This Row],[OrderDate]], "dddd")</f>
        <v>Thursday</v>
      </c>
      <c r="D106" s="1" t="str">
        <f>TEXT(deepseek_csv_20260422_7f7afa[[#This Row],[OrderDate]], "mmmm")</f>
        <v>January</v>
      </c>
      <c r="E106" s="2" t="s">
        <v>15</v>
      </c>
      <c r="F106" s="2" t="s">
        <v>128</v>
      </c>
      <c r="G106">
        <v>3</v>
      </c>
      <c r="H106" s="3">
        <v>22000</v>
      </c>
      <c r="I106" s="2" t="s">
        <v>12</v>
      </c>
      <c r="J106" s="2" t="s">
        <v>13</v>
      </c>
      <c r="K106" s="2" t="s">
        <v>19</v>
      </c>
      <c r="L106">
        <v>0</v>
      </c>
      <c r="M106" s="3">
        <v>66000</v>
      </c>
    </row>
    <row r="107" spans="1:13" x14ac:dyDescent="0.25">
      <c r="A107">
        <v>3106</v>
      </c>
      <c r="B107" s="1">
        <v>45674</v>
      </c>
      <c r="C107" s="1" t="str">
        <f>TEXT(deepseek_csv_20260422_7f7afa[[#This Row],[OrderDate]], "dddd")</f>
        <v>Friday</v>
      </c>
      <c r="D107" s="1" t="str">
        <f>TEXT(deepseek_csv_20260422_7f7afa[[#This Row],[OrderDate]], "mmmm")</f>
        <v>January</v>
      </c>
      <c r="E107" s="2" t="s">
        <v>20</v>
      </c>
      <c r="F107" s="2" t="s">
        <v>129</v>
      </c>
      <c r="G107">
        <v>5</v>
      </c>
      <c r="H107" s="3">
        <v>18000</v>
      </c>
      <c r="I107" s="2" t="s">
        <v>17</v>
      </c>
      <c r="J107" s="2" t="s">
        <v>18</v>
      </c>
      <c r="K107" s="2" t="s">
        <v>24</v>
      </c>
      <c r="L107">
        <v>10</v>
      </c>
      <c r="M107" s="3">
        <v>90000</v>
      </c>
    </row>
    <row r="108" spans="1:13" x14ac:dyDescent="0.25">
      <c r="A108">
        <v>3107</v>
      </c>
      <c r="B108" s="1">
        <v>45675</v>
      </c>
      <c r="C108" s="1" t="str">
        <f>TEXT(deepseek_csv_20260422_7f7afa[[#This Row],[OrderDate]], "dddd")</f>
        <v>Saturday</v>
      </c>
      <c r="D108" s="1" t="str">
        <f>TEXT(deepseek_csv_20260422_7f7afa[[#This Row],[OrderDate]], "mmmm")</f>
        <v>January</v>
      </c>
      <c r="E108" s="2" t="s">
        <v>10</v>
      </c>
      <c r="F108" s="2" t="s">
        <v>130</v>
      </c>
      <c r="G108">
        <v>5</v>
      </c>
      <c r="H108" s="3">
        <v>8000</v>
      </c>
      <c r="I108" s="2" t="s">
        <v>22</v>
      </c>
      <c r="J108" s="2" t="s">
        <v>23</v>
      </c>
      <c r="K108" s="2" t="s">
        <v>14</v>
      </c>
      <c r="L108">
        <v>0</v>
      </c>
      <c r="M108" s="3">
        <v>40000</v>
      </c>
    </row>
    <row r="109" spans="1:13" x14ac:dyDescent="0.25">
      <c r="A109">
        <v>3108</v>
      </c>
      <c r="B109" s="1">
        <v>45676</v>
      </c>
      <c r="C109" s="1" t="str">
        <f>TEXT(deepseek_csv_20260422_7f7afa[[#This Row],[OrderDate]], "dddd")</f>
        <v>Sunday</v>
      </c>
      <c r="D109" s="1" t="str">
        <f>TEXT(deepseek_csv_20260422_7f7afa[[#This Row],[OrderDate]], "mmmm")</f>
        <v>January</v>
      </c>
      <c r="E109" s="2" t="s">
        <v>15</v>
      </c>
      <c r="F109" s="2" t="s">
        <v>131</v>
      </c>
      <c r="G109">
        <v>2</v>
      </c>
      <c r="H109" s="3">
        <v>15000</v>
      </c>
      <c r="I109" s="2" t="s">
        <v>26</v>
      </c>
      <c r="J109" s="2" t="s">
        <v>27</v>
      </c>
      <c r="K109" s="2" t="s">
        <v>19</v>
      </c>
      <c r="L109">
        <v>5</v>
      </c>
      <c r="M109" s="3">
        <v>30000</v>
      </c>
    </row>
    <row r="110" spans="1:13" x14ac:dyDescent="0.25">
      <c r="A110">
        <v>3109</v>
      </c>
      <c r="B110" s="1">
        <v>45677</v>
      </c>
      <c r="C110" s="1" t="str">
        <f>TEXT(deepseek_csv_20260422_7f7afa[[#This Row],[OrderDate]], "dddd")</f>
        <v>Monday</v>
      </c>
      <c r="D110" s="1" t="str">
        <f>TEXT(deepseek_csv_20260422_7f7afa[[#This Row],[OrderDate]], "mmmm")</f>
        <v>January</v>
      </c>
      <c r="E110" s="2" t="s">
        <v>20</v>
      </c>
      <c r="F110" s="2" t="s">
        <v>132</v>
      </c>
      <c r="G110">
        <v>2</v>
      </c>
      <c r="H110" s="3">
        <v>55000</v>
      </c>
      <c r="I110" s="2" t="s">
        <v>12</v>
      </c>
      <c r="J110" s="2" t="s">
        <v>13</v>
      </c>
      <c r="K110" s="2" t="s">
        <v>24</v>
      </c>
      <c r="L110">
        <v>0</v>
      </c>
      <c r="M110" s="3">
        <v>110000</v>
      </c>
    </row>
    <row r="111" spans="1:13" x14ac:dyDescent="0.25">
      <c r="A111">
        <v>3110</v>
      </c>
      <c r="B111" s="1">
        <v>45678</v>
      </c>
      <c r="C111" s="1" t="str">
        <f>TEXT(deepseek_csv_20260422_7f7afa[[#This Row],[OrderDate]], "dddd")</f>
        <v>Tuesday</v>
      </c>
      <c r="D111" s="1" t="str">
        <f>TEXT(deepseek_csv_20260422_7f7afa[[#This Row],[OrderDate]], "mmmm")</f>
        <v>January</v>
      </c>
      <c r="E111" s="2" t="s">
        <v>10</v>
      </c>
      <c r="F111" s="2" t="s">
        <v>133</v>
      </c>
      <c r="G111">
        <v>12</v>
      </c>
      <c r="H111" s="3">
        <v>1500</v>
      </c>
      <c r="I111" s="2" t="s">
        <v>17</v>
      </c>
      <c r="J111" s="2" t="s">
        <v>18</v>
      </c>
      <c r="K111" s="2" t="s">
        <v>14</v>
      </c>
      <c r="L111">
        <v>0</v>
      </c>
      <c r="M111" s="3">
        <v>18000</v>
      </c>
    </row>
    <row r="112" spans="1:13" x14ac:dyDescent="0.25">
      <c r="A112">
        <v>3111</v>
      </c>
      <c r="B112" s="1">
        <v>45679</v>
      </c>
      <c r="C112" s="1" t="str">
        <f>TEXT(deepseek_csv_20260422_7f7afa[[#This Row],[OrderDate]], "dddd")</f>
        <v>Wednesday</v>
      </c>
      <c r="D112" s="1" t="str">
        <f>TEXT(deepseek_csv_20260422_7f7afa[[#This Row],[OrderDate]], "mmmm")</f>
        <v>January</v>
      </c>
      <c r="E112" s="2" t="s">
        <v>15</v>
      </c>
      <c r="F112" s="2" t="s">
        <v>134</v>
      </c>
      <c r="G112">
        <v>2</v>
      </c>
      <c r="H112" s="3">
        <v>45000</v>
      </c>
      <c r="I112" s="2" t="s">
        <v>22</v>
      </c>
      <c r="J112" s="2" t="s">
        <v>23</v>
      </c>
      <c r="K112" s="2" t="s">
        <v>19</v>
      </c>
      <c r="L112">
        <v>10</v>
      </c>
      <c r="M112" s="3">
        <v>90000</v>
      </c>
    </row>
    <row r="113" spans="1:13" x14ac:dyDescent="0.25">
      <c r="A113">
        <v>3112</v>
      </c>
      <c r="B113" s="1">
        <v>45680</v>
      </c>
      <c r="C113" s="1" t="str">
        <f>TEXT(deepseek_csv_20260422_7f7afa[[#This Row],[OrderDate]], "dddd")</f>
        <v>Thursday</v>
      </c>
      <c r="D113" s="1" t="str">
        <f>TEXT(deepseek_csv_20260422_7f7afa[[#This Row],[OrderDate]], "mmmm")</f>
        <v>January</v>
      </c>
      <c r="E113" s="2" t="s">
        <v>20</v>
      </c>
      <c r="F113" s="2" t="s">
        <v>135</v>
      </c>
      <c r="G113">
        <v>2</v>
      </c>
      <c r="H113" s="3">
        <v>35000</v>
      </c>
      <c r="I113" s="2" t="s">
        <v>26</v>
      </c>
      <c r="J113" s="2" t="s">
        <v>27</v>
      </c>
      <c r="K113" s="2" t="s">
        <v>24</v>
      </c>
      <c r="L113">
        <v>0</v>
      </c>
      <c r="M113" s="3">
        <v>70000</v>
      </c>
    </row>
    <row r="114" spans="1:13" x14ac:dyDescent="0.25">
      <c r="A114">
        <v>3113</v>
      </c>
      <c r="B114" s="1">
        <v>45681</v>
      </c>
      <c r="C114" s="1" t="str">
        <f>TEXT(deepseek_csv_20260422_7f7afa[[#This Row],[OrderDate]], "dddd")</f>
        <v>Friday</v>
      </c>
      <c r="D114" s="1" t="str">
        <f>TEXT(deepseek_csv_20260422_7f7afa[[#This Row],[OrderDate]], "mmmm")</f>
        <v>January</v>
      </c>
      <c r="E114" s="2" t="s">
        <v>10</v>
      </c>
      <c r="F114" s="2" t="s">
        <v>136</v>
      </c>
      <c r="G114">
        <v>3</v>
      </c>
      <c r="H114" s="3">
        <v>25000</v>
      </c>
      <c r="I114" s="2" t="s">
        <v>12</v>
      </c>
      <c r="J114" s="2" t="s">
        <v>13</v>
      </c>
      <c r="K114" s="2" t="s">
        <v>14</v>
      </c>
      <c r="L114">
        <v>5</v>
      </c>
      <c r="M114" s="3">
        <v>75000</v>
      </c>
    </row>
    <row r="115" spans="1:13" x14ac:dyDescent="0.25">
      <c r="A115">
        <v>3114</v>
      </c>
      <c r="B115" s="1">
        <v>45682</v>
      </c>
      <c r="C115" s="1" t="str">
        <f>TEXT(deepseek_csv_20260422_7f7afa[[#This Row],[OrderDate]], "dddd")</f>
        <v>Saturday</v>
      </c>
      <c r="D115" s="1" t="str">
        <f>TEXT(deepseek_csv_20260422_7f7afa[[#This Row],[OrderDate]], "mmmm")</f>
        <v>January</v>
      </c>
      <c r="E115" s="2" t="s">
        <v>15</v>
      </c>
      <c r="F115" s="2" t="s">
        <v>137</v>
      </c>
      <c r="G115">
        <v>5</v>
      </c>
      <c r="H115" s="3">
        <v>12000</v>
      </c>
      <c r="I115" s="2" t="s">
        <v>17</v>
      </c>
      <c r="J115" s="2" t="s">
        <v>18</v>
      </c>
      <c r="K115" s="2" t="s">
        <v>19</v>
      </c>
      <c r="L115">
        <v>0</v>
      </c>
      <c r="M115" s="3">
        <v>60000</v>
      </c>
    </row>
    <row r="116" spans="1:13" x14ac:dyDescent="0.25">
      <c r="A116">
        <v>3115</v>
      </c>
      <c r="B116" s="1">
        <v>45683</v>
      </c>
      <c r="C116" s="1" t="str">
        <f>TEXT(deepseek_csv_20260422_7f7afa[[#This Row],[OrderDate]], "dddd")</f>
        <v>Sunday</v>
      </c>
      <c r="D116" s="1" t="str">
        <f>TEXT(deepseek_csv_20260422_7f7afa[[#This Row],[OrderDate]], "mmmm")</f>
        <v>January</v>
      </c>
      <c r="E116" s="2" t="s">
        <v>20</v>
      </c>
      <c r="F116" s="2" t="s">
        <v>138</v>
      </c>
      <c r="G116">
        <v>2</v>
      </c>
      <c r="H116" s="3">
        <v>65000</v>
      </c>
      <c r="I116" s="2" t="s">
        <v>22</v>
      </c>
      <c r="J116" s="2" t="s">
        <v>23</v>
      </c>
      <c r="K116" s="2" t="s">
        <v>24</v>
      </c>
      <c r="L116">
        <v>0</v>
      </c>
      <c r="M116" s="3">
        <v>130000</v>
      </c>
    </row>
    <row r="117" spans="1:13" x14ac:dyDescent="0.25">
      <c r="A117">
        <v>3116</v>
      </c>
      <c r="B117" s="1">
        <v>45684</v>
      </c>
      <c r="C117" s="1" t="str">
        <f>TEXT(deepseek_csv_20260422_7f7afa[[#This Row],[OrderDate]], "dddd")</f>
        <v>Monday</v>
      </c>
      <c r="D117" s="1" t="str">
        <f>TEXT(deepseek_csv_20260422_7f7afa[[#This Row],[OrderDate]], "mmmm")</f>
        <v>January</v>
      </c>
      <c r="E117" s="2" t="s">
        <v>10</v>
      </c>
      <c r="F117" s="2" t="s">
        <v>139</v>
      </c>
      <c r="G117">
        <v>2</v>
      </c>
      <c r="H117" s="3">
        <v>75000</v>
      </c>
      <c r="I117" s="2" t="s">
        <v>26</v>
      </c>
      <c r="J117" s="2" t="s">
        <v>27</v>
      </c>
      <c r="K117" s="2" t="s">
        <v>14</v>
      </c>
      <c r="L117">
        <v>10</v>
      </c>
      <c r="M117" s="3">
        <v>150000</v>
      </c>
    </row>
    <row r="118" spans="1:13" x14ac:dyDescent="0.25">
      <c r="A118">
        <v>3117</v>
      </c>
      <c r="B118" s="1">
        <v>45685</v>
      </c>
      <c r="C118" s="1" t="str">
        <f>TEXT(deepseek_csv_20260422_7f7afa[[#This Row],[OrderDate]], "dddd")</f>
        <v>Tuesday</v>
      </c>
      <c r="D118" s="1" t="str">
        <f>TEXT(deepseek_csv_20260422_7f7afa[[#This Row],[OrderDate]], "mmmm")</f>
        <v>January</v>
      </c>
      <c r="E118" s="2" t="s">
        <v>15</v>
      </c>
      <c r="F118" s="2" t="s">
        <v>140</v>
      </c>
      <c r="G118">
        <v>3</v>
      </c>
      <c r="H118" s="3">
        <v>20000</v>
      </c>
      <c r="I118" s="2" t="s">
        <v>12</v>
      </c>
      <c r="J118" s="2" t="s">
        <v>13</v>
      </c>
      <c r="K118" s="2" t="s">
        <v>19</v>
      </c>
      <c r="L118">
        <v>0</v>
      </c>
      <c r="M118" s="3">
        <v>60000</v>
      </c>
    </row>
    <row r="119" spans="1:13" x14ac:dyDescent="0.25">
      <c r="A119">
        <v>3118</v>
      </c>
      <c r="B119" s="1">
        <v>45686</v>
      </c>
      <c r="C119" s="1" t="str">
        <f>TEXT(deepseek_csv_20260422_7f7afa[[#This Row],[OrderDate]], "dddd")</f>
        <v>Wednesday</v>
      </c>
      <c r="D119" s="1" t="str">
        <f>TEXT(deepseek_csv_20260422_7f7afa[[#This Row],[OrderDate]], "mmmm")</f>
        <v>January</v>
      </c>
      <c r="E119" s="2" t="s">
        <v>20</v>
      </c>
      <c r="F119" s="2" t="s">
        <v>141</v>
      </c>
      <c r="G119">
        <v>5</v>
      </c>
      <c r="H119" s="3">
        <v>8000</v>
      </c>
      <c r="I119" s="2" t="s">
        <v>17</v>
      </c>
      <c r="J119" s="2" t="s">
        <v>18</v>
      </c>
      <c r="K119" s="2" t="s">
        <v>24</v>
      </c>
      <c r="L119">
        <v>5</v>
      </c>
      <c r="M119" s="3">
        <v>40000</v>
      </c>
    </row>
    <row r="120" spans="1:13" x14ac:dyDescent="0.25">
      <c r="A120">
        <v>3119</v>
      </c>
      <c r="B120" s="1">
        <v>45687</v>
      </c>
      <c r="C120" s="1" t="str">
        <f>TEXT(deepseek_csv_20260422_7f7afa[[#This Row],[OrderDate]], "dddd")</f>
        <v>Thursday</v>
      </c>
      <c r="D120" s="1" t="str">
        <f>TEXT(deepseek_csv_20260422_7f7afa[[#This Row],[OrderDate]], "mmmm")</f>
        <v>January</v>
      </c>
      <c r="E120" s="2" t="s">
        <v>10</v>
      </c>
      <c r="F120" s="2" t="s">
        <v>142</v>
      </c>
      <c r="G120">
        <v>6</v>
      </c>
      <c r="H120" s="3">
        <v>4000</v>
      </c>
      <c r="I120" s="2" t="s">
        <v>22</v>
      </c>
      <c r="J120" s="2" t="s">
        <v>23</v>
      </c>
      <c r="K120" s="2" t="s">
        <v>14</v>
      </c>
      <c r="L120">
        <v>0</v>
      </c>
      <c r="M120" s="3">
        <v>24000</v>
      </c>
    </row>
    <row r="121" spans="1:13" x14ac:dyDescent="0.25">
      <c r="A121">
        <v>3120</v>
      </c>
      <c r="B121" s="1">
        <v>45688</v>
      </c>
      <c r="C121" s="1" t="str">
        <f>TEXT(deepseek_csv_20260422_7f7afa[[#This Row],[OrderDate]], "dddd")</f>
        <v>Friday</v>
      </c>
      <c r="D121" s="1" t="str">
        <f>TEXT(deepseek_csv_20260422_7f7afa[[#This Row],[OrderDate]], "mmmm")</f>
        <v>January</v>
      </c>
      <c r="E121" s="2" t="s">
        <v>15</v>
      </c>
      <c r="F121" s="2" t="s">
        <v>143</v>
      </c>
      <c r="G121">
        <v>3</v>
      </c>
      <c r="H121" s="3">
        <v>15000</v>
      </c>
      <c r="I121" s="2" t="s">
        <v>26</v>
      </c>
      <c r="J121" s="2" t="s">
        <v>27</v>
      </c>
      <c r="K121" s="2" t="s">
        <v>19</v>
      </c>
      <c r="L121">
        <v>0</v>
      </c>
      <c r="M121" s="3">
        <v>45000</v>
      </c>
    </row>
    <row r="122" spans="1:13" x14ac:dyDescent="0.25">
      <c r="A122">
        <v>3121</v>
      </c>
      <c r="B122" s="1">
        <v>45689</v>
      </c>
      <c r="C122" s="1" t="str">
        <f>TEXT(deepseek_csv_20260422_7f7afa[[#This Row],[OrderDate]], "dddd")</f>
        <v>Saturday</v>
      </c>
      <c r="D122" s="1" t="str">
        <f>TEXT(deepseek_csv_20260422_7f7afa[[#This Row],[OrderDate]], "mmmm")</f>
        <v>February</v>
      </c>
      <c r="E122" s="2" t="s">
        <v>20</v>
      </c>
      <c r="F122" s="2" t="s">
        <v>144</v>
      </c>
      <c r="G122">
        <v>2</v>
      </c>
      <c r="H122" s="3">
        <v>18000</v>
      </c>
      <c r="I122" s="2" t="s">
        <v>12</v>
      </c>
      <c r="J122" s="2" t="s">
        <v>13</v>
      </c>
      <c r="K122" s="2" t="s">
        <v>24</v>
      </c>
      <c r="L122">
        <v>5</v>
      </c>
      <c r="M122" s="3">
        <v>36000</v>
      </c>
    </row>
    <row r="123" spans="1:13" x14ac:dyDescent="0.25">
      <c r="A123">
        <v>3122</v>
      </c>
      <c r="B123" s="1">
        <v>45690</v>
      </c>
      <c r="C123" s="1" t="str">
        <f>TEXT(deepseek_csv_20260422_7f7afa[[#This Row],[OrderDate]], "dddd")</f>
        <v>Sunday</v>
      </c>
      <c r="D123" s="1" t="str">
        <f>TEXT(deepseek_csv_20260422_7f7afa[[#This Row],[OrderDate]], "mmmm")</f>
        <v>February</v>
      </c>
      <c r="E123" s="2" t="s">
        <v>10</v>
      </c>
      <c r="F123" s="2" t="s">
        <v>145</v>
      </c>
      <c r="G123">
        <v>2</v>
      </c>
      <c r="H123" s="3">
        <v>12000</v>
      </c>
      <c r="I123" s="2" t="s">
        <v>17</v>
      </c>
      <c r="J123" s="2" t="s">
        <v>18</v>
      </c>
      <c r="K123" s="2" t="s">
        <v>14</v>
      </c>
      <c r="L123">
        <v>0</v>
      </c>
      <c r="M123" s="3">
        <v>24000</v>
      </c>
    </row>
    <row r="124" spans="1:13" x14ac:dyDescent="0.25">
      <c r="A124">
        <v>3123</v>
      </c>
      <c r="B124" s="1">
        <v>45691</v>
      </c>
      <c r="C124" s="1" t="str">
        <f>TEXT(deepseek_csv_20260422_7f7afa[[#This Row],[OrderDate]], "dddd")</f>
        <v>Monday</v>
      </c>
      <c r="D124" s="1" t="str">
        <f>TEXT(deepseek_csv_20260422_7f7afa[[#This Row],[OrderDate]], "mmmm")</f>
        <v>February</v>
      </c>
      <c r="E124" s="2" t="s">
        <v>15</v>
      </c>
      <c r="F124" s="2" t="s">
        <v>146</v>
      </c>
      <c r="G124">
        <v>4</v>
      </c>
      <c r="H124" s="3">
        <v>18000</v>
      </c>
      <c r="I124" s="2" t="s">
        <v>22</v>
      </c>
      <c r="J124" s="2" t="s">
        <v>23</v>
      </c>
      <c r="K124" s="2" t="s">
        <v>19</v>
      </c>
      <c r="L124">
        <v>0</v>
      </c>
      <c r="M124" s="3">
        <v>72000</v>
      </c>
    </row>
    <row r="125" spans="1:13" x14ac:dyDescent="0.25">
      <c r="A125">
        <v>3124</v>
      </c>
      <c r="B125" s="1">
        <v>45692</v>
      </c>
      <c r="C125" s="1" t="str">
        <f>TEXT(deepseek_csv_20260422_7f7afa[[#This Row],[OrderDate]], "dddd")</f>
        <v>Tuesday</v>
      </c>
      <c r="D125" s="1" t="str">
        <f>TEXT(deepseek_csv_20260422_7f7afa[[#This Row],[OrderDate]], "mmmm")</f>
        <v>February</v>
      </c>
      <c r="E125" s="2" t="s">
        <v>20</v>
      </c>
      <c r="F125" s="2" t="s">
        <v>147</v>
      </c>
      <c r="G125">
        <v>3</v>
      </c>
      <c r="H125" s="3">
        <v>10000</v>
      </c>
      <c r="I125" s="2" t="s">
        <v>26</v>
      </c>
      <c r="J125" s="2" t="s">
        <v>27</v>
      </c>
      <c r="K125" s="2" t="s">
        <v>24</v>
      </c>
      <c r="L125">
        <v>10</v>
      </c>
      <c r="M125" s="3">
        <v>30000</v>
      </c>
    </row>
    <row r="126" spans="1:13" x14ac:dyDescent="0.25">
      <c r="A126">
        <v>3125</v>
      </c>
      <c r="B126" s="1">
        <v>45693</v>
      </c>
      <c r="C126" s="1" t="str">
        <f>TEXT(deepseek_csv_20260422_7f7afa[[#This Row],[OrderDate]], "dddd")</f>
        <v>Wednesday</v>
      </c>
      <c r="D126" s="1" t="str">
        <f>TEXT(deepseek_csv_20260422_7f7afa[[#This Row],[OrderDate]], "mmmm")</f>
        <v>February</v>
      </c>
      <c r="E126" s="2" t="s">
        <v>10</v>
      </c>
      <c r="F126" s="2" t="s">
        <v>148</v>
      </c>
      <c r="G126">
        <v>7</v>
      </c>
      <c r="H126" s="3">
        <v>3000</v>
      </c>
      <c r="I126" s="2" t="s">
        <v>12</v>
      </c>
      <c r="J126" s="2" t="s">
        <v>13</v>
      </c>
      <c r="K126" s="2" t="s">
        <v>14</v>
      </c>
      <c r="L126">
        <v>0</v>
      </c>
      <c r="M126" s="3">
        <v>21000</v>
      </c>
    </row>
    <row r="127" spans="1:13" x14ac:dyDescent="0.25">
      <c r="A127">
        <v>3126</v>
      </c>
      <c r="B127" s="1">
        <v>45694</v>
      </c>
      <c r="C127" s="1" t="str">
        <f>TEXT(deepseek_csv_20260422_7f7afa[[#This Row],[OrderDate]], "dddd")</f>
        <v>Thursday</v>
      </c>
      <c r="D127" s="1" t="str">
        <f>TEXT(deepseek_csv_20260422_7f7afa[[#This Row],[OrderDate]], "mmmm")</f>
        <v>February</v>
      </c>
      <c r="E127" s="2" t="s">
        <v>15</v>
      </c>
      <c r="F127" s="2" t="s">
        <v>149</v>
      </c>
      <c r="G127">
        <v>1</v>
      </c>
      <c r="H127" s="3">
        <v>55000</v>
      </c>
      <c r="I127" s="2" t="s">
        <v>17</v>
      </c>
      <c r="J127" s="2" t="s">
        <v>18</v>
      </c>
      <c r="K127" s="2" t="s">
        <v>19</v>
      </c>
      <c r="L127">
        <v>5</v>
      </c>
      <c r="M127" s="3">
        <v>55000</v>
      </c>
    </row>
    <row r="128" spans="1:13" x14ac:dyDescent="0.25">
      <c r="A128">
        <v>3127</v>
      </c>
      <c r="B128" s="1">
        <v>45695</v>
      </c>
      <c r="C128" s="1" t="str">
        <f>TEXT(deepseek_csv_20260422_7f7afa[[#This Row],[OrderDate]], "dddd")</f>
        <v>Friday</v>
      </c>
      <c r="D128" s="1" t="str">
        <f>TEXT(deepseek_csv_20260422_7f7afa[[#This Row],[OrderDate]], "mmmm")</f>
        <v>February</v>
      </c>
      <c r="E128" s="2" t="s">
        <v>20</v>
      </c>
      <c r="F128" s="2" t="s">
        <v>150</v>
      </c>
      <c r="G128">
        <v>2</v>
      </c>
      <c r="H128" s="3">
        <v>22000</v>
      </c>
      <c r="I128" s="2" t="s">
        <v>22</v>
      </c>
      <c r="J128" s="2" t="s">
        <v>23</v>
      </c>
      <c r="K128" s="2" t="s">
        <v>24</v>
      </c>
      <c r="L128">
        <v>0</v>
      </c>
      <c r="M128" s="3">
        <v>44000</v>
      </c>
    </row>
    <row r="129" spans="1:13" x14ac:dyDescent="0.25">
      <c r="A129">
        <v>3128</v>
      </c>
      <c r="B129" s="1">
        <v>45696</v>
      </c>
      <c r="C129" s="1" t="str">
        <f>TEXT(deepseek_csv_20260422_7f7afa[[#This Row],[OrderDate]], "dddd")</f>
        <v>Saturday</v>
      </c>
      <c r="D129" s="1" t="str">
        <f>TEXT(deepseek_csv_20260422_7f7afa[[#This Row],[OrderDate]], "mmmm")</f>
        <v>February</v>
      </c>
      <c r="E129" s="2" t="s">
        <v>10</v>
      </c>
      <c r="F129" s="2" t="s">
        <v>151</v>
      </c>
      <c r="G129">
        <v>5</v>
      </c>
      <c r="H129" s="3">
        <v>10000</v>
      </c>
      <c r="I129" s="2" t="s">
        <v>26</v>
      </c>
      <c r="J129" s="2" t="s">
        <v>27</v>
      </c>
      <c r="K129" s="2" t="s">
        <v>14</v>
      </c>
      <c r="L129">
        <v>0</v>
      </c>
      <c r="M129" s="3">
        <v>50000</v>
      </c>
    </row>
    <row r="130" spans="1:13" x14ac:dyDescent="0.25">
      <c r="A130">
        <v>3129</v>
      </c>
      <c r="B130" s="1">
        <v>45697</v>
      </c>
      <c r="C130" s="1" t="str">
        <f>TEXT(deepseek_csv_20260422_7f7afa[[#This Row],[OrderDate]], "dddd")</f>
        <v>Sunday</v>
      </c>
      <c r="D130" s="1" t="str">
        <f>TEXT(deepseek_csv_20260422_7f7afa[[#This Row],[OrderDate]], "mmmm")</f>
        <v>February</v>
      </c>
      <c r="E130" s="2" t="s">
        <v>15</v>
      </c>
      <c r="F130" s="2" t="s">
        <v>152</v>
      </c>
      <c r="G130">
        <v>4</v>
      </c>
      <c r="H130" s="3">
        <v>12000</v>
      </c>
      <c r="I130" s="2" t="s">
        <v>12</v>
      </c>
      <c r="J130" s="2" t="s">
        <v>13</v>
      </c>
      <c r="K130" s="2" t="s">
        <v>19</v>
      </c>
      <c r="L130">
        <v>5</v>
      </c>
      <c r="M130" s="3">
        <v>48000</v>
      </c>
    </row>
    <row r="131" spans="1:13" x14ac:dyDescent="0.25">
      <c r="A131">
        <v>3130</v>
      </c>
      <c r="B131" s="1">
        <v>45698</v>
      </c>
      <c r="C131" s="1" t="str">
        <f>TEXT(deepseek_csv_20260422_7f7afa[[#This Row],[OrderDate]], "dddd")</f>
        <v>Monday</v>
      </c>
      <c r="D131" s="1" t="str">
        <f>TEXT(deepseek_csv_20260422_7f7afa[[#This Row],[OrderDate]], "mmmm")</f>
        <v>February</v>
      </c>
      <c r="E131" s="2" t="s">
        <v>20</v>
      </c>
      <c r="F131" s="2" t="s">
        <v>153</v>
      </c>
      <c r="G131">
        <v>3</v>
      </c>
      <c r="H131" s="3">
        <v>8000</v>
      </c>
      <c r="I131" s="2" t="s">
        <v>17</v>
      </c>
      <c r="J131" s="2" t="s">
        <v>18</v>
      </c>
      <c r="K131" s="2" t="s">
        <v>24</v>
      </c>
      <c r="L131">
        <v>0</v>
      </c>
      <c r="M131" s="3">
        <v>24000</v>
      </c>
    </row>
    <row r="132" spans="1:13" x14ac:dyDescent="0.25">
      <c r="A132">
        <v>3131</v>
      </c>
      <c r="B132" s="1">
        <v>45699</v>
      </c>
      <c r="C132" s="1" t="str">
        <f>TEXT(deepseek_csv_20260422_7f7afa[[#This Row],[OrderDate]], "dddd")</f>
        <v>Tuesday</v>
      </c>
      <c r="D132" s="1" t="str">
        <f>TEXT(deepseek_csv_20260422_7f7afa[[#This Row],[OrderDate]], "mmmm")</f>
        <v>February</v>
      </c>
      <c r="E132" s="2" t="s">
        <v>10</v>
      </c>
      <c r="F132" s="2" t="s">
        <v>154</v>
      </c>
      <c r="G132">
        <v>3</v>
      </c>
      <c r="H132" s="3">
        <v>15000</v>
      </c>
      <c r="I132" s="2" t="s">
        <v>22</v>
      </c>
      <c r="J132" s="2" t="s">
        <v>23</v>
      </c>
      <c r="K132" s="2" t="s">
        <v>14</v>
      </c>
      <c r="L132">
        <v>0</v>
      </c>
      <c r="M132" s="3">
        <v>45000</v>
      </c>
    </row>
    <row r="133" spans="1:13" x14ac:dyDescent="0.25">
      <c r="A133">
        <v>3132</v>
      </c>
      <c r="B133" s="1">
        <v>45700</v>
      </c>
      <c r="C133" s="1" t="str">
        <f>TEXT(deepseek_csv_20260422_7f7afa[[#This Row],[OrderDate]], "dddd")</f>
        <v>Wednesday</v>
      </c>
      <c r="D133" s="1" t="str">
        <f>TEXT(deepseek_csv_20260422_7f7afa[[#This Row],[OrderDate]], "mmmm")</f>
        <v>February</v>
      </c>
      <c r="E133" s="2" t="s">
        <v>15</v>
      </c>
      <c r="F133" s="2" t="s">
        <v>155</v>
      </c>
      <c r="G133">
        <v>1</v>
      </c>
      <c r="H133" s="3">
        <v>65000</v>
      </c>
      <c r="I133" s="2" t="s">
        <v>26</v>
      </c>
      <c r="J133" s="2" t="s">
        <v>27</v>
      </c>
      <c r="K133" s="2" t="s">
        <v>19</v>
      </c>
      <c r="L133">
        <v>10</v>
      </c>
      <c r="M133" s="3">
        <v>65000</v>
      </c>
    </row>
    <row r="134" spans="1:13" x14ac:dyDescent="0.25">
      <c r="A134">
        <v>3133</v>
      </c>
      <c r="B134" s="1">
        <v>45701</v>
      </c>
      <c r="C134" s="1" t="str">
        <f>TEXT(deepseek_csv_20260422_7f7afa[[#This Row],[OrderDate]], "dddd")</f>
        <v>Thursday</v>
      </c>
      <c r="D134" s="1" t="str">
        <f>TEXT(deepseek_csv_20260422_7f7afa[[#This Row],[OrderDate]], "mmmm")</f>
        <v>February</v>
      </c>
      <c r="E134" s="2" t="s">
        <v>20</v>
      </c>
      <c r="F134" s="2" t="s">
        <v>156</v>
      </c>
      <c r="G134">
        <v>5</v>
      </c>
      <c r="H134" s="3">
        <v>7000</v>
      </c>
      <c r="I134" s="2" t="s">
        <v>12</v>
      </c>
      <c r="J134" s="2" t="s">
        <v>13</v>
      </c>
      <c r="K134" s="2" t="s">
        <v>24</v>
      </c>
      <c r="L134">
        <v>0</v>
      </c>
      <c r="M134" s="3">
        <v>35000</v>
      </c>
    </row>
    <row r="135" spans="1:13" x14ac:dyDescent="0.25">
      <c r="A135">
        <v>3134</v>
      </c>
      <c r="B135" s="1">
        <v>45702</v>
      </c>
      <c r="C135" s="1" t="str">
        <f>TEXT(deepseek_csv_20260422_7f7afa[[#This Row],[OrderDate]], "dddd")</f>
        <v>Friday</v>
      </c>
      <c r="D135" s="1" t="str">
        <f>TEXT(deepseek_csv_20260422_7f7afa[[#This Row],[OrderDate]], "mmmm")</f>
        <v>February</v>
      </c>
      <c r="E135" s="2" t="s">
        <v>10</v>
      </c>
      <c r="F135" s="2" t="s">
        <v>157</v>
      </c>
      <c r="G135">
        <v>3</v>
      </c>
      <c r="H135" s="3">
        <v>18000</v>
      </c>
      <c r="I135" s="2" t="s">
        <v>17</v>
      </c>
      <c r="J135" s="2" t="s">
        <v>18</v>
      </c>
      <c r="K135" s="2" t="s">
        <v>14</v>
      </c>
      <c r="L135">
        <v>5</v>
      </c>
      <c r="M135" s="3">
        <v>54000</v>
      </c>
    </row>
    <row r="136" spans="1:13" x14ac:dyDescent="0.25">
      <c r="A136">
        <v>3135</v>
      </c>
      <c r="B136" s="1">
        <v>45703</v>
      </c>
      <c r="C136" s="1" t="str">
        <f>TEXT(deepseek_csv_20260422_7f7afa[[#This Row],[OrderDate]], "dddd")</f>
        <v>Saturday</v>
      </c>
      <c r="D136" s="1" t="str">
        <f>TEXT(deepseek_csv_20260422_7f7afa[[#This Row],[OrderDate]], "mmmm")</f>
        <v>February</v>
      </c>
      <c r="E136" s="2" t="s">
        <v>15</v>
      </c>
      <c r="F136" s="2" t="s">
        <v>158</v>
      </c>
      <c r="G136">
        <v>6</v>
      </c>
      <c r="H136" s="3">
        <v>6000</v>
      </c>
      <c r="I136" s="2" t="s">
        <v>22</v>
      </c>
      <c r="J136" s="2" t="s">
        <v>23</v>
      </c>
      <c r="K136" s="2" t="s">
        <v>19</v>
      </c>
      <c r="L136">
        <v>0</v>
      </c>
      <c r="M136" s="3">
        <v>36000</v>
      </c>
    </row>
    <row r="137" spans="1:13" x14ac:dyDescent="0.25">
      <c r="A137">
        <v>3136</v>
      </c>
      <c r="B137" s="1">
        <v>45704</v>
      </c>
      <c r="C137" s="1" t="str">
        <f>TEXT(deepseek_csv_20260422_7f7afa[[#This Row],[OrderDate]], "dddd")</f>
        <v>Sunday</v>
      </c>
      <c r="D137" s="1" t="str">
        <f>TEXT(deepseek_csv_20260422_7f7afa[[#This Row],[OrderDate]], "mmmm")</f>
        <v>February</v>
      </c>
      <c r="E137" s="2" t="s">
        <v>20</v>
      </c>
      <c r="F137" s="2" t="s">
        <v>159</v>
      </c>
      <c r="G137">
        <v>2</v>
      </c>
      <c r="H137" s="3">
        <v>12000</v>
      </c>
      <c r="I137" s="2" t="s">
        <v>26</v>
      </c>
      <c r="J137" s="2" t="s">
        <v>27</v>
      </c>
      <c r="K137" s="2" t="s">
        <v>24</v>
      </c>
      <c r="L137">
        <v>0</v>
      </c>
      <c r="M137" s="3">
        <v>24000</v>
      </c>
    </row>
    <row r="138" spans="1:13" x14ac:dyDescent="0.25">
      <c r="A138">
        <v>3137</v>
      </c>
      <c r="B138" s="1">
        <v>45705</v>
      </c>
      <c r="C138" s="1" t="str">
        <f>TEXT(deepseek_csv_20260422_7f7afa[[#This Row],[OrderDate]], "dddd")</f>
        <v>Monday</v>
      </c>
      <c r="D138" s="1" t="str">
        <f>TEXT(deepseek_csv_20260422_7f7afa[[#This Row],[OrderDate]], "mmmm")</f>
        <v>February</v>
      </c>
      <c r="E138" s="2" t="s">
        <v>10</v>
      </c>
      <c r="F138" s="2" t="s">
        <v>160</v>
      </c>
      <c r="G138">
        <v>2</v>
      </c>
      <c r="H138" s="3">
        <v>45000</v>
      </c>
      <c r="I138" s="2" t="s">
        <v>12</v>
      </c>
      <c r="J138" s="2" t="s">
        <v>13</v>
      </c>
      <c r="K138" s="2" t="s">
        <v>14</v>
      </c>
      <c r="L138">
        <v>10</v>
      </c>
      <c r="M138" s="3">
        <v>90000</v>
      </c>
    </row>
    <row r="139" spans="1:13" x14ac:dyDescent="0.25">
      <c r="A139">
        <v>3138</v>
      </c>
      <c r="B139" s="1">
        <v>45706</v>
      </c>
      <c r="C139" s="1" t="str">
        <f>TEXT(deepseek_csv_20260422_7f7afa[[#This Row],[OrderDate]], "dddd")</f>
        <v>Tuesday</v>
      </c>
      <c r="D139" s="1" t="str">
        <f>TEXT(deepseek_csv_20260422_7f7afa[[#This Row],[OrderDate]], "mmmm")</f>
        <v>February</v>
      </c>
      <c r="E139" s="2" t="s">
        <v>15</v>
      </c>
      <c r="F139" s="2" t="s">
        <v>161</v>
      </c>
      <c r="G139">
        <v>6</v>
      </c>
      <c r="H139" s="3">
        <v>8000</v>
      </c>
      <c r="I139" s="2" t="s">
        <v>17</v>
      </c>
      <c r="J139" s="2" t="s">
        <v>18</v>
      </c>
      <c r="K139" s="2" t="s">
        <v>19</v>
      </c>
      <c r="L139">
        <v>0</v>
      </c>
      <c r="M139" s="3">
        <v>48000</v>
      </c>
    </row>
    <row r="140" spans="1:13" x14ac:dyDescent="0.25">
      <c r="A140">
        <v>3139</v>
      </c>
      <c r="B140" s="1">
        <v>45707</v>
      </c>
      <c r="C140" s="1" t="str">
        <f>TEXT(deepseek_csv_20260422_7f7afa[[#This Row],[OrderDate]], "dddd")</f>
        <v>Wednesday</v>
      </c>
      <c r="D140" s="1" t="str">
        <f>TEXT(deepseek_csv_20260422_7f7afa[[#This Row],[OrderDate]], "mmmm")</f>
        <v>February</v>
      </c>
      <c r="E140" s="2" t="s">
        <v>20</v>
      </c>
      <c r="F140" s="2" t="s">
        <v>162</v>
      </c>
      <c r="G140">
        <v>5</v>
      </c>
      <c r="H140" s="3">
        <v>5000</v>
      </c>
      <c r="I140" s="2" t="s">
        <v>22</v>
      </c>
      <c r="J140" s="2" t="s">
        <v>23</v>
      </c>
      <c r="K140" s="2" t="s">
        <v>24</v>
      </c>
      <c r="L140">
        <v>5</v>
      </c>
      <c r="M140" s="3">
        <v>25000</v>
      </c>
    </row>
    <row r="141" spans="1:13" x14ac:dyDescent="0.25">
      <c r="A141">
        <v>3140</v>
      </c>
      <c r="B141" s="1">
        <v>45708</v>
      </c>
      <c r="C141" s="1" t="str">
        <f>TEXT(deepseek_csv_20260422_7f7afa[[#This Row],[OrderDate]], "dddd")</f>
        <v>Thursday</v>
      </c>
      <c r="D141" s="1" t="str">
        <f>TEXT(deepseek_csv_20260422_7f7afa[[#This Row],[OrderDate]], "mmmm")</f>
        <v>February</v>
      </c>
      <c r="E141" s="2" t="s">
        <v>10</v>
      </c>
      <c r="F141" s="2" t="s">
        <v>163</v>
      </c>
      <c r="G141">
        <v>1</v>
      </c>
      <c r="H141" s="3">
        <v>20000</v>
      </c>
      <c r="I141" s="2" t="s">
        <v>26</v>
      </c>
      <c r="J141" s="2" t="s">
        <v>27</v>
      </c>
      <c r="K141" s="2" t="s">
        <v>14</v>
      </c>
      <c r="L141">
        <v>0</v>
      </c>
      <c r="M141" s="3">
        <v>20000</v>
      </c>
    </row>
    <row r="142" spans="1:13" x14ac:dyDescent="0.25">
      <c r="A142">
        <v>3141</v>
      </c>
      <c r="B142" s="1">
        <v>45709</v>
      </c>
      <c r="C142" s="1" t="str">
        <f>TEXT(deepseek_csv_20260422_7f7afa[[#This Row],[OrderDate]], "dddd")</f>
        <v>Friday</v>
      </c>
      <c r="D142" s="1" t="str">
        <f>TEXT(deepseek_csv_20260422_7f7afa[[#This Row],[OrderDate]], "mmmm")</f>
        <v>February</v>
      </c>
      <c r="E142" s="2" t="s">
        <v>15</v>
      </c>
      <c r="F142" s="2" t="s">
        <v>164</v>
      </c>
      <c r="G142">
        <v>3</v>
      </c>
      <c r="H142" s="3">
        <v>15000</v>
      </c>
      <c r="I142" s="2" t="s">
        <v>12</v>
      </c>
      <c r="J142" s="2" t="s">
        <v>13</v>
      </c>
      <c r="K142" s="2" t="s">
        <v>19</v>
      </c>
      <c r="L142">
        <v>0</v>
      </c>
      <c r="M142" s="3">
        <v>45000</v>
      </c>
    </row>
    <row r="143" spans="1:13" x14ac:dyDescent="0.25">
      <c r="A143">
        <v>3142</v>
      </c>
      <c r="B143" s="1">
        <v>45710</v>
      </c>
      <c r="C143" s="1" t="str">
        <f>TEXT(deepseek_csv_20260422_7f7afa[[#This Row],[OrderDate]], "dddd")</f>
        <v>Saturday</v>
      </c>
      <c r="D143" s="1" t="str">
        <f>TEXT(deepseek_csv_20260422_7f7afa[[#This Row],[OrderDate]], "mmmm")</f>
        <v>February</v>
      </c>
      <c r="E143" s="2" t="s">
        <v>20</v>
      </c>
      <c r="F143" s="2" t="s">
        <v>165</v>
      </c>
      <c r="G143">
        <v>2</v>
      </c>
      <c r="H143" s="3">
        <v>10000</v>
      </c>
      <c r="I143" s="2" t="s">
        <v>17</v>
      </c>
      <c r="J143" s="2" t="s">
        <v>18</v>
      </c>
      <c r="K143" s="2" t="s">
        <v>24</v>
      </c>
      <c r="L143">
        <v>5</v>
      </c>
      <c r="M143" s="3">
        <v>20000</v>
      </c>
    </row>
    <row r="144" spans="1:13" x14ac:dyDescent="0.25">
      <c r="A144">
        <v>3143</v>
      </c>
      <c r="B144" s="1">
        <v>45711</v>
      </c>
      <c r="C144" s="1" t="str">
        <f>TEXT(deepseek_csv_20260422_7f7afa[[#This Row],[OrderDate]], "dddd")</f>
        <v>Sunday</v>
      </c>
      <c r="D144" s="1" t="str">
        <f>TEXT(deepseek_csv_20260422_7f7afa[[#This Row],[OrderDate]], "mmmm")</f>
        <v>February</v>
      </c>
      <c r="E144" s="2" t="s">
        <v>10</v>
      </c>
      <c r="F144" s="2" t="s">
        <v>166</v>
      </c>
      <c r="G144">
        <v>6</v>
      </c>
      <c r="H144" s="3">
        <v>6000</v>
      </c>
      <c r="I144" s="2" t="s">
        <v>22</v>
      </c>
      <c r="J144" s="2" t="s">
        <v>23</v>
      </c>
      <c r="K144" s="2" t="s">
        <v>14</v>
      </c>
      <c r="L144">
        <v>0</v>
      </c>
      <c r="M144" s="3">
        <v>36000</v>
      </c>
    </row>
    <row r="145" spans="1:13" x14ac:dyDescent="0.25">
      <c r="A145">
        <v>3144</v>
      </c>
      <c r="B145" s="1">
        <v>45712</v>
      </c>
      <c r="C145" s="1" t="str">
        <f>TEXT(deepseek_csv_20260422_7f7afa[[#This Row],[OrderDate]], "dddd")</f>
        <v>Monday</v>
      </c>
      <c r="D145" s="1" t="str">
        <f>TEXT(deepseek_csv_20260422_7f7afa[[#This Row],[OrderDate]], "mmmm")</f>
        <v>February</v>
      </c>
      <c r="E145" s="2" t="s">
        <v>15</v>
      </c>
      <c r="F145" s="2" t="s">
        <v>167</v>
      </c>
      <c r="G145">
        <v>7</v>
      </c>
      <c r="H145" s="3">
        <v>3000</v>
      </c>
      <c r="I145" s="2" t="s">
        <v>26</v>
      </c>
      <c r="J145" s="2" t="s">
        <v>27</v>
      </c>
      <c r="K145" s="2" t="s">
        <v>19</v>
      </c>
      <c r="L145">
        <v>0</v>
      </c>
      <c r="M145" s="3">
        <v>21000</v>
      </c>
    </row>
    <row r="146" spans="1:13" x14ac:dyDescent="0.25">
      <c r="A146">
        <v>3145</v>
      </c>
      <c r="B146" s="1">
        <v>45713</v>
      </c>
      <c r="C146" s="1" t="str">
        <f>TEXT(deepseek_csv_20260422_7f7afa[[#This Row],[OrderDate]], "dddd")</f>
        <v>Tuesday</v>
      </c>
      <c r="D146" s="1" t="str">
        <f>TEXT(deepseek_csv_20260422_7f7afa[[#This Row],[OrderDate]], "mmmm")</f>
        <v>February</v>
      </c>
      <c r="E146" s="2" t="s">
        <v>20</v>
      </c>
      <c r="F146" s="2" t="s">
        <v>168</v>
      </c>
      <c r="G146">
        <v>5</v>
      </c>
      <c r="H146" s="3">
        <v>4000</v>
      </c>
      <c r="I146" s="2" t="s">
        <v>12</v>
      </c>
      <c r="J146" s="2" t="s">
        <v>13</v>
      </c>
      <c r="K146" s="2" t="s">
        <v>24</v>
      </c>
      <c r="L146">
        <v>10</v>
      </c>
      <c r="M146" s="3">
        <v>20000</v>
      </c>
    </row>
    <row r="147" spans="1:13" x14ac:dyDescent="0.25">
      <c r="A147">
        <v>3146</v>
      </c>
      <c r="B147" s="1">
        <v>45714</v>
      </c>
      <c r="C147" s="1" t="str">
        <f>TEXT(deepseek_csv_20260422_7f7afa[[#This Row],[OrderDate]], "dddd")</f>
        <v>Wednesday</v>
      </c>
      <c r="D147" s="1" t="str">
        <f>TEXT(deepseek_csv_20260422_7f7afa[[#This Row],[OrderDate]], "mmmm")</f>
        <v>February</v>
      </c>
      <c r="E147" s="2" t="s">
        <v>10</v>
      </c>
      <c r="F147" s="2" t="s">
        <v>169</v>
      </c>
      <c r="G147">
        <v>10</v>
      </c>
      <c r="H147" s="3">
        <v>2000</v>
      </c>
      <c r="I147" s="2" t="s">
        <v>17</v>
      </c>
      <c r="J147" s="2" t="s">
        <v>18</v>
      </c>
      <c r="K147" s="2" t="s">
        <v>14</v>
      </c>
      <c r="L147">
        <v>0</v>
      </c>
      <c r="M147" s="3">
        <v>20000</v>
      </c>
    </row>
    <row r="148" spans="1:13" x14ac:dyDescent="0.25">
      <c r="A148">
        <v>3147</v>
      </c>
      <c r="B148" s="1">
        <v>45715</v>
      </c>
      <c r="C148" s="1" t="str">
        <f>TEXT(deepseek_csv_20260422_7f7afa[[#This Row],[OrderDate]], "dddd")</f>
        <v>Thursday</v>
      </c>
      <c r="D148" s="1" t="str">
        <f>TEXT(deepseek_csv_20260422_7f7afa[[#This Row],[OrderDate]], "mmmm")</f>
        <v>February</v>
      </c>
      <c r="E148" s="2" t="s">
        <v>15</v>
      </c>
      <c r="F148" s="2" t="s">
        <v>170</v>
      </c>
      <c r="G148">
        <v>6</v>
      </c>
      <c r="H148" s="3">
        <v>5000</v>
      </c>
      <c r="I148" s="2" t="s">
        <v>22</v>
      </c>
      <c r="J148" s="2" t="s">
        <v>23</v>
      </c>
      <c r="K148" s="2" t="s">
        <v>19</v>
      </c>
      <c r="L148">
        <v>5</v>
      </c>
      <c r="M148" s="3">
        <v>30000</v>
      </c>
    </row>
    <row r="149" spans="1:13" x14ac:dyDescent="0.25">
      <c r="A149">
        <v>3148</v>
      </c>
      <c r="B149" s="1">
        <v>45716</v>
      </c>
      <c r="C149" s="1" t="str">
        <f>TEXT(deepseek_csv_20260422_7f7afa[[#This Row],[OrderDate]], "dddd")</f>
        <v>Friday</v>
      </c>
      <c r="D149" s="1" t="str">
        <f>TEXT(deepseek_csv_20260422_7f7afa[[#This Row],[OrderDate]], "mmmm")</f>
        <v>February</v>
      </c>
      <c r="E149" s="2" t="s">
        <v>20</v>
      </c>
      <c r="F149" s="2" t="s">
        <v>171</v>
      </c>
      <c r="G149">
        <v>8</v>
      </c>
      <c r="H149" s="3">
        <v>3000</v>
      </c>
      <c r="I149" s="2" t="s">
        <v>26</v>
      </c>
      <c r="J149" s="2" t="s">
        <v>27</v>
      </c>
      <c r="K149" s="2" t="s">
        <v>24</v>
      </c>
      <c r="L149">
        <v>0</v>
      </c>
      <c r="M149" s="3">
        <v>24000</v>
      </c>
    </row>
    <row r="150" spans="1:13" x14ac:dyDescent="0.25">
      <c r="A150">
        <v>3149</v>
      </c>
      <c r="B150" s="1">
        <v>45717</v>
      </c>
      <c r="C150" s="1" t="str">
        <f>TEXT(deepseek_csv_20260422_7f7afa[[#This Row],[OrderDate]], "dddd")</f>
        <v>Saturday</v>
      </c>
      <c r="D150" s="1" t="str">
        <f>TEXT(deepseek_csv_20260422_7f7afa[[#This Row],[OrderDate]], "mmmm")</f>
        <v>March</v>
      </c>
      <c r="E150" s="2" t="s">
        <v>10</v>
      </c>
      <c r="F150" s="2" t="s">
        <v>172</v>
      </c>
      <c r="G150">
        <v>5</v>
      </c>
      <c r="H150" s="3">
        <v>7000</v>
      </c>
      <c r="I150" s="2" t="s">
        <v>12</v>
      </c>
      <c r="J150" s="2" t="s">
        <v>13</v>
      </c>
      <c r="K150" s="2" t="s">
        <v>14</v>
      </c>
      <c r="L150">
        <v>0</v>
      </c>
      <c r="M150" s="3">
        <v>35000</v>
      </c>
    </row>
    <row r="151" spans="1:13" x14ac:dyDescent="0.25">
      <c r="A151">
        <v>3150</v>
      </c>
      <c r="B151" s="1">
        <v>45717</v>
      </c>
      <c r="C151" s="1" t="str">
        <f>TEXT(deepseek_csv_20260422_7f7afa[[#This Row],[OrderDate]], "dddd")</f>
        <v>Saturday</v>
      </c>
      <c r="D151" s="1" t="str">
        <f>TEXT(deepseek_csv_20260422_7f7afa[[#This Row],[OrderDate]], "mmmm")</f>
        <v>March</v>
      </c>
      <c r="E151" s="2" t="s">
        <v>15</v>
      </c>
      <c r="F151" s="2" t="s">
        <v>173</v>
      </c>
      <c r="G151">
        <v>12</v>
      </c>
      <c r="H151" s="3">
        <v>2000</v>
      </c>
      <c r="I151" s="2" t="s">
        <v>17</v>
      </c>
      <c r="J151" s="2" t="s">
        <v>18</v>
      </c>
      <c r="K151" s="2" t="s">
        <v>19</v>
      </c>
      <c r="L151">
        <v>5</v>
      </c>
      <c r="M151" s="3">
        <v>24000</v>
      </c>
    </row>
    <row r="152" spans="1:13" x14ac:dyDescent="0.25">
      <c r="A152">
        <v>3151</v>
      </c>
      <c r="B152" s="1">
        <v>45668</v>
      </c>
      <c r="C152" s="1" t="str">
        <f>TEXT(deepseek_csv_20260422_7f7afa[[#This Row],[OrderDate]], "dddd")</f>
        <v>Saturday</v>
      </c>
      <c r="D152" s="1" t="str">
        <f>TEXT(deepseek_csv_20260422_7f7afa[[#This Row],[OrderDate]], "mmmm")</f>
        <v>January</v>
      </c>
      <c r="E152" s="2" t="s">
        <v>20</v>
      </c>
      <c r="F152" s="2" t="s">
        <v>174</v>
      </c>
      <c r="G152">
        <v>6</v>
      </c>
      <c r="H152" s="3">
        <v>5000</v>
      </c>
      <c r="I152" s="2" t="s">
        <v>22</v>
      </c>
      <c r="J152" s="2" t="s">
        <v>23</v>
      </c>
      <c r="K152" s="2" t="s">
        <v>24</v>
      </c>
      <c r="L152">
        <v>0</v>
      </c>
      <c r="M152" s="3">
        <v>30000</v>
      </c>
    </row>
    <row r="153" spans="1:13" x14ac:dyDescent="0.25">
      <c r="A153">
        <v>3152</v>
      </c>
      <c r="B153" s="1">
        <v>45669</v>
      </c>
      <c r="C153" s="1" t="str">
        <f>TEXT(deepseek_csv_20260422_7f7afa[[#This Row],[OrderDate]], "dddd")</f>
        <v>Sunday</v>
      </c>
      <c r="D153" s="1" t="str">
        <f>TEXT(deepseek_csv_20260422_7f7afa[[#This Row],[OrderDate]], "mmmm")</f>
        <v>January</v>
      </c>
      <c r="E153" s="2" t="s">
        <v>10</v>
      </c>
      <c r="F153" s="2" t="s">
        <v>175</v>
      </c>
      <c r="G153">
        <v>4</v>
      </c>
      <c r="H153" s="3">
        <v>8000</v>
      </c>
      <c r="I153" s="2" t="s">
        <v>26</v>
      </c>
      <c r="J153" s="2" t="s">
        <v>27</v>
      </c>
      <c r="K153" s="2" t="s">
        <v>14</v>
      </c>
      <c r="L153">
        <v>0</v>
      </c>
      <c r="M153" s="3">
        <v>32000</v>
      </c>
    </row>
    <row r="154" spans="1:13" x14ac:dyDescent="0.25">
      <c r="A154">
        <v>3153</v>
      </c>
      <c r="B154" s="1">
        <v>45670</v>
      </c>
      <c r="C154" s="1" t="str">
        <f>TEXT(deepseek_csv_20260422_7f7afa[[#This Row],[OrderDate]], "dddd")</f>
        <v>Monday</v>
      </c>
      <c r="D154" s="1" t="str">
        <f>TEXT(deepseek_csv_20260422_7f7afa[[#This Row],[OrderDate]], "mmmm")</f>
        <v>January</v>
      </c>
      <c r="E154" s="2" t="s">
        <v>15</v>
      </c>
      <c r="F154" s="2" t="s">
        <v>176</v>
      </c>
      <c r="G154">
        <v>5</v>
      </c>
      <c r="H154" s="3">
        <v>7000</v>
      </c>
      <c r="I154" s="2" t="s">
        <v>12</v>
      </c>
      <c r="J154" s="2" t="s">
        <v>13</v>
      </c>
      <c r="K154" s="2" t="s">
        <v>19</v>
      </c>
      <c r="L154">
        <v>5</v>
      </c>
      <c r="M154" s="3">
        <v>35000</v>
      </c>
    </row>
    <row r="155" spans="1:13" x14ac:dyDescent="0.25">
      <c r="A155">
        <v>3154</v>
      </c>
      <c r="B155" s="1">
        <v>45671</v>
      </c>
      <c r="C155" s="1" t="str">
        <f>TEXT(deepseek_csv_20260422_7f7afa[[#This Row],[OrderDate]], "dddd")</f>
        <v>Tuesday</v>
      </c>
      <c r="D155" s="1" t="str">
        <f>TEXT(deepseek_csv_20260422_7f7afa[[#This Row],[OrderDate]], "mmmm")</f>
        <v>January</v>
      </c>
      <c r="E155" s="2" t="s">
        <v>20</v>
      </c>
      <c r="F155" s="2" t="s">
        <v>177</v>
      </c>
      <c r="G155">
        <v>2</v>
      </c>
      <c r="H155" s="3">
        <v>12000</v>
      </c>
      <c r="I155" s="2" t="s">
        <v>17</v>
      </c>
      <c r="J155" s="2" t="s">
        <v>18</v>
      </c>
      <c r="K155" s="2" t="s">
        <v>24</v>
      </c>
      <c r="L155">
        <v>0</v>
      </c>
      <c r="M155" s="3">
        <v>24000</v>
      </c>
    </row>
    <row r="156" spans="1:13" x14ac:dyDescent="0.25">
      <c r="A156">
        <v>3155</v>
      </c>
      <c r="B156" s="1">
        <v>45672</v>
      </c>
      <c r="C156" s="1" t="str">
        <f>TEXT(deepseek_csv_20260422_7f7afa[[#This Row],[OrderDate]], "dddd")</f>
        <v>Wednesday</v>
      </c>
      <c r="D156" s="1" t="str">
        <f>TEXT(deepseek_csv_20260422_7f7afa[[#This Row],[OrderDate]], "mmmm")</f>
        <v>January</v>
      </c>
      <c r="E156" s="2" t="s">
        <v>10</v>
      </c>
      <c r="F156" s="2" t="s">
        <v>178</v>
      </c>
      <c r="G156">
        <v>1</v>
      </c>
      <c r="H156" s="3">
        <v>85000</v>
      </c>
      <c r="I156" s="2" t="s">
        <v>22</v>
      </c>
      <c r="J156" s="2" t="s">
        <v>23</v>
      </c>
      <c r="K156" s="2" t="s">
        <v>14</v>
      </c>
      <c r="L156">
        <v>0</v>
      </c>
      <c r="M156" s="3">
        <v>85000</v>
      </c>
    </row>
    <row r="157" spans="1:13" x14ac:dyDescent="0.25">
      <c r="A157">
        <v>3156</v>
      </c>
      <c r="B157" s="1">
        <v>45673</v>
      </c>
      <c r="C157" s="1" t="str">
        <f>TEXT(deepseek_csv_20260422_7f7afa[[#This Row],[OrderDate]], "dddd")</f>
        <v>Thursday</v>
      </c>
      <c r="D157" s="1" t="str">
        <f>TEXT(deepseek_csv_20260422_7f7afa[[#This Row],[OrderDate]], "mmmm")</f>
        <v>January</v>
      </c>
      <c r="E157" s="2" t="s">
        <v>15</v>
      </c>
      <c r="F157" s="2" t="s">
        <v>179</v>
      </c>
      <c r="G157">
        <v>4</v>
      </c>
      <c r="H157" s="3">
        <v>15000</v>
      </c>
      <c r="I157" s="2" t="s">
        <v>26</v>
      </c>
      <c r="J157" s="2" t="s">
        <v>27</v>
      </c>
      <c r="K157" s="2" t="s">
        <v>19</v>
      </c>
      <c r="L157">
        <v>10</v>
      </c>
      <c r="M157" s="3">
        <v>60000</v>
      </c>
    </row>
    <row r="158" spans="1:13" x14ac:dyDescent="0.25">
      <c r="A158">
        <v>3157</v>
      </c>
      <c r="B158" s="1">
        <v>45674</v>
      </c>
      <c r="C158" s="1" t="str">
        <f>TEXT(deepseek_csv_20260422_7f7afa[[#This Row],[OrderDate]], "dddd")</f>
        <v>Friday</v>
      </c>
      <c r="D158" s="1" t="str">
        <f>TEXT(deepseek_csv_20260422_7f7afa[[#This Row],[OrderDate]], "mmmm")</f>
        <v>January</v>
      </c>
      <c r="E158" s="2" t="s">
        <v>20</v>
      </c>
      <c r="F158" s="2" t="s">
        <v>180</v>
      </c>
      <c r="G158">
        <v>6</v>
      </c>
      <c r="H158" s="3">
        <v>6000</v>
      </c>
      <c r="I158" s="2" t="s">
        <v>12</v>
      </c>
      <c r="J158" s="2" t="s">
        <v>13</v>
      </c>
      <c r="K158" s="2" t="s">
        <v>24</v>
      </c>
      <c r="L158">
        <v>0</v>
      </c>
      <c r="M158" s="3">
        <v>36000</v>
      </c>
    </row>
    <row r="159" spans="1:13" x14ac:dyDescent="0.25">
      <c r="A159">
        <v>3158</v>
      </c>
      <c r="B159" s="1">
        <v>45675</v>
      </c>
      <c r="C159" s="1" t="str">
        <f>TEXT(deepseek_csv_20260422_7f7afa[[#This Row],[OrderDate]], "dddd")</f>
        <v>Saturday</v>
      </c>
      <c r="D159" s="1" t="str">
        <f>TEXT(deepseek_csv_20260422_7f7afa[[#This Row],[OrderDate]], "mmmm")</f>
        <v>January</v>
      </c>
      <c r="E159" s="2" t="s">
        <v>10</v>
      </c>
      <c r="F159" s="2" t="s">
        <v>181</v>
      </c>
      <c r="G159">
        <v>1</v>
      </c>
      <c r="H159" s="3">
        <v>35000</v>
      </c>
      <c r="I159" s="2" t="s">
        <v>17</v>
      </c>
      <c r="J159" s="2" t="s">
        <v>18</v>
      </c>
      <c r="K159" s="2" t="s">
        <v>14</v>
      </c>
      <c r="L159">
        <v>5</v>
      </c>
      <c r="M159" s="3">
        <v>35000</v>
      </c>
    </row>
    <row r="160" spans="1:13" x14ac:dyDescent="0.25">
      <c r="A160">
        <v>3159</v>
      </c>
      <c r="B160" s="1">
        <v>45676</v>
      </c>
      <c r="C160" s="1" t="str">
        <f>TEXT(deepseek_csv_20260422_7f7afa[[#This Row],[OrderDate]], "dddd")</f>
        <v>Sunday</v>
      </c>
      <c r="D160" s="1" t="str">
        <f>TEXT(deepseek_csv_20260422_7f7afa[[#This Row],[OrderDate]], "mmmm")</f>
        <v>January</v>
      </c>
      <c r="E160" s="2" t="s">
        <v>15</v>
      </c>
      <c r="F160" s="2" t="s">
        <v>182</v>
      </c>
      <c r="G160">
        <v>3</v>
      </c>
      <c r="H160" s="3">
        <v>10000</v>
      </c>
      <c r="I160" s="2" t="s">
        <v>22</v>
      </c>
      <c r="J160" s="2" t="s">
        <v>23</v>
      </c>
      <c r="K160" s="2" t="s">
        <v>19</v>
      </c>
      <c r="L160">
        <v>0</v>
      </c>
      <c r="M160" s="3">
        <v>30000</v>
      </c>
    </row>
    <row r="161" spans="1:13" x14ac:dyDescent="0.25">
      <c r="A161">
        <v>3160</v>
      </c>
      <c r="B161" s="1">
        <v>45677</v>
      </c>
      <c r="C161" s="1" t="str">
        <f>TEXT(deepseek_csv_20260422_7f7afa[[#This Row],[OrderDate]], "dddd")</f>
        <v>Monday</v>
      </c>
      <c r="D161" s="1" t="str">
        <f>TEXT(deepseek_csv_20260422_7f7afa[[#This Row],[OrderDate]], "mmmm")</f>
        <v>January</v>
      </c>
      <c r="E161" s="2" t="s">
        <v>20</v>
      </c>
      <c r="F161" s="2" t="s">
        <v>183</v>
      </c>
      <c r="G161">
        <v>3</v>
      </c>
      <c r="H161" s="3">
        <v>15000</v>
      </c>
      <c r="I161" s="2" t="s">
        <v>26</v>
      </c>
      <c r="J161" s="2" t="s">
        <v>27</v>
      </c>
      <c r="K161" s="2" t="s">
        <v>24</v>
      </c>
      <c r="L161">
        <v>0</v>
      </c>
      <c r="M161" s="3">
        <v>45000</v>
      </c>
    </row>
    <row r="162" spans="1:13" x14ac:dyDescent="0.25">
      <c r="A162">
        <v>3161</v>
      </c>
      <c r="B162" s="1">
        <v>45678</v>
      </c>
      <c r="C162" s="1" t="str">
        <f>TEXT(deepseek_csv_20260422_7f7afa[[#This Row],[OrderDate]], "dddd")</f>
        <v>Tuesday</v>
      </c>
      <c r="D162" s="1" t="str">
        <f>TEXT(deepseek_csv_20260422_7f7afa[[#This Row],[OrderDate]], "mmmm")</f>
        <v>January</v>
      </c>
      <c r="E162" s="2" t="s">
        <v>10</v>
      </c>
      <c r="F162" s="2" t="s">
        <v>184</v>
      </c>
      <c r="G162">
        <v>5</v>
      </c>
      <c r="H162" s="3">
        <v>8000</v>
      </c>
      <c r="I162" s="2" t="s">
        <v>12</v>
      </c>
      <c r="J162" s="2" t="s">
        <v>13</v>
      </c>
      <c r="K162" s="2" t="s">
        <v>14</v>
      </c>
      <c r="L162">
        <v>5</v>
      </c>
      <c r="M162" s="3">
        <v>40000</v>
      </c>
    </row>
    <row r="163" spans="1:13" x14ac:dyDescent="0.25">
      <c r="A163">
        <v>3162</v>
      </c>
      <c r="B163" s="1">
        <v>45679</v>
      </c>
      <c r="C163" s="1" t="str">
        <f>TEXT(deepseek_csv_20260422_7f7afa[[#This Row],[OrderDate]], "dddd")</f>
        <v>Wednesday</v>
      </c>
      <c r="D163" s="1" t="str">
        <f>TEXT(deepseek_csv_20260422_7f7afa[[#This Row],[OrderDate]], "mmmm")</f>
        <v>January</v>
      </c>
      <c r="E163" s="2" t="s">
        <v>15</v>
      </c>
      <c r="F163" s="2" t="s">
        <v>185</v>
      </c>
      <c r="G163">
        <v>2</v>
      </c>
      <c r="H163" s="3">
        <v>12000</v>
      </c>
      <c r="I163" s="2" t="s">
        <v>17</v>
      </c>
      <c r="J163" s="2" t="s">
        <v>18</v>
      </c>
      <c r="K163" s="2" t="s">
        <v>19</v>
      </c>
      <c r="L163">
        <v>0</v>
      </c>
      <c r="M163" s="3">
        <v>24000</v>
      </c>
    </row>
    <row r="164" spans="1:13" x14ac:dyDescent="0.25">
      <c r="A164">
        <v>3163</v>
      </c>
      <c r="B164" s="1">
        <v>45680</v>
      </c>
      <c r="C164" s="1" t="str">
        <f>TEXT(deepseek_csv_20260422_7f7afa[[#This Row],[OrderDate]], "dddd")</f>
        <v>Thursday</v>
      </c>
      <c r="D164" s="1" t="str">
        <f>TEXT(deepseek_csv_20260422_7f7afa[[#This Row],[OrderDate]], "mmmm")</f>
        <v>January</v>
      </c>
      <c r="E164" s="2" t="s">
        <v>20</v>
      </c>
      <c r="F164" s="2" t="s">
        <v>186</v>
      </c>
      <c r="G164">
        <v>6</v>
      </c>
      <c r="H164" s="3">
        <v>4000</v>
      </c>
      <c r="I164" s="2" t="s">
        <v>22</v>
      </c>
      <c r="J164" s="2" t="s">
        <v>23</v>
      </c>
      <c r="K164" s="2" t="s">
        <v>24</v>
      </c>
      <c r="L164">
        <v>0</v>
      </c>
      <c r="M164" s="3">
        <v>24000</v>
      </c>
    </row>
    <row r="165" spans="1:13" x14ac:dyDescent="0.25">
      <c r="A165">
        <v>3164</v>
      </c>
      <c r="B165" s="1">
        <v>45681</v>
      </c>
      <c r="C165" s="1" t="str">
        <f>TEXT(deepseek_csv_20260422_7f7afa[[#This Row],[OrderDate]], "dddd")</f>
        <v>Friday</v>
      </c>
      <c r="D165" s="1" t="str">
        <f>TEXT(deepseek_csv_20260422_7f7afa[[#This Row],[OrderDate]], "mmmm")</f>
        <v>January</v>
      </c>
      <c r="E165" s="2" t="s">
        <v>10</v>
      </c>
      <c r="F165" s="2" t="s">
        <v>187</v>
      </c>
      <c r="G165">
        <v>3</v>
      </c>
      <c r="H165" s="3">
        <v>9000</v>
      </c>
      <c r="I165" s="2" t="s">
        <v>26</v>
      </c>
      <c r="J165" s="2" t="s">
        <v>27</v>
      </c>
      <c r="K165" s="2" t="s">
        <v>14</v>
      </c>
      <c r="L165">
        <v>10</v>
      </c>
      <c r="M165" s="3">
        <v>27000</v>
      </c>
    </row>
    <row r="166" spans="1:13" x14ac:dyDescent="0.25">
      <c r="A166">
        <v>3165</v>
      </c>
      <c r="B166" s="1">
        <v>45682</v>
      </c>
      <c r="C166" s="1" t="str">
        <f>TEXT(deepseek_csv_20260422_7f7afa[[#This Row],[OrderDate]], "dddd")</f>
        <v>Saturday</v>
      </c>
      <c r="D166" s="1" t="str">
        <f>TEXT(deepseek_csv_20260422_7f7afa[[#This Row],[OrderDate]], "mmmm")</f>
        <v>January</v>
      </c>
      <c r="E166" s="2" t="s">
        <v>15</v>
      </c>
      <c r="F166" s="2" t="s">
        <v>188</v>
      </c>
      <c r="G166">
        <v>4</v>
      </c>
      <c r="H166" s="3">
        <v>8000</v>
      </c>
      <c r="I166" s="2" t="s">
        <v>12</v>
      </c>
      <c r="J166" s="2" t="s">
        <v>13</v>
      </c>
      <c r="K166" s="2" t="s">
        <v>19</v>
      </c>
      <c r="L166">
        <v>0</v>
      </c>
      <c r="M166" s="3">
        <v>32000</v>
      </c>
    </row>
    <row r="167" spans="1:13" x14ac:dyDescent="0.25">
      <c r="A167">
        <v>3166</v>
      </c>
      <c r="B167" s="1">
        <v>45683</v>
      </c>
      <c r="C167" s="1" t="str">
        <f>TEXT(deepseek_csv_20260422_7f7afa[[#This Row],[OrderDate]], "dddd")</f>
        <v>Sunday</v>
      </c>
      <c r="D167" s="1" t="str">
        <f>TEXT(deepseek_csv_20260422_7f7afa[[#This Row],[OrderDate]], "mmmm")</f>
        <v>January</v>
      </c>
      <c r="E167" s="2" t="s">
        <v>20</v>
      </c>
      <c r="F167" s="2" t="s">
        <v>189</v>
      </c>
      <c r="G167">
        <v>1</v>
      </c>
      <c r="H167" s="3">
        <v>45000</v>
      </c>
      <c r="I167" s="2" t="s">
        <v>17</v>
      </c>
      <c r="J167" s="2" t="s">
        <v>18</v>
      </c>
      <c r="K167" s="2" t="s">
        <v>24</v>
      </c>
      <c r="L167">
        <v>5</v>
      </c>
      <c r="M167" s="3">
        <v>45000</v>
      </c>
    </row>
    <row r="168" spans="1:13" x14ac:dyDescent="0.25">
      <c r="A168">
        <v>3167</v>
      </c>
      <c r="B168" s="1">
        <v>45684</v>
      </c>
      <c r="C168" s="1" t="str">
        <f>TEXT(deepseek_csv_20260422_7f7afa[[#This Row],[OrderDate]], "dddd")</f>
        <v>Monday</v>
      </c>
      <c r="D168" s="1" t="str">
        <f>TEXT(deepseek_csv_20260422_7f7afa[[#This Row],[OrderDate]], "mmmm")</f>
        <v>January</v>
      </c>
      <c r="E168" s="2" t="s">
        <v>10</v>
      </c>
      <c r="F168" s="2" t="s">
        <v>190</v>
      </c>
      <c r="G168">
        <v>2</v>
      </c>
      <c r="H168" s="3">
        <v>15000</v>
      </c>
      <c r="I168" s="2" t="s">
        <v>22</v>
      </c>
      <c r="J168" s="2" t="s">
        <v>23</v>
      </c>
      <c r="K168" s="2" t="s">
        <v>14</v>
      </c>
      <c r="L168">
        <v>0</v>
      </c>
      <c r="M168" s="3">
        <v>30000</v>
      </c>
    </row>
    <row r="169" spans="1:13" x14ac:dyDescent="0.25">
      <c r="A169">
        <v>3168</v>
      </c>
      <c r="B169" s="1">
        <v>45685</v>
      </c>
      <c r="C169" s="1" t="str">
        <f>TEXT(deepseek_csv_20260422_7f7afa[[#This Row],[OrderDate]], "dddd")</f>
        <v>Tuesday</v>
      </c>
      <c r="D169" s="1" t="str">
        <f>TEXT(deepseek_csv_20260422_7f7afa[[#This Row],[OrderDate]], "mmmm")</f>
        <v>January</v>
      </c>
      <c r="E169" s="2" t="s">
        <v>15</v>
      </c>
      <c r="F169" s="2" t="s">
        <v>191</v>
      </c>
      <c r="G169">
        <v>2</v>
      </c>
      <c r="H169" s="3">
        <v>18000</v>
      </c>
      <c r="I169" s="2" t="s">
        <v>26</v>
      </c>
      <c r="J169" s="2" t="s">
        <v>27</v>
      </c>
      <c r="K169" s="2" t="s">
        <v>19</v>
      </c>
      <c r="L169">
        <v>0</v>
      </c>
      <c r="M169" s="3">
        <v>36000</v>
      </c>
    </row>
    <row r="170" spans="1:13" x14ac:dyDescent="0.25">
      <c r="A170">
        <v>3169</v>
      </c>
      <c r="B170" s="1">
        <v>45686</v>
      </c>
      <c r="C170" s="1" t="str">
        <f>TEXT(deepseek_csv_20260422_7f7afa[[#This Row],[OrderDate]], "dddd")</f>
        <v>Wednesday</v>
      </c>
      <c r="D170" s="1" t="str">
        <f>TEXT(deepseek_csv_20260422_7f7afa[[#This Row],[OrderDate]], "mmmm")</f>
        <v>January</v>
      </c>
      <c r="E170" s="2" t="s">
        <v>20</v>
      </c>
      <c r="F170" s="2" t="s">
        <v>192</v>
      </c>
      <c r="G170">
        <v>1</v>
      </c>
      <c r="H170" s="3">
        <v>25000</v>
      </c>
      <c r="I170" s="2" t="s">
        <v>12</v>
      </c>
      <c r="J170" s="2" t="s">
        <v>13</v>
      </c>
      <c r="K170" s="2" t="s">
        <v>24</v>
      </c>
      <c r="L170">
        <v>5</v>
      </c>
      <c r="M170" s="3">
        <v>25000</v>
      </c>
    </row>
    <row r="171" spans="1:13" x14ac:dyDescent="0.25">
      <c r="A171">
        <v>3170</v>
      </c>
      <c r="B171" s="1">
        <v>45687</v>
      </c>
      <c r="C171" s="1" t="str">
        <f>TEXT(deepseek_csv_20260422_7f7afa[[#This Row],[OrderDate]], "dddd")</f>
        <v>Thursday</v>
      </c>
      <c r="D171" s="1" t="str">
        <f>TEXT(deepseek_csv_20260422_7f7afa[[#This Row],[OrderDate]], "mmmm")</f>
        <v>January</v>
      </c>
      <c r="E171" s="2" t="s">
        <v>10</v>
      </c>
      <c r="F171" s="2" t="s">
        <v>193</v>
      </c>
      <c r="G171">
        <v>4</v>
      </c>
      <c r="H171" s="3">
        <v>8000</v>
      </c>
      <c r="I171" s="2" t="s">
        <v>17</v>
      </c>
      <c r="J171" s="2" t="s">
        <v>18</v>
      </c>
      <c r="K171" s="2" t="s">
        <v>14</v>
      </c>
      <c r="L171">
        <v>0</v>
      </c>
      <c r="M171" s="3">
        <v>32000</v>
      </c>
    </row>
    <row r="172" spans="1:13" x14ac:dyDescent="0.25">
      <c r="A172">
        <v>3171</v>
      </c>
      <c r="B172" s="1">
        <v>45688</v>
      </c>
      <c r="C172" s="1" t="str">
        <f>TEXT(deepseek_csv_20260422_7f7afa[[#This Row],[OrderDate]], "dddd")</f>
        <v>Friday</v>
      </c>
      <c r="D172" s="1" t="str">
        <f>TEXT(deepseek_csv_20260422_7f7afa[[#This Row],[OrderDate]], "mmmm")</f>
        <v>January</v>
      </c>
      <c r="E172" s="2" t="s">
        <v>15</v>
      </c>
      <c r="F172" s="2" t="s">
        <v>194</v>
      </c>
      <c r="G172">
        <v>5</v>
      </c>
      <c r="H172" s="3">
        <v>5000</v>
      </c>
      <c r="I172" s="2" t="s">
        <v>22</v>
      </c>
      <c r="J172" s="2" t="s">
        <v>23</v>
      </c>
      <c r="K172" s="2" t="s">
        <v>19</v>
      </c>
      <c r="L172">
        <v>0</v>
      </c>
      <c r="M172" s="3">
        <v>25000</v>
      </c>
    </row>
    <row r="173" spans="1:13" x14ac:dyDescent="0.25">
      <c r="A173">
        <v>3172</v>
      </c>
      <c r="B173" s="1">
        <v>45689</v>
      </c>
      <c r="C173" s="1" t="str">
        <f>TEXT(deepseek_csv_20260422_7f7afa[[#This Row],[OrderDate]], "dddd")</f>
        <v>Saturday</v>
      </c>
      <c r="D173" s="1" t="str">
        <f>TEXT(deepseek_csv_20260422_7f7afa[[#This Row],[OrderDate]], "mmmm")</f>
        <v>February</v>
      </c>
      <c r="E173" s="2" t="s">
        <v>20</v>
      </c>
      <c r="F173" s="2" t="s">
        <v>195</v>
      </c>
      <c r="G173">
        <v>2</v>
      </c>
      <c r="H173" s="3">
        <v>20000</v>
      </c>
      <c r="I173" s="2" t="s">
        <v>26</v>
      </c>
      <c r="J173" s="2" t="s">
        <v>27</v>
      </c>
      <c r="K173" s="2" t="s">
        <v>24</v>
      </c>
      <c r="L173">
        <v>10</v>
      </c>
      <c r="M173" s="3">
        <v>40000</v>
      </c>
    </row>
    <row r="174" spans="1:13" x14ac:dyDescent="0.25">
      <c r="A174">
        <v>3173</v>
      </c>
      <c r="B174" s="1">
        <v>45690</v>
      </c>
      <c r="C174" s="1" t="str">
        <f>TEXT(deepseek_csv_20260422_7f7afa[[#This Row],[OrderDate]], "dddd")</f>
        <v>Sunday</v>
      </c>
      <c r="D174" s="1" t="str">
        <f>TEXT(deepseek_csv_20260422_7f7afa[[#This Row],[OrderDate]], "mmmm")</f>
        <v>February</v>
      </c>
      <c r="E174" s="2" t="s">
        <v>10</v>
      </c>
      <c r="F174" s="2" t="s">
        <v>196</v>
      </c>
      <c r="G174">
        <v>2</v>
      </c>
      <c r="H174" s="3">
        <v>25000</v>
      </c>
      <c r="I174" s="2" t="s">
        <v>12</v>
      </c>
      <c r="J174" s="2" t="s">
        <v>13</v>
      </c>
      <c r="K174" s="2" t="s">
        <v>14</v>
      </c>
      <c r="L174">
        <v>0</v>
      </c>
      <c r="M174" s="3">
        <v>50000</v>
      </c>
    </row>
    <row r="175" spans="1:13" x14ac:dyDescent="0.25">
      <c r="A175">
        <v>3174</v>
      </c>
      <c r="B175" s="1">
        <v>45691</v>
      </c>
      <c r="C175" s="1" t="str">
        <f>TEXT(deepseek_csv_20260422_7f7afa[[#This Row],[OrderDate]], "dddd")</f>
        <v>Monday</v>
      </c>
      <c r="D175" s="1" t="str">
        <f>TEXT(deepseek_csv_20260422_7f7afa[[#This Row],[OrderDate]], "mmmm")</f>
        <v>February</v>
      </c>
      <c r="E175" s="2" t="s">
        <v>15</v>
      </c>
      <c r="F175" s="2" t="s">
        <v>197</v>
      </c>
      <c r="G175">
        <v>4</v>
      </c>
      <c r="H175" s="3">
        <v>10000</v>
      </c>
      <c r="I175" s="2" t="s">
        <v>17</v>
      </c>
      <c r="J175" s="2" t="s">
        <v>18</v>
      </c>
      <c r="K175" s="2" t="s">
        <v>19</v>
      </c>
      <c r="L175">
        <v>5</v>
      </c>
      <c r="M175" s="3">
        <v>40000</v>
      </c>
    </row>
    <row r="176" spans="1:13" x14ac:dyDescent="0.25">
      <c r="A176">
        <v>3175</v>
      </c>
      <c r="B176" s="1">
        <v>45692</v>
      </c>
      <c r="C176" s="1" t="str">
        <f>TEXT(deepseek_csv_20260422_7f7afa[[#This Row],[OrderDate]], "dddd")</f>
        <v>Tuesday</v>
      </c>
      <c r="D176" s="1" t="str">
        <f>TEXT(deepseek_csv_20260422_7f7afa[[#This Row],[OrderDate]], "mmmm")</f>
        <v>February</v>
      </c>
      <c r="E176" s="2" t="s">
        <v>20</v>
      </c>
      <c r="F176" s="2" t="s">
        <v>198</v>
      </c>
      <c r="G176">
        <v>1</v>
      </c>
      <c r="H176" s="3">
        <v>85000</v>
      </c>
      <c r="I176" s="2" t="s">
        <v>22</v>
      </c>
      <c r="J176" s="2" t="s">
        <v>23</v>
      </c>
      <c r="K176" s="2" t="s">
        <v>24</v>
      </c>
      <c r="L176">
        <v>0</v>
      </c>
      <c r="M176" s="3">
        <v>85000</v>
      </c>
    </row>
    <row r="177" spans="1:13" x14ac:dyDescent="0.25">
      <c r="A177">
        <v>3176</v>
      </c>
      <c r="B177" s="1">
        <v>45693</v>
      </c>
      <c r="C177" s="1" t="str">
        <f>TEXT(deepseek_csv_20260422_7f7afa[[#This Row],[OrderDate]], "dddd")</f>
        <v>Wednesday</v>
      </c>
      <c r="D177" s="1" t="str">
        <f>TEXT(deepseek_csv_20260422_7f7afa[[#This Row],[OrderDate]], "mmmm")</f>
        <v>February</v>
      </c>
      <c r="E177" s="2" t="s">
        <v>10</v>
      </c>
      <c r="F177" s="2" t="s">
        <v>199</v>
      </c>
      <c r="G177">
        <v>5</v>
      </c>
      <c r="H177" s="3">
        <v>5000</v>
      </c>
      <c r="I177" s="2" t="s">
        <v>26</v>
      </c>
      <c r="J177" s="2" t="s">
        <v>27</v>
      </c>
      <c r="K177" s="2" t="s">
        <v>14</v>
      </c>
      <c r="L177">
        <v>0</v>
      </c>
      <c r="M177" s="3">
        <v>25000</v>
      </c>
    </row>
    <row r="178" spans="1:13" x14ac:dyDescent="0.25">
      <c r="A178">
        <v>3177</v>
      </c>
      <c r="B178" s="1">
        <v>45694</v>
      </c>
      <c r="C178" s="1" t="str">
        <f>TEXT(deepseek_csv_20260422_7f7afa[[#This Row],[OrderDate]], "dddd")</f>
        <v>Thursday</v>
      </c>
      <c r="D178" s="1" t="str">
        <f>TEXT(deepseek_csv_20260422_7f7afa[[#This Row],[OrderDate]], "mmmm")</f>
        <v>February</v>
      </c>
      <c r="E178" s="2" t="s">
        <v>15</v>
      </c>
      <c r="F178" s="2" t="s">
        <v>200</v>
      </c>
      <c r="G178">
        <v>8</v>
      </c>
      <c r="H178" s="3">
        <v>2000</v>
      </c>
      <c r="I178" s="2" t="s">
        <v>12</v>
      </c>
      <c r="J178" s="2" t="s">
        <v>13</v>
      </c>
      <c r="K178" s="2" t="s">
        <v>19</v>
      </c>
      <c r="L178">
        <v>5</v>
      </c>
      <c r="M178" s="3">
        <v>16000</v>
      </c>
    </row>
    <row r="179" spans="1:13" x14ac:dyDescent="0.25">
      <c r="A179">
        <v>3178</v>
      </c>
      <c r="B179" s="1">
        <v>45695</v>
      </c>
      <c r="C179" s="1" t="str">
        <f>TEXT(deepseek_csv_20260422_7f7afa[[#This Row],[OrderDate]], "dddd")</f>
        <v>Friday</v>
      </c>
      <c r="D179" s="1" t="str">
        <f>TEXT(deepseek_csv_20260422_7f7afa[[#This Row],[OrderDate]], "mmmm")</f>
        <v>February</v>
      </c>
      <c r="E179" s="2" t="s">
        <v>20</v>
      </c>
      <c r="F179" s="2" t="s">
        <v>201</v>
      </c>
      <c r="G179">
        <v>12</v>
      </c>
      <c r="H179" s="3">
        <v>1500</v>
      </c>
      <c r="I179" s="2" t="s">
        <v>17</v>
      </c>
      <c r="J179" s="2" t="s">
        <v>18</v>
      </c>
      <c r="K179" s="2" t="s">
        <v>24</v>
      </c>
      <c r="L179">
        <v>0</v>
      </c>
      <c r="M179" s="3">
        <v>18000</v>
      </c>
    </row>
    <row r="180" spans="1:13" x14ac:dyDescent="0.25">
      <c r="A180">
        <v>3179</v>
      </c>
      <c r="B180" s="1">
        <v>45696</v>
      </c>
      <c r="C180" s="1" t="str">
        <f>TEXT(deepseek_csv_20260422_7f7afa[[#This Row],[OrderDate]], "dddd")</f>
        <v>Saturday</v>
      </c>
      <c r="D180" s="1" t="str">
        <f>TEXT(deepseek_csv_20260422_7f7afa[[#This Row],[OrderDate]], "mmmm")</f>
        <v>February</v>
      </c>
      <c r="E180" s="2" t="s">
        <v>10</v>
      </c>
      <c r="F180" s="2" t="s">
        <v>202</v>
      </c>
      <c r="G180">
        <v>6</v>
      </c>
      <c r="H180" s="3">
        <v>3000</v>
      </c>
      <c r="I180" s="2" t="s">
        <v>22</v>
      </c>
      <c r="J180" s="2" t="s">
        <v>23</v>
      </c>
      <c r="K180" s="2" t="s">
        <v>14</v>
      </c>
      <c r="L180">
        <v>0</v>
      </c>
      <c r="M180" s="3">
        <v>18000</v>
      </c>
    </row>
    <row r="181" spans="1:13" x14ac:dyDescent="0.25">
      <c r="A181">
        <v>3180</v>
      </c>
      <c r="B181" s="1">
        <v>45697</v>
      </c>
      <c r="C181" s="1" t="str">
        <f>TEXT(deepseek_csv_20260422_7f7afa[[#This Row],[OrderDate]], "dddd")</f>
        <v>Sunday</v>
      </c>
      <c r="D181" s="1" t="str">
        <f>TEXT(deepseek_csv_20260422_7f7afa[[#This Row],[OrderDate]], "mmmm")</f>
        <v>February</v>
      </c>
      <c r="E181" s="2" t="s">
        <v>15</v>
      </c>
      <c r="F181" s="2" t="s">
        <v>203</v>
      </c>
      <c r="G181">
        <v>8</v>
      </c>
      <c r="H181" s="3">
        <v>2000</v>
      </c>
      <c r="I181" s="2" t="s">
        <v>26</v>
      </c>
      <c r="J181" s="2" t="s">
        <v>27</v>
      </c>
      <c r="K181" s="2" t="s">
        <v>19</v>
      </c>
      <c r="L181">
        <v>10</v>
      </c>
      <c r="M181" s="3">
        <v>16000</v>
      </c>
    </row>
    <row r="182" spans="1:13" x14ac:dyDescent="0.25">
      <c r="A182">
        <v>3181</v>
      </c>
      <c r="B182" s="1">
        <v>45698</v>
      </c>
      <c r="C182" s="1" t="str">
        <f>TEXT(deepseek_csv_20260422_7f7afa[[#This Row],[OrderDate]], "dddd")</f>
        <v>Monday</v>
      </c>
      <c r="D182" s="1" t="str">
        <f>TEXT(deepseek_csv_20260422_7f7afa[[#This Row],[OrderDate]], "mmmm")</f>
        <v>February</v>
      </c>
      <c r="E182" s="2" t="s">
        <v>20</v>
      </c>
      <c r="F182" s="2" t="s">
        <v>204</v>
      </c>
      <c r="G182">
        <v>3</v>
      </c>
      <c r="H182" s="3">
        <v>8000</v>
      </c>
      <c r="I182" s="2" t="s">
        <v>12</v>
      </c>
      <c r="J182" s="2" t="s">
        <v>13</v>
      </c>
      <c r="K182" s="2" t="s">
        <v>24</v>
      </c>
      <c r="L182">
        <v>0</v>
      </c>
      <c r="M182" s="3">
        <v>24000</v>
      </c>
    </row>
    <row r="183" spans="1:13" x14ac:dyDescent="0.25">
      <c r="A183">
        <v>3182</v>
      </c>
      <c r="B183" s="1">
        <v>45699</v>
      </c>
      <c r="C183" s="1" t="str">
        <f>TEXT(deepseek_csv_20260422_7f7afa[[#This Row],[OrderDate]], "dddd")</f>
        <v>Tuesday</v>
      </c>
      <c r="D183" s="1" t="str">
        <f>TEXT(deepseek_csv_20260422_7f7afa[[#This Row],[OrderDate]], "mmmm")</f>
        <v>February</v>
      </c>
      <c r="E183" s="2" t="s">
        <v>10</v>
      </c>
      <c r="F183" s="2" t="s">
        <v>205</v>
      </c>
      <c r="G183">
        <v>5</v>
      </c>
      <c r="H183" s="3">
        <v>7000</v>
      </c>
      <c r="I183" s="2" t="s">
        <v>17</v>
      </c>
      <c r="J183" s="2" t="s">
        <v>18</v>
      </c>
      <c r="K183" s="2" t="s">
        <v>14</v>
      </c>
      <c r="L183">
        <v>5</v>
      </c>
      <c r="M183" s="3">
        <v>35000</v>
      </c>
    </row>
    <row r="184" spans="1:13" x14ac:dyDescent="0.25">
      <c r="A184">
        <v>3183</v>
      </c>
      <c r="B184" s="1">
        <v>45700</v>
      </c>
      <c r="C184" s="1" t="str">
        <f>TEXT(deepseek_csv_20260422_7f7afa[[#This Row],[OrderDate]], "dddd")</f>
        <v>Wednesday</v>
      </c>
      <c r="D184" s="1" t="str">
        <f>TEXT(deepseek_csv_20260422_7f7afa[[#This Row],[OrderDate]], "mmmm")</f>
        <v>February</v>
      </c>
      <c r="E184" s="2" t="s">
        <v>15</v>
      </c>
      <c r="F184" s="2" t="s">
        <v>206</v>
      </c>
      <c r="G184">
        <v>3</v>
      </c>
      <c r="H184" s="3">
        <v>12000</v>
      </c>
      <c r="I184" s="2" t="s">
        <v>22</v>
      </c>
      <c r="J184" s="2" t="s">
        <v>23</v>
      </c>
      <c r="K184" s="2" t="s">
        <v>19</v>
      </c>
      <c r="L184">
        <v>0</v>
      </c>
      <c r="M184" s="3">
        <v>36000</v>
      </c>
    </row>
    <row r="185" spans="1:13" x14ac:dyDescent="0.25">
      <c r="A185">
        <v>3184</v>
      </c>
      <c r="B185" s="1">
        <v>45701</v>
      </c>
      <c r="C185" s="1" t="str">
        <f>TEXT(deepseek_csv_20260422_7f7afa[[#This Row],[OrderDate]], "dddd")</f>
        <v>Thursday</v>
      </c>
      <c r="D185" s="1" t="str">
        <f>TEXT(deepseek_csv_20260422_7f7afa[[#This Row],[OrderDate]], "mmmm")</f>
        <v>February</v>
      </c>
      <c r="E185" s="2" t="s">
        <v>20</v>
      </c>
      <c r="F185" s="2" t="s">
        <v>207</v>
      </c>
      <c r="G185">
        <v>1</v>
      </c>
      <c r="H185" s="3">
        <v>45000</v>
      </c>
      <c r="I185" s="2" t="s">
        <v>26</v>
      </c>
      <c r="J185" s="2" t="s">
        <v>27</v>
      </c>
      <c r="K185" s="2" t="s">
        <v>24</v>
      </c>
      <c r="L185">
        <v>0</v>
      </c>
      <c r="M185" s="3">
        <v>45000</v>
      </c>
    </row>
    <row r="186" spans="1:13" x14ac:dyDescent="0.25">
      <c r="A186">
        <v>3185</v>
      </c>
      <c r="B186" s="1">
        <v>45702</v>
      </c>
      <c r="C186" s="1" t="str">
        <f>TEXT(deepseek_csv_20260422_7f7afa[[#This Row],[OrderDate]], "dddd")</f>
        <v>Friday</v>
      </c>
      <c r="D186" s="1" t="str">
        <f>TEXT(deepseek_csv_20260422_7f7afa[[#This Row],[OrderDate]], "mmmm")</f>
        <v>February</v>
      </c>
      <c r="E186" s="2" t="s">
        <v>10</v>
      </c>
      <c r="F186" s="2" t="s">
        <v>208</v>
      </c>
      <c r="G186">
        <v>2</v>
      </c>
      <c r="H186" s="3">
        <v>15000</v>
      </c>
      <c r="I186" s="2" t="s">
        <v>12</v>
      </c>
      <c r="J186" s="2" t="s">
        <v>13</v>
      </c>
      <c r="K186" s="2" t="s">
        <v>14</v>
      </c>
      <c r="L186">
        <v>5</v>
      </c>
      <c r="M186" s="3">
        <v>30000</v>
      </c>
    </row>
    <row r="187" spans="1:13" x14ac:dyDescent="0.25">
      <c r="A187">
        <v>3186</v>
      </c>
      <c r="B187" s="1">
        <v>45703</v>
      </c>
      <c r="C187" s="1" t="str">
        <f>TEXT(deepseek_csv_20260422_7f7afa[[#This Row],[OrderDate]], "dddd")</f>
        <v>Saturday</v>
      </c>
      <c r="D187" s="1" t="str">
        <f>TEXT(deepseek_csv_20260422_7f7afa[[#This Row],[OrderDate]], "mmmm")</f>
        <v>February</v>
      </c>
      <c r="E187" s="2" t="s">
        <v>15</v>
      </c>
      <c r="F187" s="2" t="s">
        <v>209</v>
      </c>
      <c r="G187">
        <v>2</v>
      </c>
      <c r="H187" s="3">
        <v>18000</v>
      </c>
      <c r="I187" s="2" t="s">
        <v>17</v>
      </c>
      <c r="J187" s="2" t="s">
        <v>18</v>
      </c>
      <c r="K187" s="2" t="s">
        <v>19</v>
      </c>
      <c r="L187">
        <v>0</v>
      </c>
      <c r="M187" s="3">
        <v>36000</v>
      </c>
    </row>
    <row r="188" spans="1:13" x14ac:dyDescent="0.25">
      <c r="A188">
        <v>3187</v>
      </c>
      <c r="B188" s="1">
        <v>45704</v>
      </c>
      <c r="C188" s="1" t="str">
        <f>TEXT(deepseek_csv_20260422_7f7afa[[#This Row],[OrderDate]], "dddd")</f>
        <v>Sunday</v>
      </c>
      <c r="D188" s="1" t="str">
        <f>TEXT(deepseek_csv_20260422_7f7afa[[#This Row],[OrderDate]], "mmmm")</f>
        <v>February</v>
      </c>
      <c r="E188" s="2" t="s">
        <v>20</v>
      </c>
      <c r="F188" s="2" t="s">
        <v>210</v>
      </c>
      <c r="G188">
        <v>1</v>
      </c>
      <c r="H188" s="3">
        <v>35000</v>
      </c>
      <c r="I188" s="2" t="s">
        <v>22</v>
      </c>
      <c r="J188" s="2" t="s">
        <v>23</v>
      </c>
      <c r="K188" s="2" t="s">
        <v>24</v>
      </c>
      <c r="L188">
        <v>0</v>
      </c>
      <c r="M188" s="3">
        <v>35000</v>
      </c>
    </row>
    <row r="189" spans="1:13" x14ac:dyDescent="0.25">
      <c r="A189">
        <v>3188</v>
      </c>
      <c r="B189" s="1">
        <v>45705</v>
      </c>
      <c r="C189" s="1" t="str">
        <f>TEXT(deepseek_csv_20260422_7f7afa[[#This Row],[OrderDate]], "dddd")</f>
        <v>Monday</v>
      </c>
      <c r="D189" s="1" t="str">
        <f>TEXT(deepseek_csv_20260422_7f7afa[[#This Row],[OrderDate]], "mmmm")</f>
        <v>February</v>
      </c>
      <c r="E189" s="2" t="s">
        <v>10</v>
      </c>
      <c r="F189" s="2" t="s">
        <v>211</v>
      </c>
      <c r="G189">
        <v>4</v>
      </c>
      <c r="H189" s="3">
        <v>6000</v>
      </c>
      <c r="I189" s="2" t="s">
        <v>26</v>
      </c>
      <c r="J189" s="2" t="s">
        <v>27</v>
      </c>
      <c r="K189" s="2" t="s">
        <v>14</v>
      </c>
      <c r="L189">
        <v>10</v>
      </c>
      <c r="M189" s="3">
        <v>24000</v>
      </c>
    </row>
    <row r="190" spans="1:13" x14ac:dyDescent="0.25">
      <c r="A190">
        <v>3189</v>
      </c>
      <c r="B190" s="1">
        <v>45706</v>
      </c>
      <c r="C190" s="1" t="str">
        <f>TEXT(deepseek_csv_20260422_7f7afa[[#This Row],[OrderDate]], "dddd")</f>
        <v>Tuesday</v>
      </c>
      <c r="D190" s="1" t="str">
        <f>TEXT(deepseek_csv_20260422_7f7afa[[#This Row],[OrderDate]], "mmmm")</f>
        <v>February</v>
      </c>
      <c r="E190" s="2" t="s">
        <v>15</v>
      </c>
      <c r="F190" s="2" t="s">
        <v>212</v>
      </c>
      <c r="G190">
        <v>4</v>
      </c>
      <c r="H190" s="3">
        <v>8000</v>
      </c>
      <c r="I190" s="2" t="s">
        <v>12</v>
      </c>
      <c r="J190" s="2" t="s">
        <v>13</v>
      </c>
      <c r="K190" s="2" t="s">
        <v>19</v>
      </c>
      <c r="L190">
        <v>0</v>
      </c>
      <c r="M190" s="3">
        <v>32000</v>
      </c>
    </row>
    <row r="191" spans="1:13" x14ac:dyDescent="0.25">
      <c r="A191">
        <v>3190</v>
      </c>
      <c r="B191" s="1">
        <v>45707</v>
      </c>
      <c r="C191" s="1" t="str">
        <f>TEXT(deepseek_csv_20260422_7f7afa[[#This Row],[OrderDate]], "dddd")</f>
        <v>Wednesday</v>
      </c>
      <c r="D191" s="1" t="str">
        <f>TEXT(deepseek_csv_20260422_7f7afa[[#This Row],[OrderDate]], "mmmm")</f>
        <v>February</v>
      </c>
      <c r="E191" s="2" t="s">
        <v>20</v>
      </c>
      <c r="F191" s="2" t="s">
        <v>213</v>
      </c>
      <c r="G191">
        <v>2</v>
      </c>
      <c r="H191" s="3">
        <v>12000</v>
      </c>
      <c r="I191" s="2" t="s">
        <v>17</v>
      </c>
      <c r="J191" s="2" t="s">
        <v>18</v>
      </c>
      <c r="K191" s="2" t="s">
        <v>24</v>
      </c>
      <c r="L191">
        <v>5</v>
      </c>
      <c r="M191" s="3">
        <v>24000</v>
      </c>
    </row>
    <row r="192" spans="1:13" x14ac:dyDescent="0.25">
      <c r="A192">
        <v>3191</v>
      </c>
      <c r="B192" s="1">
        <v>45708</v>
      </c>
      <c r="C192" s="1" t="str">
        <f>TEXT(deepseek_csv_20260422_7f7afa[[#This Row],[OrderDate]], "dddd")</f>
        <v>Thursday</v>
      </c>
      <c r="D192" s="1" t="str">
        <f>TEXT(deepseek_csv_20260422_7f7afa[[#This Row],[OrderDate]], "mmmm")</f>
        <v>February</v>
      </c>
      <c r="E192" s="2" t="s">
        <v>10</v>
      </c>
      <c r="F192" s="2" t="s">
        <v>214</v>
      </c>
      <c r="G192">
        <v>1</v>
      </c>
      <c r="H192" s="3">
        <v>250000</v>
      </c>
      <c r="I192" s="2" t="s">
        <v>22</v>
      </c>
      <c r="J192" s="2" t="s">
        <v>23</v>
      </c>
      <c r="K192" s="2" t="s">
        <v>14</v>
      </c>
      <c r="L192">
        <v>0</v>
      </c>
      <c r="M192" s="3">
        <v>250000</v>
      </c>
    </row>
    <row r="193" spans="1:13" x14ac:dyDescent="0.25">
      <c r="A193">
        <v>3192</v>
      </c>
      <c r="B193" s="1">
        <v>45709</v>
      </c>
      <c r="C193" s="1" t="str">
        <f>TEXT(deepseek_csv_20260422_7f7afa[[#This Row],[OrderDate]], "dddd")</f>
        <v>Friday</v>
      </c>
      <c r="D193" s="1" t="str">
        <f>TEXT(deepseek_csv_20260422_7f7afa[[#This Row],[OrderDate]], "mmmm")</f>
        <v>February</v>
      </c>
      <c r="E193" s="2" t="s">
        <v>15</v>
      </c>
      <c r="F193" s="2" t="s">
        <v>215</v>
      </c>
      <c r="G193">
        <v>5</v>
      </c>
      <c r="H193" s="3">
        <v>7000</v>
      </c>
      <c r="I193" s="2" t="s">
        <v>26</v>
      </c>
      <c r="J193" s="2" t="s">
        <v>27</v>
      </c>
      <c r="K193" s="2" t="s">
        <v>19</v>
      </c>
      <c r="L193">
        <v>0</v>
      </c>
      <c r="M193" s="3">
        <v>35000</v>
      </c>
    </row>
    <row r="194" spans="1:13" x14ac:dyDescent="0.25">
      <c r="A194">
        <v>3193</v>
      </c>
      <c r="B194" s="1">
        <v>45710</v>
      </c>
      <c r="C194" s="1" t="str">
        <f>TEXT(deepseek_csv_20260422_7f7afa[[#This Row],[OrderDate]], "dddd")</f>
        <v>Saturday</v>
      </c>
      <c r="D194" s="1" t="str">
        <f>TEXT(deepseek_csv_20260422_7f7afa[[#This Row],[OrderDate]], "mmmm")</f>
        <v>February</v>
      </c>
      <c r="E194" s="2" t="s">
        <v>20</v>
      </c>
      <c r="F194" s="2" t="s">
        <v>216</v>
      </c>
      <c r="G194">
        <v>9</v>
      </c>
      <c r="H194" s="3">
        <v>3000</v>
      </c>
      <c r="I194" s="2" t="s">
        <v>12</v>
      </c>
      <c r="J194" s="2" t="s">
        <v>13</v>
      </c>
      <c r="K194" s="2" t="s">
        <v>24</v>
      </c>
      <c r="L194">
        <v>5</v>
      </c>
      <c r="M194" s="3">
        <v>27000</v>
      </c>
    </row>
    <row r="195" spans="1:13" x14ac:dyDescent="0.25">
      <c r="A195">
        <v>3194</v>
      </c>
      <c r="B195" s="1">
        <v>45711</v>
      </c>
      <c r="C195" s="1" t="str">
        <f>TEXT(deepseek_csv_20260422_7f7afa[[#This Row],[OrderDate]], "dddd")</f>
        <v>Sunday</v>
      </c>
      <c r="D195" s="1" t="str">
        <f>TEXT(deepseek_csv_20260422_7f7afa[[#This Row],[OrderDate]], "mmmm")</f>
        <v>February</v>
      </c>
      <c r="E195" s="2" t="s">
        <v>10</v>
      </c>
      <c r="F195" s="2" t="s">
        <v>217</v>
      </c>
      <c r="G195">
        <v>2</v>
      </c>
      <c r="H195" s="3">
        <v>18000</v>
      </c>
      <c r="I195" s="2" t="s">
        <v>17</v>
      </c>
      <c r="J195" s="2" t="s">
        <v>18</v>
      </c>
      <c r="K195" s="2" t="s">
        <v>14</v>
      </c>
      <c r="L195">
        <v>0</v>
      </c>
      <c r="M195" s="3">
        <v>36000</v>
      </c>
    </row>
    <row r="196" spans="1:13" x14ac:dyDescent="0.25">
      <c r="A196">
        <v>3195</v>
      </c>
      <c r="B196" s="1">
        <v>45712</v>
      </c>
      <c r="C196" s="1" t="str">
        <f>TEXT(deepseek_csv_20260422_7f7afa[[#This Row],[OrderDate]], "dddd")</f>
        <v>Monday</v>
      </c>
      <c r="D196" s="1" t="str">
        <f>TEXT(deepseek_csv_20260422_7f7afa[[#This Row],[OrderDate]], "mmmm")</f>
        <v>February</v>
      </c>
      <c r="E196" s="2" t="s">
        <v>15</v>
      </c>
      <c r="F196" s="2" t="s">
        <v>218</v>
      </c>
      <c r="G196">
        <v>1</v>
      </c>
      <c r="H196" s="3">
        <v>85000</v>
      </c>
      <c r="I196" s="2" t="s">
        <v>22</v>
      </c>
      <c r="J196" s="2" t="s">
        <v>23</v>
      </c>
      <c r="K196" s="2" t="s">
        <v>19</v>
      </c>
      <c r="L196">
        <v>0</v>
      </c>
      <c r="M196" s="3">
        <v>85000</v>
      </c>
    </row>
    <row r="197" spans="1:13" x14ac:dyDescent="0.25">
      <c r="A197">
        <v>3196</v>
      </c>
      <c r="B197" s="1">
        <v>45713</v>
      </c>
      <c r="C197" s="1" t="str">
        <f>TEXT(deepseek_csv_20260422_7f7afa[[#This Row],[OrderDate]], "dddd")</f>
        <v>Tuesday</v>
      </c>
      <c r="D197" s="1" t="str">
        <f>TEXT(deepseek_csv_20260422_7f7afa[[#This Row],[OrderDate]], "mmmm")</f>
        <v>February</v>
      </c>
      <c r="E197" s="2" t="s">
        <v>20</v>
      </c>
      <c r="F197" s="2" t="s">
        <v>219</v>
      </c>
      <c r="G197">
        <v>3</v>
      </c>
      <c r="H197" s="3">
        <v>25000</v>
      </c>
      <c r="I197" s="2" t="s">
        <v>26</v>
      </c>
      <c r="J197" s="2" t="s">
        <v>27</v>
      </c>
      <c r="K197" s="2" t="s">
        <v>24</v>
      </c>
      <c r="L197">
        <v>10</v>
      </c>
      <c r="M197" s="3">
        <v>75000</v>
      </c>
    </row>
    <row r="198" spans="1:13" x14ac:dyDescent="0.25">
      <c r="A198">
        <v>3197</v>
      </c>
      <c r="B198" s="1">
        <v>45714</v>
      </c>
      <c r="C198" s="1" t="str">
        <f>TEXT(deepseek_csv_20260422_7f7afa[[#This Row],[OrderDate]], "dddd")</f>
        <v>Wednesday</v>
      </c>
      <c r="D198" s="1" t="str">
        <f>TEXT(deepseek_csv_20260422_7f7afa[[#This Row],[OrderDate]], "mmmm")</f>
        <v>February</v>
      </c>
      <c r="E198" s="2" t="s">
        <v>10</v>
      </c>
      <c r="F198" s="2" t="s">
        <v>220</v>
      </c>
      <c r="G198">
        <v>2</v>
      </c>
      <c r="H198" s="3">
        <v>15000</v>
      </c>
      <c r="I198" s="2" t="s">
        <v>12</v>
      </c>
      <c r="J198" s="2" t="s">
        <v>13</v>
      </c>
      <c r="K198" s="2" t="s">
        <v>14</v>
      </c>
      <c r="L198">
        <v>0</v>
      </c>
      <c r="M198" s="3">
        <v>30000</v>
      </c>
    </row>
    <row r="199" spans="1:13" x14ac:dyDescent="0.25">
      <c r="A199">
        <v>3198</v>
      </c>
      <c r="B199" s="1">
        <v>45715</v>
      </c>
      <c r="C199" s="1" t="str">
        <f>TEXT(deepseek_csv_20260422_7f7afa[[#This Row],[OrderDate]], "dddd")</f>
        <v>Thursday</v>
      </c>
      <c r="D199" s="1" t="str">
        <f>TEXT(deepseek_csv_20260422_7f7afa[[#This Row],[OrderDate]], "mmmm")</f>
        <v>February</v>
      </c>
      <c r="E199" s="2" t="s">
        <v>15</v>
      </c>
      <c r="F199" s="2" t="s">
        <v>221</v>
      </c>
      <c r="G199">
        <v>5</v>
      </c>
      <c r="H199" s="3">
        <v>8000</v>
      </c>
      <c r="I199" s="2" t="s">
        <v>17</v>
      </c>
      <c r="J199" s="2" t="s">
        <v>18</v>
      </c>
      <c r="K199" s="2" t="s">
        <v>19</v>
      </c>
      <c r="L199">
        <v>5</v>
      </c>
      <c r="M199" s="3">
        <v>40000</v>
      </c>
    </row>
    <row r="200" spans="1:13" x14ac:dyDescent="0.25">
      <c r="A200">
        <v>3199</v>
      </c>
      <c r="B200" s="1">
        <v>45716</v>
      </c>
      <c r="C200" s="1" t="str">
        <f>TEXT(deepseek_csv_20260422_7f7afa[[#This Row],[OrderDate]], "dddd")</f>
        <v>Friday</v>
      </c>
      <c r="D200" s="1" t="str">
        <f>TEXT(deepseek_csv_20260422_7f7afa[[#This Row],[OrderDate]], "mmmm")</f>
        <v>February</v>
      </c>
      <c r="E200" s="2" t="s">
        <v>20</v>
      </c>
      <c r="F200" s="2" t="s">
        <v>222</v>
      </c>
      <c r="G200">
        <v>3</v>
      </c>
      <c r="H200" s="3">
        <v>10000</v>
      </c>
      <c r="I200" s="2" t="s">
        <v>22</v>
      </c>
      <c r="J200" s="2" t="s">
        <v>23</v>
      </c>
      <c r="K200" s="2" t="s">
        <v>24</v>
      </c>
      <c r="L200">
        <v>0</v>
      </c>
      <c r="M200" s="3">
        <v>30000</v>
      </c>
    </row>
    <row r="201" spans="1:13" x14ac:dyDescent="0.25">
      <c r="A201">
        <v>3200</v>
      </c>
      <c r="B201" s="1">
        <v>45717</v>
      </c>
      <c r="C201" s="1" t="str">
        <f>TEXT(deepseek_csv_20260422_7f7afa[[#This Row],[OrderDate]], "dddd")</f>
        <v>Saturday</v>
      </c>
      <c r="D201" s="1" t="str">
        <f>TEXT(deepseek_csv_20260422_7f7afa[[#This Row],[OrderDate]], "mmmm")</f>
        <v>March</v>
      </c>
      <c r="E201" s="2" t="s">
        <v>10</v>
      </c>
      <c r="F201" s="2" t="s">
        <v>223</v>
      </c>
      <c r="G201">
        <v>1</v>
      </c>
      <c r="H201" s="3">
        <v>120000</v>
      </c>
      <c r="I201" s="2" t="s">
        <v>26</v>
      </c>
      <c r="J201" s="2" t="s">
        <v>27</v>
      </c>
      <c r="K201" s="2" t="s">
        <v>14</v>
      </c>
      <c r="L201">
        <v>0</v>
      </c>
      <c r="M201" s="3">
        <v>120000</v>
      </c>
    </row>
    <row r="202" spans="1:13" x14ac:dyDescent="0.25">
      <c r="A202">
        <v>3201</v>
      </c>
      <c r="B202" s="1">
        <v>45672</v>
      </c>
      <c r="C202" s="1" t="str">
        <f>TEXT(deepseek_csv_20260422_7f7afa[[#This Row],[OrderDate]], "dddd")</f>
        <v>Wednesday</v>
      </c>
      <c r="D202" s="1" t="str">
        <f>TEXT(deepseek_csv_20260422_7f7afa[[#This Row],[OrderDate]], "mmmm")</f>
        <v>January</v>
      </c>
      <c r="E202" s="2" t="s">
        <v>10</v>
      </c>
      <c r="F202" s="2" t="s">
        <v>224</v>
      </c>
      <c r="G202">
        <v>1</v>
      </c>
      <c r="H202" s="3">
        <v>350000</v>
      </c>
      <c r="I202" s="2" t="s">
        <v>12</v>
      </c>
      <c r="J202" s="2" t="s">
        <v>13</v>
      </c>
      <c r="K202" s="2" t="s">
        <v>14</v>
      </c>
      <c r="L202">
        <v>5</v>
      </c>
      <c r="M202" s="3">
        <v>350000</v>
      </c>
    </row>
    <row r="203" spans="1:13" x14ac:dyDescent="0.25">
      <c r="A203">
        <v>3202</v>
      </c>
      <c r="B203" s="1">
        <v>45673</v>
      </c>
      <c r="C203" s="1" t="str">
        <f>TEXT(deepseek_csv_20260422_7f7afa[[#This Row],[OrderDate]], "dddd")</f>
        <v>Thursday</v>
      </c>
      <c r="D203" s="1" t="str">
        <f>TEXT(deepseek_csv_20260422_7f7afa[[#This Row],[OrderDate]], "mmmm")</f>
        <v>January</v>
      </c>
      <c r="E203" s="2" t="s">
        <v>15</v>
      </c>
      <c r="F203" s="2" t="s">
        <v>225</v>
      </c>
      <c r="G203">
        <v>2</v>
      </c>
      <c r="H203" s="3">
        <v>25000</v>
      </c>
      <c r="I203" s="2" t="s">
        <v>17</v>
      </c>
      <c r="J203" s="2" t="s">
        <v>18</v>
      </c>
      <c r="K203" s="2" t="s">
        <v>19</v>
      </c>
      <c r="L203">
        <v>0</v>
      </c>
      <c r="M203" s="3">
        <v>50000</v>
      </c>
    </row>
    <row r="204" spans="1:13" x14ac:dyDescent="0.25">
      <c r="A204">
        <v>3203</v>
      </c>
      <c r="B204" s="1">
        <v>45674</v>
      </c>
      <c r="C204" s="1" t="str">
        <f>TEXT(deepseek_csv_20260422_7f7afa[[#This Row],[OrderDate]], "dddd")</f>
        <v>Friday</v>
      </c>
      <c r="D204" s="1" t="str">
        <f>TEXT(deepseek_csv_20260422_7f7afa[[#This Row],[OrderDate]], "mmmm")</f>
        <v>January</v>
      </c>
      <c r="E204" s="2" t="s">
        <v>20</v>
      </c>
      <c r="F204" s="2" t="s">
        <v>226</v>
      </c>
      <c r="G204">
        <v>2</v>
      </c>
      <c r="H204" s="3">
        <v>95000</v>
      </c>
      <c r="I204" s="2" t="s">
        <v>22</v>
      </c>
      <c r="J204" s="2" t="s">
        <v>23</v>
      </c>
      <c r="K204" s="2" t="s">
        <v>24</v>
      </c>
      <c r="L204">
        <v>10</v>
      </c>
      <c r="M204" s="3">
        <v>190000</v>
      </c>
    </row>
    <row r="205" spans="1:13" x14ac:dyDescent="0.25">
      <c r="A205">
        <v>3204</v>
      </c>
      <c r="B205" s="1">
        <v>45675</v>
      </c>
      <c r="C205" s="1" t="str">
        <f>TEXT(deepseek_csv_20260422_7f7afa[[#This Row],[OrderDate]], "dddd")</f>
        <v>Saturday</v>
      </c>
      <c r="D205" s="1" t="str">
        <f>TEXT(deepseek_csv_20260422_7f7afa[[#This Row],[OrderDate]], "mmmm")</f>
        <v>January</v>
      </c>
      <c r="E205" s="2" t="s">
        <v>10</v>
      </c>
      <c r="F205" s="2" t="s">
        <v>227</v>
      </c>
      <c r="G205">
        <v>1</v>
      </c>
      <c r="H205" s="3">
        <v>250000</v>
      </c>
      <c r="I205" s="2" t="s">
        <v>26</v>
      </c>
      <c r="J205" s="2" t="s">
        <v>27</v>
      </c>
      <c r="K205" s="2" t="s">
        <v>14</v>
      </c>
      <c r="L205">
        <v>0</v>
      </c>
      <c r="M205" s="3">
        <v>250000</v>
      </c>
    </row>
    <row r="206" spans="1:13" x14ac:dyDescent="0.25">
      <c r="A206">
        <v>3205</v>
      </c>
      <c r="B206" s="1">
        <v>45676</v>
      </c>
      <c r="C206" s="1" t="str">
        <f>TEXT(deepseek_csv_20260422_7f7afa[[#This Row],[OrderDate]], "dddd")</f>
        <v>Sunday</v>
      </c>
      <c r="D206" s="1" t="str">
        <f>TEXT(deepseek_csv_20260422_7f7afa[[#This Row],[OrderDate]], "mmmm")</f>
        <v>January</v>
      </c>
      <c r="E206" s="2" t="s">
        <v>15</v>
      </c>
      <c r="F206" s="2" t="s">
        <v>228</v>
      </c>
      <c r="G206">
        <v>1</v>
      </c>
      <c r="H206" s="3">
        <v>75000</v>
      </c>
      <c r="I206" s="2" t="s">
        <v>12</v>
      </c>
      <c r="J206" s="2" t="s">
        <v>13</v>
      </c>
      <c r="K206" s="2" t="s">
        <v>19</v>
      </c>
      <c r="L206">
        <v>5</v>
      </c>
      <c r="M206" s="3">
        <v>75000</v>
      </c>
    </row>
    <row r="207" spans="1:13" x14ac:dyDescent="0.25">
      <c r="A207">
        <v>3206</v>
      </c>
      <c r="B207" s="1">
        <v>45677</v>
      </c>
      <c r="C207" s="1" t="str">
        <f>TEXT(deepseek_csv_20260422_7f7afa[[#This Row],[OrderDate]], "dddd")</f>
        <v>Monday</v>
      </c>
      <c r="D207" s="1" t="str">
        <f>TEXT(deepseek_csv_20260422_7f7afa[[#This Row],[OrderDate]], "mmmm")</f>
        <v>January</v>
      </c>
      <c r="E207" s="2" t="s">
        <v>20</v>
      </c>
      <c r="F207" s="2" t="s">
        <v>229</v>
      </c>
      <c r="G207">
        <v>1</v>
      </c>
      <c r="H207" s="3">
        <v>55000</v>
      </c>
      <c r="I207" s="2" t="s">
        <v>17</v>
      </c>
      <c r="J207" s="2" t="s">
        <v>18</v>
      </c>
      <c r="K207" s="2" t="s">
        <v>24</v>
      </c>
      <c r="L207">
        <v>0</v>
      </c>
      <c r="M207" s="3">
        <v>55000</v>
      </c>
    </row>
    <row r="208" spans="1:13" x14ac:dyDescent="0.25">
      <c r="A208">
        <v>3207</v>
      </c>
      <c r="B208" s="1">
        <v>45678</v>
      </c>
      <c r="C208" s="1" t="str">
        <f>TEXT(deepseek_csv_20260422_7f7afa[[#This Row],[OrderDate]], "dddd")</f>
        <v>Tuesday</v>
      </c>
      <c r="D208" s="1" t="str">
        <f>TEXT(deepseek_csv_20260422_7f7afa[[#This Row],[OrderDate]], "mmmm")</f>
        <v>January</v>
      </c>
      <c r="E208" s="2" t="s">
        <v>10</v>
      </c>
      <c r="F208" s="2" t="s">
        <v>230</v>
      </c>
      <c r="G208">
        <v>2</v>
      </c>
      <c r="H208" s="3">
        <v>120000</v>
      </c>
      <c r="I208" s="2" t="s">
        <v>22</v>
      </c>
      <c r="J208" s="2" t="s">
        <v>23</v>
      </c>
      <c r="K208" s="2" t="s">
        <v>14</v>
      </c>
      <c r="L208">
        <v>0</v>
      </c>
      <c r="M208" s="3">
        <v>240000</v>
      </c>
    </row>
    <row r="209" spans="1:13" x14ac:dyDescent="0.25">
      <c r="A209">
        <v>3208</v>
      </c>
      <c r="B209" s="1">
        <v>45679</v>
      </c>
      <c r="C209" s="1" t="str">
        <f>TEXT(deepseek_csv_20260422_7f7afa[[#This Row],[OrderDate]], "dddd")</f>
        <v>Wednesday</v>
      </c>
      <c r="D209" s="1" t="str">
        <f>TEXT(deepseek_csv_20260422_7f7afa[[#This Row],[OrderDate]], "mmmm")</f>
        <v>January</v>
      </c>
      <c r="E209" s="2" t="s">
        <v>15</v>
      </c>
      <c r="F209" s="2" t="s">
        <v>231</v>
      </c>
      <c r="G209">
        <v>3</v>
      </c>
      <c r="H209" s="3">
        <v>15000</v>
      </c>
      <c r="I209" s="2" t="s">
        <v>26</v>
      </c>
      <c r="J209" s="2" t="s">
        <v>27</v>
      </c>
      <c r="K209" s="2" t="s">
        <v>19</v>
      </c>
      <c r="L209">
        <v>5</v>
      </c>
      <c r="M209" s="3">
        <v>45000</v>
      </c>
    </row>
    <row r="210" spans="1:13" x14ac:dyDescent="0.25">
      <c r="A210">
        <v>3209</v>
      </c>
      <c r="B210" s="1">
        <v>45680</v>
      </c>
      <c r="C210" s="1" t="str">
        <f>TEXT(deepseek_csv_20260422_7f7afa[[#This Row],[OrderDate]], "dddd")</f>
        <v>Thursday</v>
      </c>
      <c r="D210" s="1" t="str">
        <f>TEXT(deepseek_csv_20260422_7f7afa[[#This Row],[OrderDate]], "mmmm")</f>
        <v>January</v>
      </c>
      <c r="E210" s="2" t="s">
        <v>20</v>
      </c>
      <c r="F210" s="2" t="s">
        <v>232</v>
      </c>
      <c r="G210">
        <v>2</v>
      </c>
      <c r="H210" s="3">
        <v>45000</v>
      </c>
      <c r="I210" s="2" t="s">
        <v>12</v>
      </c>
      <c r="J210" s="2" t="s">
        <v>13</v>
      </c>
      <c r="K210" s="2" t="s">
        <v>24</v>
      </c>
      <c r="L210">
        <v>0</v>
      </c>
      <c r="M210" s="3">
        <v>90000</v>
      </c>
    </row>
    <row r="211" spans="1:13" x14ac:dyDescent="0.25">
      <c r="A211">
        <v>3210</v>
      </c>
      <c r="B211" s="1">
        <v>45681</v>
      </c>
      <c r="C211" s="1" t="str">
        <f>TEXT(deepseek_csv_20260422_7f7afa[[#This Row],[OrderDate]], "dddd")</f>
        <v>Friday</v>
      </c>
      <c r="D211" s="1" t="str">
        <f>TEXT(deepseek_csv_20260422_7f7afa[[#This Row],[OrderDate]], "mmmm")</f>
        <v>January</v>
      </c>
      <c r="E211" s="2" t="s">
        <v>10</v>
      </c>
      <c r="F211" s="2" t="s">
        <v>233</v>
      </c>
      <c r="G211">
        <v>4</v>
      </c>
      <c r="H211" s="3">
        <v>8000</v>
      </c>
      <c r="I211" s="2" t="s">
        <v>17</v>
      </c>
      <c r="J211" s="2" t="s">
        <v>18</v>
      </c>
      <c r="K211" s="2" t="s">
        <v>14</v>
      </c>
      <c r="L211">
        <v>0</v>
      </c>
      <c r="M211" s="3">
        <v>32000</v>
      </c>
    </row>
    <row r="212" spans="1:13" x14ac:dyDescent="0.25">
      <c r="A212">
        <v>3211</v>
      </c>
      <c r="B212" s="1">
        <v>45682</v>
      </c>
      <c r="C212" s="1" t="str">
        <f>TEXT(deepseek_csv_20260422_7f7afa[[#This Row],[OrderDate]], "dddd")</f>
        <v>Saturday</v>
      </c>
      <c r="D212" s="1" t="str">
        <f>TEXT(deepseek_csv_20260422_7f7afa[[#This Row],[OrderDate]], "mmmm")</f>
        <v>January</v>
      </c>
      <c r="E212" s="2" t="s">
        <v>15</v>
      </c>
      <c r="F212" s="2" t="s">
        <v>234</v>
      </c>
      <c r="G212">
        <v>2</v>
      </c>
      <c r="H212" s="3">
        <v>35000</v>
      </c>
      <c r="I212" s="2" t="s">
        <v>22</v>
      </c>
      <c r="J212" s="2" t="s">
        <v>23</v>
      </c>
      <c r="K212" s="2" t="s">
        <v>19</v>
      </c>
      <c r="L212">
        <v>10</v>
      </c>
      <c r="M212" s="3">
        <v>70000</v>
      </c>
    </row>
    <row r="213" spans="1:13" x14ac:dyDescent="0.25">
      <c r="A213">
        <v>3212</v>
      </c>
      <c r="B213" s="1">
        <v>45683</v>
      </c>
      <c r="C213" s="1" t="str">
        <f>TEXT(deepseek_csv_20260422_7f7afa[[#This Row],[OrderDate]], "dddd")</f>
        <v>Sunday</v>
      </c>
      <c r="D213" s="1" t="str">
        <f>TEXT(deepseek_csv_20260422_7f7afa[[#This Row],[OrderDate]], "mmmm")</f>
        <v>January</v>
      </c>
      <c r="E213" s="2" t="s">
        <v>20</v>
      </c>
      <c r="F213" s="2" t="s">
        <v>235</v>
      </c>
      <c r="G213">
        <v>1</v>
      </c>
      <c r="H213" s="3">
        <v>85000</v>
      </c>
      <c r="I213" s="2" t="s">
        <v>26</v>
      </c>
      <c r="J213" s="2" t="s">
        <v>27</v>
      </c>
      <c r="K213" s="2" t="s">
        <v>24</v>
      </c>
      <c r="L213">
        <v>0</v>
      </c>
      <c r="M213" s="3">
        <v>85000</v>
      </c>
    </row>
    <row r="214" spans="1:13" x14ac:dyDescent="0.25">
      <c r="A214">
        <v>3213</v>
      </c>
      <c r="B214" s="1">
        <v>45684</v>
      </c>
      <c r="C214" s="1" t="str">
        <f>TEXT(deepseek_csv_20260422_7f7afa[[#This Row],[OrderDate]], "dddd")</f>
        <v>Monday</v>
      </c>
      <c r="D214" s="1" t="str">
        <f>TEXT(deepseek_csv_20260422_7f7afa[[#This Row],[OrderDate]], "mmmm")</f>
        <v>January</v>
      </c>
      <c r="E214" s="2" t="s">
        <v>10</v>
      </c>
      <c r="F214" s="2" t="s">
        <v>236</v>
      </c>
      <c r="G214">
        <v>3</v>
      </c>
      <c r="H214" s="3">
        <v>5000</v>
      </c>
      <c r="I214" s="2" t="s">
        <v>12</v>
      </c>
      <c r="J214" s="2" t="s">
        <v>13</v>
      </c>
      <c r="K214" s="2" t="s">
        <v>14</v>
      </c>
      <c r="L214">
        <v>5</v>
      </c>
      <c r="M214" s="3">
        <v>15000</v>
      </c>
    </row>
    <row r="215" spans="1:13" x14ac:dyDescent="0.25">
      <c r="A215">
        <v>3214</v>
      </c>
      <c r="B215" s="1">
        <v>45685</v>
      </c>
      <c r="C215" s="1" t="str">
        <f>TEXT(deepseek_csv_20260422_7f7afa[[#This Row],[OrderDate]], "dddd")</f>
        <v>Tuesday</v>
      </c>
      <c r="D215" s="1" t="str">
        <f>TEXT(deepseek_csv_20260422_7f7afa[[#This Row],[OrderDate]], "mmmm")</f>
        <v>January</v>
      </c>
      <c r="E215" s="2" t="s">
        <v>15</v>
      </c>
      <c r="F215" s="2" t="s">
        <v>237</v>
      </c>
      <c r="G215">
        <v>5</v>
      </c>
      <c r="H215" s="3">
        <v>10000</v>
      </c>
      <c r="I215" s="2" t="s">
        <v>17</v>
      </c>
      <c r="J215" s="2" t="s">
        <v>18</v>
      </c>
      <c r="K215" s="2" t="s">
        <v>19</v>
      </c>
      <c r="L215">
        <v>0</v>
      </c>
      <c r="M215" s="3">
        <v>50000</v>
      </c>
    </row>
    <row r="216" spans="1:13" x14ac:dyDescent="0.25">
      <c r="A216">
        <v>3215</v>
      </c>
      <c r="B216" s="1">
        <v>45686</v>
      </c>
      <c r="C216" s="1" t="str">
        <f>TEXT(deepseek_csv_20260422_7f7afa[[#This Row],[OrderDate]], "dddd")</f>
        <v>Wednesday</v>
      </c>
      <c r="D216" s="1" t="str">
        <f>TEXT(deepseek_csv_20260422_7f7afa[[#This Row],[OrderDate]], "mmmm")</f>
        <v>January</v>
      </c>
      <c r="E216" s="2" t="s">
        <v>20</v>
      </c>
      <c r="F216" s="2" t="s">
        <v>238</v>
      </c>
      <c r="G216">
        <v>1</v>
      </c>
      <c r="H216" s="3">
        <v>120000</v>
      </c>
      <c r="I216" s="2" t="s">
        <v>22</v>
      </c>
      <c r="J216" s="2" t="s">
        <v>23</v>
      </c>
      <c r="K216" s="2" t="s">
        <v>24</v>
      </c>
      <c r="L216">
        <v>0</v>
      </c>
      <c r="M216" s="3">
        <v>120000</v>
      </c>
    </row>
    <row r="217" spans="1:13" x14ac:dyDescent="0.25">
      <c r="A217">
        <v>3216</v>
      </c>
      <c r="B217" s="1">
        <v>45687</v>
      </c>
      <c r="C217" s="1" t="str">
        <f>TEXT(deepseek_csv_20260422_7f7afa[[#This Row],[OrderDate]], "dddd")</f>
        <v>Thursday</v>
      </c>
      <c r="D217" s="1" t="str">
        <f>TEXT(deepseek_csv_20260422_7f7afa[[#This Row],[OrderDate]], "mmmm")</f>
        <v>January</v>
      </c>
      <c r="E217" s="2" t="s">
        <v>10</v>
      </c>
      <c r="F217" s="2" t="s">
        <v>239</v>
      </c>
      <c r="G217">
        <v>2</v>
      </c>
      <c r="H217" s="3">
        <v>8000</v>
      </c>
      <c r="I217" s="2" t="s">
        <v>26</v>
      </c>
      <c r="J217" s="2" t="s">
        <v>27</v>
      </c>
      <c r="K217" s="2" t="s">
        <v>14</v>
      </c>
      <c r="L217">
        <v>5</v>
      </c>
      <c r="M217" s="3">
        <v>16000</v>
      </c>
    </row>
    <row r="218" spans="1:13" x14ac:dyDescent="0.25">
      <c r="A218">
        <v>3217</v>
      </c>
      <c r="B218" s="1">
        <v>45688</v>
      </c>
      <c r="C218" s="1" t="str">
        <f>TEXT(deepseek_csv_20260422_7f7afa[[#This Row],[OrderDate]], "dddd")</f>
        <v>Friday</v>
      </c>
      <c r="D218" s="1" t="str">
        <f>TEXT(deepseek_csv_20260422_7f7afa[[#This Row],[OrderDate]], "mmmm")</f>
        <v>January</v>
      </c>
      <c r="E218" s="2" t="s">
        <v>15</v>
      </c>
      <c r="F218" s="2" t="s">
        <v>240</v>
      </c>
      <c r="G218">
        <v>3</v>
      </c>
      <c r="H218" s="3">
        <v>12000</v>
      </c>
      <c r="I218" s="2" t="s">
        <v>12</v>
      </c>
      <c r="J218" s="2" t="s">
        <v>13</v>
      </c>
      <c r="K218" s="2" t="s">
        <v>19</v>
      </c>
      <c r="L218">
        <v>0</v>
      </c>
      <c r="M218" s="3">
        <v>36000</v>
      </c>
    </row>
    <row r="219" spans="1:13" x14ac:dyDescent="0.25">
      <c r="A219">
        <v>3218</v>
      </c>
      <c r="B219" s="1">
        <v>45689</v>
      </c>
      <c r="C219" s="1" t="str">
        <f>TEXT(deepseek_csv_20260422_7f7afa[[#This Row],[OrderDate]], "dddd")</f>
        <v>Saturday</v>
      </c>
      <c r="D219" s="1" t="str">
        <f>TEXT(deepseek_csv_20260422_7f7afa[[#This Row],[OrderDate]], "mmmm")</f>
        <v>February</v>
      </c>
      <c r="E219" s="2" t="s">
        <v>20</v>
      </c>
      <c r="F219" s="2" t="s">
        <v>241</v>
      </c>
      <c r="G219">
        <v>2</v>
      </c>
      <c r="H219" s="3">
        <v>15000</v>
      </c>
      <c r="I219" s="2" t="s">
        <v>17</v>
      </c>
      <c r="J219" s="2" t="s">
        <v>18</v>
      </c>
      <c r="K219" s="2" t="s">
        <v>24</v>
      </c>
      <c r="L219">
        <v>0</v>
      </c>
      <c r="M219" s="3">
        <v>30000</v>
      </c>
    </row>
    <row r="220" spans="1:13" x14ac:dyDescent="0.25">
      <c r="A220">
        <v>3219</v>
      </c>
      <c r="B220" s="1">
        <v>45690</v>
      </c>
      <c r="C220" s="1" t="str">
        <f>TEXT(deepseek_csv_20260422_7f7afa[[#This Row],[OrderDate]], "dddd")</f>
        <v>Sunday</v>
      </c>
      <c r="D220" s="1" t="str">
        <f>TEXT(deepseek_csv_20260422_7f7afa[[#This Row],[OrderDate]], "mmmm")</f>
        <v>February</v>
      </c>
      <c r="E220" s="2" t="s">
        <v>10</v>
      </c>
      <c r="F220" s="2" t="s">
        <v>242</v>
      </c>
      <c r="G220">
        <v>8</v>
      </c>
      <c r="H220" s="3">
        <v>5000</v>
      </c>
      <c r="I220" s="2" t="s">
        <v>22</v>
      </c>
      <c r="J220" s="2" t="s">
        <v>23</v>
      </c>
      <c r="K220" s="2" t="s">
        <v>14</v>
      </c>
      <c r="L220">
        <v>10</v>
      </c>
      <c r="M220" s="3">
        <v>40000</v>
      </c>
    </row>
    <row r="221" spans="1:13" x14ac:dyDescent="0.25">
      <c r="A221">
        <v>3220</v>
      </c>
      <c r="B221" s="1">
        <v>45691</v>
      </c>
      <c r="C221" s="1" t="str">
        <f>TEXT(deepseek_csv_20260422_7f7afa[[#This Row],[OrderDate]], "dddd")</f>
        <v>Monday</v>
      </c>
      <c r="D221" s="1" t="str">
        <f>TEXT(deepseek_csv_20260422_7f7afa[[#This Row],[OrderDate]], "mmmm")</f>
        <v>February</v>
      </c>
      <c r="E221" s="2" t="s">
        <v>15</v>
      </c>
      <c r="F221" s="2" t="s">
        <v>243</v>
      </c>
      <c r="G221">
        <v>4</v>
      </c>
      <c r="H221" s="3">
        <v>12000</v>
      </c>
      <c r="I221" s="2" t="s">
        <v>26</v>
      </c>
      <c r="J221" s="2" t="s">
        <v>27</v>
      </c>
      <c r="K221" s="2" t="s">
        <v>19</v>
      </c>
      <c r="L221">
        <v>0</v>
      </c>
      <c r="M221" s="3">
        <v>48000</v>
      </c>
    </row>
    <row r="222" spans="1:13" x14ac:dyDescent="0.25">
      <c r="A222">
        <v>3221</v>
      </c>
      <c r="B222" s="1">
        <v>45692</v>
      </c>
      <c r="C222" s="1" t="str">
        <f>TEXT(deepseek_csv_20260422_7f7afa[[#This Row],[OrderDate]], "dddd")</f>
        <v>Tuesday</v>
      </c>
      <c r="D222" s="1" t="str">
        <f>TEXT(deepseek_csv_20260422_7f7afa[[#This Row],[OrderDate]], "mmmm")</f>
        <v>February</v>
      </c>
      <c r="E222" s="2" t="s">
        <v>20</v>
      </c>
      <c r="F222" s="2" t="s">
        <v>244</v>
      </c>
      <c r="G222">
        <v>2</v>
      </c>
      <c r="H222" s="3">
        <v>35000</v>
      </c>
      <c r="I222" s="2" t="s">
        <v>12</v>
      </c>
      <c r="J222" s="2" t="s">
        <v>13</v>
      </c>
      <c r="K222" s="2" t="s">
        <v>24</v>
      </c>
      <c r="L222">
        <v>5</v>
      </c>
      <c r="M222" s="3">
        <v>70000</v>
      </c>
    </row>
    <row r="223" spans="1:13" x14ac:dyDescent="0.25">
      <c r="A223">
        <v>3222</v>
      </c>
      <c r="B223" s="1">
        <v>45693</v>
      </c>
      <c r="C223" s="1" t="str">
        <f>TEXT(deepseek_csv_20260422_7f7afa[[#This Row],[OrderDate]], "dddd")</f>
        <v>Wednesday</v>
      </c>
      <c r="D223" s="1" t="str">
        <f>TEXT(deepseek_csv_20260422_7f7afa[[#This Row],[OrderDate]], "mmmm")</f>
        <v>February</v>
      </c>
      <c r="E223" s="2" t="s">
        <v>10</v>
      </c>
      <c r="F223" s="2" t="s">
        <v>245</v>
      </c>
      <c r="G223">
        <v>1</v>
      </c>
      <c r="H223" s="3">
        <v>45000</v>
      </c>
      <c r="I223" s="2" t="s">
        <v>17</v>
      </c>
      <c r="J223" s="2" t="s">
        <v>18</v>
      </c>
      <c r="K223" s="2" t="s">
        <v>14</v>
      </c>
      <c r="L223">
        <v>0</v>
      </c>
      <c r="M223" s="3">
        <v>45000</v>
      </c>
    </row>
    <row r="224" spans="1:13" x14ac:dyDescent="0.25">
      <c r="A224">
        <v>3223</v>
      </c>
      <c r="B224" s="1">
        <v>45694</v>
      </c>
      <c r="C224" s="1" t="str">
        <f>TEXT(deepseek_csv_20260422_7f7afa[[#This Row],[OrderDate]], "dddd")</f>
        <v>Thursday</v>
      </c>
      <c r="D224" s="1" t="str">
        <f>TEXT(deepseek_csv_20260422_7f7afa[[#This Row],[OrderDate]], "mmmm")</f>
        <v>February</v>
      </c>
      <c r="E224" s="2" t="s">
        <v>15</v>
      </c>
      <c r="F224" s="2" t="s">
        <v>246</v>
      </c>
      <c r="G224">
        <v>1</v>
      </c>
      <c r="H224" s="3">
        <v>55000</v>
      </c>
      <c r="I224" s="2" t="s">
        <v>22</v>
      </c>
      <c r="J224" s="2" t="s">
        <v>23</v>
      </c>
      <c r="K224" s="2" t="s">
        <v>19</v>
      </c>
      <c r="L224">
        <v>0</v>
      </c>
      <c r="M224" s="3">
        <v>55000</v>
      </c>
    </row>
    <row r="225" spans="1:13" x14ac:dyDescent="0.25">
      <c r="A225">
        <v>3224</v>
      </c>
      <c r="B225" s="1">
        <v>45695</v>
      </c>
      <c r="C225" s="1" t="str">
        <f>TEXT(deepseek_csv_20260422_7f7afa[[#This Row],[OrderDate]], "dddd")</f>
        <v>Friday</v>
      </c>
      <c r="D225" s="1" t="str">
        <f>TEXT(deepseek_csv_20260422_7f7afa[[#This Row],[OrderDate]], "mmmm")</f>
        <v>February</v>
      </c>
      <c r="E225" s="2" t="s">
        <v>20</v>
      </c>
      <c r="F225" s="2" t="s">
        <v>247</v>
      </c>
      <c r="G225">
        <v>1</v>
      </c>
      <c r="H225" s="3">
        <v>65000</v>
      </c>
      <c r="I225" s="2" t="s">
        <v>26</v>
      </c>
      <c r="J225" s="2" t="s">
        <v>27</v>
      </c>
      <c r="K225" s="2" t="s">
        <v>24</v>
      </c>
      <c r="L225">
        <v>10</v>
      </c>
      <c r="M225" s="3">
        <v>65000</v>
      </c>
    </row>
    <row r="226" spans="1:13" x14ac:dyDescent="0.25">
      <c r="A226">
        <v>3225</v>
      </c>
      <c r="B226" s="1">
        <v>45696</v>
      </c>
      <c r="C226" s="1" t="str">
        <f>TEXT(deepseek_csv_20260422_7f7afa[[#This Row],[OrderDate]], "dddd")</f>
        <v>Saturday</v>
      </c>
      <c r="D226" s="1" t="str">
        <f>TEXT(deepseek_csv_20260422_7f7afa[[#This Row],[OrderDate]], "mmmm")</f>
        <v>February</v>
      </c>
      <c r="E226" s="2" t="s">
        <v>10</v>
      </c>
      <c r="F226" s="2" t="s">
        <v>248</v>
      </c>
      <c r="G226">
        <v>1</v>
      </c>
      <c r="H226" s="3">
        <v>120000</v>
      </c>
      <c r="I226" s="2" t="s">
        <v>12</v>
      </c>
      <c r="J226" s="2" t="s">
        <v>13</v>
      </c>
      <c r="K226" s="2" t="s">
        <v>14</v>
      </c>
      <c r="L226">
        <v>0</v>
      </c>
      <c r="M226" s="3">
        <v>120000</v>
      </c>
    </row>
    <row r="227" spans="1:13" x14ac:dyDescent="0.25">
      <c r="A227">
        <v>3226</v>
      </c>
      <c r="B227" s="1">
        <v>45697</v>
      </c>
      <c r="C227" s="1" t="str">
        <f>TEXT(deepseek_csv_20260422_7f7afa[[#This Row],[OrderDate]], "dddd")</f>
        <v>Sunday</v>
      </c>
      <c r="D227" s="1" t="str">
        <f>TEXT(deepseek_csv_20260422_7f7afa[[#This Row],[OrderDate]], "mmmm")</f>
        <v>February</v>
      </c>
      <c r="E227" s="2" t="s">
        <v>15</v>
      </c>
      <c r="F227" s="2" t="s">
        <v>249</v>
      </c>
      <c r="G227">
        <v>3</v>
      </c>
      <c r="H227" s="3">
        <v>15000</v>
      </c>
      <c r="I227" s="2" t="s">
        <v>17</v>
      </c>
      <c r="J227" s="2" t="s">
        <v>18</v>
      </c>
      <c r="K227" s="2" t="s">
        <v>19</v>
      </c>
      <c r="L227">
        <v>5</v>
      </c>
      <c r="M227" s="3">
        <v>45000</v>
      </c>
    </row>
    <row r="228" spans="1:13" x14ac:dyDescent="0.25">
      <c r="A228">
        <v>3227</v>
      </c>
      <c r="B228" s="1">
        <v>45698</v>
      </c>
      <c r="C228" s="1" t="str">
        <f>TEXT(deepseek_csv_20260422_7f7afa[[#This Row],[OrderDate]], "dddd")</f>
        <v>Monday</v>
      </c>
      <c r="D228" s="1" t="str">
        <f>TEXT(deepseek_csv_20260422_7f7afa[[#This Row],[OrderDate]], "mmmm")</f>
        <v>February</v>
      </c>
      <c r="E228" s="2" t="s">
        <v>20</v>
      </c>
      <c r="F228" s="2" t="s">
        <v>250</v>
      </c>
      <c r="G228">
        <v>1</v>
      </c>
      <c r="H228" s="3">
        <v>35000</v>
      </c>
      <c r="I228" s="2" t="s">
        <v>22</v>
      </c>
      <c r="J228" s="2" t="s">
        <v>23</v>
      </c>
      <c r="K228" s="2" t="s">
        <v>24</v>
      </c>
      <c r="L228">
        <v>0</v>
      </c>
      <c r="M228" s="3">
        <v>35000</v>
      </c>
    </row>
    <row r="229" spans="1:13" x14ac:dyDescent="0.25">
      <c r="A229">
        <v>3228</v>
      </c>
      <c r="B229" s="1">
        <v>45699</v>
      </c>
      <c r="C229" s="1" t="str">
        <f>TEXT(deepseek_csv_20260422_7f7afa[[#This Row],[OrderDate]], "dddd")</f>
        <v>Tuesday</v>
      </c>
      <c r="D229" s="1" t="str">
        <f>TEXT(deepseek_csv_20260422_7f7afa[[#This Row],[OrderDate]], "mmmm")</f>
        <v>February</v>
      </c>
      <c r="E229" s="2" t="s">
        <v>10</v>
      </c>
      <c r="F229" s="2" t="s">
        <v>251</v>
      </c>
      <c r="G229">
        <v>2</v>
      </c>
      <c r="H229" s="3">
        <v>25000</v>
      </c>
      <c r="I229" s="2" t="s">
        <v>26</v>
      </c>
      <c r="J229" s="2" t="s">
        <v>27</v>
      </c>
      <c r="K229" s="2" t="s">
        <v>14</v>
      </c>
      <c r="L229">
        <v>0</v>
      </c>
      <c r="M229" s="3">
        <v>50000</v>
      </c>
    </row>
    <row r="230" spans="1:13" x14ac:dyDescent="0.25">
      <c r="A230">
        <v>3229</v>
      </c>
      <c r="B230" s="1">
        <v>45700</v>
      </c>
      <c r="C230" s="1" t="str">
        <f>TEXT(deepseek_csv_20260422_7f7afa[[#This Row],[OrderDate]], "dddd")</f>
        <v>Wednesday</v>
      </c>
      <c r="D230" s="1" t="str">
        <f>TEXT(deepseek_csv_20260422_7f7afa[[#This Row],[OrderDate]], "mmmm")</f>
        <v>February</v>
      </c>
      <c r="E230" s="2" t="s">
        <v>15</v>
      </c>
      <c r="F230" s="2" t="s">
        <v>94</v>
      </c>
      <c r="G230">
        <v>6</v>
      </c>
      <c r="H230" s="3">
        <v>5000</v>
      </c>
      <c r="I230" s="2" t="s">
        <v>12</v>
      </c>
      <c r="J230" s="2" t="s">
        <v>13</v>
      </c>
      <c r="K230" s="2" t="s">
        <v>19</v>
      </c>
      <c r="L230">
        <v>5</v>
      </c>
      <c r="M230" s="3">
        <v>30000</v>
      </c>
    </row>
    <row r="231" spans="1:13" x14ac:dyDescent="0.25">
      <c r="A231">
        <v>3230</v>
      </c>
      <c r="B231" s="1">
        <v>45701</v>
      </c>
      <c r="C231" s="1" t="str">
        <f>TEXT(deepseek_csv_20260422_7f7afa[[#This Row],[OrderDate]], "dddd")</f>
        <v>Thursday</v>
      </c>
      <c r="D231" s="1" t="str">
        <f>TEXT(deepseek_csv_20260422_7f7afa[[#This Row],[OrderDate]], "mmmm")</f>
        <v>February</v>
      </c>
      <c r="E231" s="2" t="s">
        <v>20</v>
      </c>
      <c r="F231" s="2" t="s">
        <v>252</v>
      </c>
      <c r="G231">
        <v>5</v>
      </c>
      <c r="H231" s="3">
        <v>4000</v>
      </c>
      <c r="I231" s="2" t="s">
        <v>17</v>
      </c>
      <c r="J231" s="2" t="s">
        <v>18</v>
      </c>
      <c r="K231" s="2" t="s">
        <v>24</v>
      </c>
      <c r="L231">
        <v>0</v>
      </c>
      <c r="M231" s="3">
        <v>20000</v>
      </c>
    </row>
    <row r="232" spans="1:13" x14ac:dyDescent="0.25">
      <c r="A232">
        <v>3231</v>
      </c>
      <c r="B232" s="1">
        <v>45702</v>
      </c>
      <c r="C232" s="1" t="str">
        <f>TEXT(deepseek_csv_20260422_7f7afa[[#This Row],[OrderDate]], "dddd")</f>
        <v>Friday</v>
      </c>
      <c r="D232" s="1" t="str">
        <f>TEXT(deepseek_csv_20260422_7f7afa[[#This Row],[OrderDate]], "mmmm")</f>
        <v>February</v>
      </c>
      <c r="E232" s="2" t="s">
        <v>10</v>
      </c>
      <c r="F232" s="2" t="s">
        <v>253</v>
      </c>
      <c r="G232">
        <v>3</v>
      </c>
      <c r="H232" s="3">
        <v>8000</v>
      </c>
      <c r="I232" s="2" t="s">
        <v>22</v>
      </c>
      <c r="J232" s="2" t="s">
        <v>23</v>
      </c>
      <c r="K232" s="2" t="s">
        <v>14</v>
      </c>
      <c r="L232">
        <v>0</v>
      </c>
      <c r="M232" s="3">
        <v>24000</v>
      </c>
    </row>
    <row r="233" spans="1:13" x14ac:dyDescent="0.25">
      <c r="A233">
        <v>3232</v>
      </c>
      <c r="B233" s="1">
        <v>45703</v>
      </c>
      <c r="C233" s="1" t="str">
        <f>TEXT(deepseek_csv_20260422_7f7afa[[#This Row],[OrderDate]], "dddd")</f>
        <v>Saturday</v>
      </c>
      <c r="D233" s="1" t="str">
        <f>TEXT(deepseek_csv_20260422_7f7afa[[#This Row],[OrderDate]], "mmmm")</f>
        <v>February</v>
      </c>
      <c r="E233" s="2" t="s">
        <v>15</v>
      </c>
      <c r="F233" s="2" t="s">
        <v>254</v>
      </c>
      <c r="G233">
        <v>2</v>
      </c>
      <c r="H233" s="3">
        <v>12000</v>
      </c>
      <c r="I233" s="2" t="s">
        <v>26</v>
      </c>
      <c r="J233" s="2" t="s">
        <v>27</v>
      </c>
      <c r="K233" s="2" t="s">
        <v>19</v>
      </c>
      <c r="L233">
        <v>10</v>
      </c>
      <c r="M233" s="3">
        <v>24000</v>
      </c>
    </row>
    <row r="234" spans="1:13" x14ac:dyDescent="0.25">
      <c r="A234">
        <v>3233</v>
      </c>
      <c r="B234" s="1">
        <v>45704</v>
      </c>
      <c r="C234" s="1" t="str">
        <f>TEXT(deepseek_csv_20260422_7f7afa[[#This Row],[OrderDate]], "dddd")</f>
        <v>Sunday</v>
      </c>
      <c r="D234" s="1" t="str">
        <f>TEXT(deepseek_csv_20260422_7f7afa[[#This Row],[OrderDate]], "mmmm")</f>
        <v>February</v>
      </c>
      <c r="E234" s="2" t="s">
        <v>20</v>
      </c>
      <c r="F234" s="2" t="s">
        <v>77</v>
      </c>
      <c r="G234">
        <v>4</v>
      </c>
      <c r="H234" s="3">
        <v>7000</v>
      </c>
      <c r="I234" s="2" t="s">
        <v>12</v>
      </c>
      <c r="J234" s="2" t="s">
        <v>13</v>
      </c>
      <c r="K234" s="2" t="s">
        <v>24</v>
      </c>
      <c r="L234">
        <v>0</v>
      </c>
      <c r="M234" s="3">
        <v>28000</v>
      </c>
    </row>
    <row r="235" spans="1:13" x14ac:dyDescent="0.25">
      <c r="A235">
        <v>3234</v>
      </c>
      <c r="B235" s="1">
        <v>45705</v>
      </c>
      <c r="C235" s="1" t="str">
        <f>TEXT(deepseek_csv_20260422_7f7afa[[#This Row],[OrderDate]], "dddd")</f>
        <v>Monday</v>
      </c>
      <c r="D235" s="1" t="str">
        <f>TEXT(deepseek_csv_20260422_7f7afa[[#This Row],[OrderDate]], "mmmm")</f>
        <v>February</v>
      </c>
      <c r="E235" s="2" t="s">
        <v>10</v>
      </c>
      <c r="F235" s="2" t="s">
        <v>255</v>
      </c>
      <c r="G235">
        <v>3</v>
      </c>
      <c r="H235" s="3">
        <v>6000</v>
      </c>
      <c r="I235" s="2" t="s">
        <v>17</v>
      </c>
      <c r="J235" s="2" t="s">
        <v>18</v>
      </c>
      <c r="K235" s="2" t="s">
        <v>14</v>
      </c>
      <c r="L235">
        <v>5</v>
      </c>
      <c r="M235" s="3">
        <v>18000</v>
      </c>
    </row>
    <row r="236" spans="1:13" x14ac:dyDescent="0.25">
      <c r="A236">
        <v>3235</v>
      </c>
      <c r="B236" s="1">
        <v>45706</v>
      </c>
      <c r="C236" s="1" t="str">
        <f>TEXT(deepseek_csv_20260422_7f7afa[[#This Row],[OrderDate]], "dddd")</f>
        <v>Tuesday</v>
      </c>
      <c r="D236" s="1" t="str">
        <f>TEXT(deepseek_csv_20260422_7f7afa[[#This Row],[OrderDate]], "mmmm")</f>
        <v>February</v>
      </c>
      <c r="E236" s="2" t="s">
        <v>15</v>
      </c>
      <c r="F236" s="2" t="s">
        <v>58</v>
      </c>
      <c r="G236">
        <v>7</v>
      </c>
      <c r="H236" s="3">
        <v>8000</v>
      </c>
      <c r="I236" s="2" t="s">
        <v>22</v>
      </c>
      <c r="J236" s="2" t="s">
        <v>23</v>
      </c>
      <c r="K236" s="2" t="s">
        <v>19</v>
      </c>
      <c r="L236">
        <v>0</v>
      </c>
      <c r="M236" s="3">
        <v>56000</v>
      </c>
    </row>
    <row r="237" spans="1:13" x14ac:dyDescent="0.25">
      <c r="A237">
        <v>3236</v>
      </c>
      <c r="B237" s="1">
        <v>45707</v>
      </c>
      <c r="C237" s="1" t="str">
        <f>TEXT(deepseek_csv_20260422_7f7afa[[#This Row],[OrderDate]], "dddd")</f>
        <v>Wednesday</v>
      </c>
      <c r="D237" s="1" t="str">
        <f>TEXT(deepseek_csv_20260422_7f7afa[[#This Row],[OrderDate]], "mmmm")</f>
        <v>February</v>
      </c>
      <c r="E237" s="2" t="s">
        <v>20</v>
      </c>
      <c r="F237" s="2" t="s">
        <v>68</v>
      </c>
      <c r="G237">
        <v>3</v>
      </c>
      <c r="H237" s="3">
        <v>12000</v>
      </c>
      <c r="I237" s="2" t="s">
        <v>26</v>
      </c>
      <c r="J237" s="2" t="s">
        <v>27</v>
      </c>
      <c r="K237" s="2" t="s">
        <v>24</v>
      </c>
      <c r="L237">
        <v>0</v>
      </c>
      <c r="M237" s="3">
        <v>36000</v>
      </c>
    </row>
    <row r="238" spans="1:13" x14ac:dyDescent="0.25">
      <c r="A238">
        <v>3237</v>
      </c>
      <c r="B238" s="1">
        <v>45708</v>
      </c>
      <c r="C238" s="1" t="str">
        <f>TEXT(deepseek_csv_20260422_7f7afa[[#This Row],[OrderDate]], "dddd")</f>
        <v>Thursday</v>
      </c>
      <c r="D238" s="1" t="str">
        <f>TEXT(deepseek_csv_20260422_7f7afa[[#This Row],[OrderDate]], "mmmm")</f>
        <v>February</v>
      </c>
      <c r="E238" s="2" t="s">
        <v>10</v>
      </c>
      <c r="F238" s="2" t="s">
        <v>256</v>
      </c>
      <c r="G238">
        <v>2</v>
      </c>
      <c r="H238" s="3">
        <v>25000</v>
      </c>
      <c r="I238" s="2" t="s">
        <v>12</v>
      </c>
      <c r="J238" s="2" t="s">
        <v>13</v>
      </c>
      <c r="K238" s="2" t="s">
        <v>14</v>
      </c>
      <c r="L238">
        <v>5</v>
      </c>
      <c r="M238" s="3">
        <v>50000</v>
      </c>
    </row>
    <row r="239" spans="1:13" x14ac:dyDescent="0.25">
      <c r="A239">
        <v>3238</v>
      </c>
      <c r="B239" s="1">
        <v>45709</v>
      </c>
      <c r="C239" s="1" t="str">
        <f>TEXT(deepseek_csv_20260422_7f7afa[[#This Row],[OrderDate]], "dddd")</f>
        <v>Friday</v>
      </c>
      <c r="D239" s="1" t="str">
        <f>TEXT(deepseek_csv_20260422_7f7afa[[#This Row],[OrderDate]], "mmmm")</f>
        <v>February</v>
      </c>
      <c r="E239" s="2" t="s">
        <v>15</v>
      </c>
      <c r="F239" s="2" t="s">
        <v>131</v>
      </c>
      <c r="G239">
        <v>3</v>
      </c>
      <c r="H239" s="3">
        <v>18000</v>
      </c>
      <c r="I239" s="2" t="s">
        <v>17</v>
      </c>
      <c r="J239" s="2" t="s">
        <v>18</v>
      </c>
      <c r="K239" s="2" t="s">
        <v>19</v>
      </c>
      <c r="L239">
        <v>0</v>
      </c>
      <c r="M239" s="3">
        <v>54000</v>
      </c>
    </row>
    <row r="240" spans="1:13" x14ac:dyDescent="0.25">
      <c r="A240">
        <v>3239</v>
      </c>
      <c r="B240" s="1">
        <v>45710</v>
      </c>
      <c r="C240" s="1" t="str">
        <f>TEXT(deepseek_csv_20260422_7f7afa[[#This Row],[OrderDate]], "dddd")</f>
        <v>Saturday</v>
      </c>
      <c r="D240" s="1" t="str">
        <f>TEXT(deepseek_csv_20260422_7f7afa[[#This Row],[OrderDate]], "mmmm")</f>
        <v>February</v>
      </c>
      <c r="E240" s="2" t="s">
        <v>20</v>
      </c>
      <c r="F240" s="2" t="s">
        <v>257</v>
      </c>
      <c r="G240">
        <v>6</v>
      </c>
      <c r="H240" s="3">
        <v>15000</v>
      </c>
      <c r="I240" s="2" t="s">
        <v>22</v>
      </c>
      <c r="J240" s="2" t="s">
        <v>23</v>
      </c>
      <c r="K240" s="2" t="s">
        <v>24</v>
      </c>
      <c r="L240">
        <v>0</v>
      </c>
      <c r="M240" s="3">
        <v>90000</v>
      </c>
    </row>
    <row r="241" spans="1:13" x14ac:dyDescent="0.25">
      <c r="A241">
        <v>3240</v>
      </c>
      <c r="B241" s="1">
        <v>45711</v>
      </c>
      <c r="C241" s="1" t="str">
        <f>TEXT(deepseek_csv_20260422_7f7afa[[#This Row],[OrderDate]], "dddd")</f>
        <v>Sunday</v>
      </c>
      <c r="D241" s="1" t="str">
        <f>TEXT(deepseek_csv_20260422_7f7afa[[#This Row],[OrderDate]], "mmmm")</f>
        <v>February</v>
      </c>
      <c r="E241" s="2" t="s">
        <v>10</v>
      </c>
      <c r="F241" s="2" t="s">
        <v>258</v>
      </c>
      <c r="G241">
        <v>2</v>
      </c>
      <c r="H241" s="3">
        <v>12000</v>
      </c>
      <c r="I241" s="2" t="s">
        <v>26</v>
      </c>
      <c r="J241" s="2" t="s">
        <v>27</v>
      </c>
      <c r="K241" s="2" t="s">
        <v>14</v>
      </c>
      <c r="L241">
        <v>10</v>
      </c>
      <c r="M241" s="3">
        <v>24000</v>
      </c>
    </row>
    <row r="242" spans="1:13" x14ac:dyDescent="0.25">
      <c r="A242">
        <v>3241</v>
      </c>
      <c r="B242" s="1">
        <v>45712</v>
      </c>
      <c r="C242" s="1" t="str">
        <f>TEXT(deepseek_csv_20260422_7f7afa[[#This Row],[OrderDate]], "dddd")</f>
        <v>Monday</v>
      </c>
      <c r="D242" s="1" t="str">
        <f>TEXT(deepseek_csv_20260422_7f7afa[[#This Row],[OrderDate]], "mmmm")</f>
        <v>February</v>
      </c>
      <c r="E242" s="2" t="s">
        <v>15</v>
      </c>
      <c r="F242" s="2" t="s">
        <v>115</v>
      </c>
      <c r="G242">
        <v>5</v>
      </c>
      <c r="H242" s="3">
        <v>6000</v>
      </c>
      <c r="I242" s="2" t="s">
        <v>12</v>
      </c>
      <c r="J242" s="2" t="s">
        <v>13</v>
      </c>
      <c r="K242" s="2" t="s">
        <v>19</v>
      </c>
      <c r="L242">
        <v>0</v>
      </c>
      <c r="M242" s="3">
        <v>30000</v>
      </c>
    </row>
    <row r="243" spans="1:13" x14ac:dyDescent="0.25">
      <c r="A243">
        <v>3242</v>
      </c>
      <c r="B243" s="1">
        <v>45713</v>
      </c>
      <c r="C243" s="1" t="str">
        <f>TEXT(deepseek_csv_20260422_7f7afa[[#This Row],[OrderDate]], "dddd")</f>
        <v>Tuesday</v>
      </c>
      <c r="D243" s="1" t="str">
        <f>TEXT(deepseek_csv_20260422_7f7afa[[#This Row],[OrderDate]], "mmmm")</f>
        <v>February</v>
      </c>
      <c r="E243" s="2" t="s">
        <v>20</v>
      </c>
      <c r="F243" s="2" t="s">
        <v>83</v>
      </c>
      <c r="G243">
        <v>4</v>
      </c>
      <c r="H243" s="3">
        <v>25000</v>
      </c>
      <c r="I243" s="2" t="s">
        <v>17</v>
      </c>
      <c r="J243" s="2" t="s">
        <v>18</v>
      </c>
      <c r="K243" s="2" t="s">
        <v>24</v>
      </c>
      <c r="L243">
        <v>5</v>
      </c>
      <c r="M243" s="3">
        <v>100000</v>
      </c>
    </row>
    <row r="244" spans="1:13" x14ac:dyDescent="0.25">
      <c r="A244">
        <v>3243</v>
      </c>
      <c r="B244" s="1">
        <v>45714</v>
      </c>
      <c r="C244" s="1" t="str">
        <f>TEXT(deepseek_csv_20260422_7f7afa[[#This Row],[OrderDate]], "dddd")</f>
        <v>Wednesday</v>
      </c>
      <c r="D244" s="1" t="str">
        <f>TEXT(deepseek_csv_20260422_7f7afa[[#This Row],[OrderDate]], "mmmm")</f>
        <v>February</v>
      </c>
      <c r="E244" s="2" t="s">
        <v>10</v>
      </c>
      <c r="F244" s="2" t="s">
        <v>259</v>
      </c>
      <c r="G244">
        <v>6</v>
      </c>
      <c r="H244" s="3">
        <v>3000</v>
      </c>
      <c r="I244" s="2" t="s">
        <v>22</v>
      </c>
      <c r="J244" s="2" t="s">
        <v>23</v>
      </c>
      <c r="K244" s="2" t="s">
        <v>14</v>
      </c>
      <c r="L244">
        <v>0</v>
      </c>
      <c r="M244" s="3">
        <v>18000</v>
      </c>
    </row>
    <row r="245" spans="1:13" x14ac:dyDescent="0.25">
      <c r="A245">
        <v>3244</v>
      </c>
      <c r="B245" s="1">
        <v>45715</v>
      </c>
      <c r="C245" s="1" t="str">
        <f>TEXT(deepseek_csv_20260422_7f7afa[[#This Row],[OrderDate]], "dddd")</f>
        <v>Thursday</v>
      </c>
      <c r="D245" s="1" t="str">
        <f>TEXT(deepseek_csv_20260422_7f7afa[[#This Row],[OrderDate]], "mmmm")</f>
        <v>February</v>
      </c>
      <c r="E245" s="2" t="s">
        <v>15</v>
      </c>
      <c r="F245" s="2" t="s">
        <v>260</v>
      </c>
      <c r="G245">
        <v>4</v>
      </c>
      <c r="H245" s="3">
        <v>5000</v>
      </c>
      <c r="I245" s="2" t="s">
        <v>26</v>
      </c>
      <c r="J245" s="2" t="s">
        <v>27</v>
      </c>
      <c r="K245" s="2" t="s">
        <v>19</v>
      </c>
      <c r="L245">
        <v>0</v>
      </c>
      <c r="M245" s="3">
        <v>20000</v>
      </c>
    </row>
    <row r="246" spans="1:13" x14ac:dyDescent="0.25">
      <c r="A246">
        <v>3245</v>
      </c>
      <c r="B246" s="1">
        <v>45716</v>
      </c>
      <c r="C246" s="1" t="str">
        <f>TEXT(deepseek_csv_20260422_7f7afa[[#This Row],[OrderDate]], "dddd")</f>
        <v>Friday</v>
      </c>
      <c r="D246" s="1" t="str">
        <f>TEXT(deepseek_csv_20260422_7f7afa[[#This Row],[OrderDate]], "mmmm")</f>
        <v>February</v>
      </c>
      <c r="E246" s="2" t="s">
        <v>20</v>
      </c>
      <c r="F246" s="2" t="s">
        <v>261</v>
      </c>
      <c r="G246">
        <v>1</v>
      </c>
      <c r="H246" s="3">
        <v>55000</v>
      </c>
      <c r="I246" s="2" t="s">
        <v>12</v>
      </c>
      <c r="J246" s="2" t="s">
        <v>13</v>
      </c>
      <c r="K246" s="2" t="s">
        <v>24</v>
      </c>
      <c r="L246">
        <v>5</v>
      </c>
      <c r="M246" s="3">
        <v>55000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0768-5BB3-473A-8079-9C7ADF7E8B6C}">
  <dimension ref="A3:G56"/>
  <sheetViews>
    <sheetView zoomScale="84" zoomScaleNormal="84" workbookViewId="0">
      <selection activeCell="E4" sqref="E4"/>
    </sheetView>
  </sheetViews>
  <sheetFormatPr defaultRowHeight="15" x14ac:dyDescent="0.25"/>
  <cols>
    <col min="1" max="1" width="13.85546875" bestFit="1" customWidth="1"/>
    <col min="2" max="2" width="15.5703125" bestFit="1" customWidth="1"/>
    <col min="3" max="3" width="11.85546875" bestFit="1" customWidth="1"/>
    <col min="4" max="4" width="16" bestFit="1" customWidth="1"/>
    <col min="5" max="5" width="15.5703125" bestFit="1" customWidth="1"/>
    <col min="6" max="6" width="12" bestFit="1" customWidth="1"/>
    <col min="7" max="7" width="15.5703125" bestFit="1" customWidth="1"/>
  </cols>
  <sheetData>
    <row r="3" spans="1:5" x14ac:dyDescent="0.25">
      <c r="A3" t="s">
        <v>268</v>
      </c>
      <c r="B3" t="s">
        <v>269</v>
      </c>
      <c r="C3" t="s">
        <v>270</v>
      </c>
    </row>
    <row r="4" spans="1:5" x14ac:dyDescent="0.25">
      <c r="A4" s="4">
        <v>15090000</v>
      </c>
      <c r="B4" s="6">
        <v>876</v>
      </c>
      <c r="C4" s="6">
        <v>244</v>
      </c>
    </row>
    <row r="6" spans="1:5" x14ac:dyDescent="0.25">
      <c r="A6" s="5" t="s">
        <v>6</v>
      </c>
      <c r="B6" s="3" t="s">
        <v>272</v>
      </c>
      <c r="D6" s="5" t="s">
        <v>273</v>
      </c>
      <c r="E6" s="3" t="s">
        <v>272</v>
      </c>
    </row>
    <row r="7" spans="1:5" x14ac:dyDescent="0.25">
      <c r="A7" s="7" t="s">
        <v>12</v>
      </c>
      <c r="B7" s="3">
        <v>4716000</v>
      </c>
      <c r="D7" s="7" t="s">
        <v>214</v>
      </c>
      <c r="E7" s="3">
        <v>250000</v>
      </c>
    </row>
    <row r="8" spans="1:5" x14ac:dyDescent="0.25">
      <c r="A8" s="7" t="s">
        <v>22</v>
      </c>
      <c r="B8" s="3">
        <v>4009000</v>
      </c>
      <c r="D8" s="7" t="s">
        <v>224</v>
      </c>
      <c r="E8" s="3">
        <v>350000</v>
      </c>
    </row>
    <row r="9" spans="1:5" x14ac:dyDescent="0.25">
      <c r="A9" s="7" t="s">
        <v>26</v>
      </c>
      <c r="B9" s="3">
        <v>3528000</v>
      </c>
      <c r="D9" s="7" t="s">
        <v>11</v>
      </c>
      <c r="E9" s="3">
        <v>1350000</v>
      </c>
    </row>
    <row r="10" spans="1:5" x14ac:dyDescent="0.25">
      <c r="A10" s="7" t="s">
        <v>17</v>
      </c>
      <c r="B10" s="3">
        <v>2837000</v>
      </c>
      <c r="D10" s="7" t="s">
        <v>90</v>
      </c>
      <c r="E10" s="3">
        <v>250000</v>
      </c>
    </row>
    <row r="11" spans="1:5" x14ac:dyDescent="0.25">
      <c r="A11" s="7" t="s">
        <v>271</v>
      </c>
      <c r="B11" s="3">
        <v>15090000</v>
      </c>
      <c r="D11" s="7" t="s">
        <v>227</v>
      </c>
      <c r="E11" s="3">
        <v>250000</v>
      </c>
    </row>
    <row r="12" spans="1:5" x14ac:dyDescent="0.25">
      <c r="D12" s="7" t="s">
        <v>271</v>
      </c>
      <c r="E12" s="3">
        <v>2450000</v>
      </c>
    </row>
    <row r="14" spans="1:5" x14ac:dyDescent="0.25">
      <c r="A14" s="5" t="s">
        <v>263</v>
      </c>
      <c r="B14" s="3" t="s">
        <v>272</v>
      </c>
      <c r="D14" s="5" t="s">
        <v>281</v>
      </c>
      <c r="E14" s="3" t="s">
        <v>272</v>
      </c>
    </row>
    <row r="15" spans="1:5" x14ac:dyDescent="0.25">
      <c r="A15" s="7" t="s">
        <v>265</v>
      </c>
      <c r="B15" s="3">
        <v>8645000</v>
      </c>
      <c r="D15" s="7" t="s">
        <v>13</v>
      </c>
      <c r="E15" s="3">
        <v>4716000</v>
      </c>
    </row>
    <row r="16" spans="1:5" x14ac:dyDescent="0.25">
      <c r="A16" s="7" t="s">
        <v>266</v>
      </c>
      <c r="B16" s="3">
        <v>6266000</v>
      </c>
      <c r="D16" s="7" t="s">
        <v>18</v>
      </c>
      <c r="E16" s="3">
        <v>2837000</v>
      </c>
    </row>
    <row r="17" spans="1:7" x14ac:dyDescent="0.25">
      <c r="A17" s="7" t="s">
        <v>267</v>
      </c>
      <c r="B17" s="3">
        <v>179000</v>
      </c>
      <c r="D17" s="7" t="s">
        <v>23</v>
      </c>
      <c r="E17" s="3">
        <v>4009000</v>
      </c>
    </row>
    <row r="18" spans="1:7" x14ac:dyDescent="0.25">
      <c r="A18" s="7" t="s">
        <v>271</v>
      </c>
      <c r="B18" s="3">
        <v>15090000</v>
      </c>
      <c r="D18" s="7" t="s">
        <v>27</v>
      </c>
      <c r="E18" s="3">
        <v>3528000</v>
      </c>
    </row>
    <row r="19" spans="1:7" x14ac:dyDescent="0.25">
      <c r="D19" s="7" t="s">
        <v>271</v>
      </c>
      <c r="E19" s="3">
        <v>15090000</v>
      </c>
    </row>
    <row r="31" spans="1:7" x14ac:dyDescent="0.25">
      <c r="F31" s="5" t="s">
        <v>282</v>
      </c>
      <c r="G31" s="3" t="s">
        <v>272</v>
      </c>
    </row>
    <row r="32" spans="1:7" x14ac:dyDescent="0.25">
      <c r="F32" s="7" t="s">
        <v>15</v>
      </c>
      <c r="G32" s="3">
        <v>3457000</v>
      </c>
    </row>
    <row r="33" spans="6:7" x14ac:dyDescent="0.25">
      <c r="F33" s="7" t="s">
        <v>10</v>
      </c>
      <c r="G33" s="3">
        <v>6882000</v>
      </c>
    </row>
    <row r="34" spans="6:7" x14ac:dyDescent="0.25">
      <c r="F34" s="7" t="s">
        <v>20</v>
      </c>
      <c r="G34" s="3">
        <v>4751000</v>
      </c>
    </row>
    <row r="35" spans="6:7" x14ac:dyDescent="0.25">
      <c r="F35" s="7" t="s">
        <v>271</v>
      </c>
      <c r="G35" s="3">
        <v>15090000</v>
      </c>
    </row>
    <row r="48" spans="6:7" x14ac:dyDescent="0.25">
      <c r="F48" s="5" t="s">
        <v>262</v>
      </c>
      <c r="G48" s="3" t="s">
        <v>272</v>
      </c>
    </row>
    <row r="49" spans="6:7" x14ac:dyDescent="0.25">
      <c r="F49" s="7" t="s">
        <v>275</v>
      </c>
      <c r="G49" s="3">
        <v>1621000</v>
      </c>
    </row>
    <row r="50" spans="6:7" x14ac:dyDescent="0.25">
      <c r="F50" s="7" t="s">
        <v>279</v>
      </c>
      <c r="G50" s="3">
        <v>1844000</v>
      </c>
    </row>
    <row r="51" spans="6:7" x14ac:dyDescent="0.25">
      <c r="F51" s="7" t="s">
        <v>276</v>
      </c>
      <c r="G51" s="3">
        <v>2116000</v>
      </c>
    </row>
    <row r="52" spans="6:7" x14ac:dyDescent="0.25">
      <c r="F52" s="7" t="s">
        <v>280</v>
      </c>
      <c r="G52" s="3">
        <v>2131000</v>
      </c>
    </row>
    <row r="53" spans="6:7" x14ac:dyDescent="0.25">
      <c r="F53" s="7" t="s">
        <v>277</v>
      </c>
      <c r="G53" s="3">
        <v>1677000</v>
      </c>
    </row>
    <row r="54" spans="6:7" x14ac:dyDescent="0.25">
      <c r="F54" s="7" t="s">
        <v>274</v>
      </c>
      <c r="G54" s="3">
        <v>3316000</v>
      </c>
    </row>
    <row r="55" spans="6:7" x14ac:dyDescent="0.25">
      <c r="F55" s="7" t="s">
        <v>278</v>
      </c>
      <c r="G55" s="3">
        <v>2385000</v>
      </c>
    </row>
    <row r="56" spans="6:7" x14ac:dyDescent="0.25">
      <c r="F56" s="7" t="s">
        <v>271</v>
      </c>
      <c r="G56" s="3">
        <v>15090000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DB28-2257-412B-A39E-ABE74CE10EEF}">
  <dimension ref="A1"/>
  <sheetViews>
    <sheetView tabSelected="1" zoomScale="86" zoomScaleNormal="86" workbookViewId="0">
      <selection activeCell="L4" sqref="L4"/>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0B134F-F4A7-446A-8596-10CDD50EEB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2026-04-24T18:26:23Z</dcterms:created>
  <dcterms:modified xsi:type="dcterms:W3CDTF">2026-04-24T20:11:28Z</dcterms:modified>
</cp:coreProperties>
</file>