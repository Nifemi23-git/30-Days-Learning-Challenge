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5D14D9EB-55AE-4D14-8B42-726595954FC4}" xr6:coauthVersionLast="47" xr6:coauthVersionMax="47" xr10:uidLastSave="{00000000-0000-0000-0000-000000000000}"/>
  <bookViews>
    <workbookView xWindow="-120" yWindow="-120" windowWidth="20730" windowHeight="11160" xr2:uid="{78FD38CF-78DC-4735-BB3E-57657AE44025}"/>
  </bookViews>
  <sheets>
    <sheet name="Index+Match Function" sheetId="2" r:id="rId1"/>
  </sheets>
  <definedNames>
    <definedName name="ExternalData_1" localSheetId="0" hidden="1">'Index+Match Function'!$A$1:$J$226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0" i="2" l="1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2" i="2"/>
  <c r="L3" i="2"/>
  <c r="K2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46ED16-60A2-44D4-9FA5-AC091103A061}" keepAlive="1" name="Query - deepseek_csv_20260420_9fba2a" description="Connection to the 'deepseek_csv_20260420_9fba2a' query in the workbook." type="5" refreshedVersion="7" background="1" saveData="1">
    <dbPr connection="Provider=Microsoft.Mashup.OleDb.1;Data Source=$Workbook$;Location=deepseek_csv_20260420_9fba2a;Extended Properties=&quot;&quot;" command="SELECT * FROM [deepseek_csv_20260420_9fba2a]"/>
  </connection>
</connections>
</file>

<file path=xl/sharedStrings.xml><?xml version="1.0" encoding="utf-8"?>
<sst xmlns="http://schemas.openxmlformats.org/spreadsheetml/2006/main" count="1363" uniqueCount="467">
  <si>
    <t>OrderID</t>
  </si>
  <si>
    <t>OrderDate</t>
  </si>
  <si>
    <t>CustomerName</t>
  </si>
  <si>
    <t>ProductCategory</t>
  </si>
  <si>
    <t>ProductName</t>
  </si>
  <si>
    <t>UnitsSold</t>
  </si>
  <si>
    <t>UnitPrice</t>
  </si>
  <si>
    <t>Region</t>
  </si>
  <si>
    <t>SalesRep</t>
  </si>
  <si>
    <t>PaymentMethod</t>
  </si>
  <si>
    <t>James Adeleke</t>
  </si>
  <si>
    <t>Electronics</t>
  </si>
  <si>
    <t>Laptop</t>
  </si>
  <si>
    <t>North</t>
  </si>
  <si>
    <t>Abiola Ogun</t>
  </si>
  <si>
    <t>Card</t>
  </si>
  <si>
    <t>Mary Okafor</t>
  </si>
  <si>
    <t>Clothing</t>
  </si>
  <si>
    <t>Jeans</t>
  </si>
  <si>
    <t>South</t>
  </si>
  <si>
    <t>Chidi Nwosu</t>
  </si>
  <si>
    <t>Cash</t>
  </si>
  <si>
    <t>Peter Eze</t>
  </si>
  <si>
    <t>Furniture</t>
  </si>
  <si>
    <t>Office Chair</t>
  </si>
  <si>
    <t>East</t>
  </si>
  <si>
    <t>Femi Adebayo</t>
  </si>
  <si>
    <t>Transfer</t>
  </si>
  <si>
    <t>Grace Olu</t>
  </si>
  <si>
    <t>Smartphone</t>
  </si>
  <si>
    <t>West</t>
  </si>
  <si>
    <t>Tunde Bakare</t>
  </si>
  <si>
    <t>John Attah</t>
  </si>
  <si>
    <t>T-Shirt</t>
  </si>
  <si>
    <t>Blessing Uche</t>
  </si>
  <si>
    <t>Dining Table</t>
  </si>
  <si>
    <t>David Okonkwo</t>
  </si>
  <si>
    <t>Headphones</t>
  </si>
  <si>
    <t>Esther Yusuf</t>
  </si>
  <si>
    <t>Jacket</t>
  </si>
  <si>
    <t>Samuel Nwachukwu</t>
  </si>
  <si>
    <t>Bed Frame</t>
  </si>
  <si>
    <t>Chioma Eze</t>
  </si>
  <si>
    <t>Tablet</t>
  </si>
  <si>
    <t>Oluwaseun Adeyemi</t>
  </si>
  <si>
    <t>Sneakers</t>
  </si>
  <si>
    <t>Ifeanyi Okoro</t>
  </si>
  <si>
    <t>Bookshelf</t>
  </si>
  <si>
    <t>Amina Bello</t>
  </si>
  <si>
    <t>Smartwatch</t>
  </si>
  <si>
    <t>Victor Obi</t>
  </si>
  <si>
    <t>Hat</t>
  </si>
  <si>
    <t>Funmilayo Adebayo</t>
  </si>
  <si>
    <t>Office Desk</t>
  </si>
  <si>
    <t>Kenneth Ugwu</t>
  </si>
  <si>
    <t>Monitor</t>
  </si>
  <si>
    <t>Ngozi Okonkwo</t>
  </si>
  <si>
    <t>Dress</t>
  </si>
  <si>
    <t>Emmanuel Okafor</t>
  </si>
  <si>
    <t>Wardrobe</t>
  </si>
  <si>
    <t>Juliet Eze</t>
  </si>
  <si>
    <t>Keyboard</t>
  </si>
  <si>
    <t>Stephen Attah</t>
  </si>
  <si>
    <t>Shorts</t>
  </si>
  <si>
    <t>Dorcas Olu</t>
  </si>
  <si>
    <t>Sofa Set</t>
  </si>
  <si>
    <t>Michael Nnamdi</t>
  </si>
  <si>
    <t>Mouse</t>
  </si>
  <si>
    <t>Praise Olaleye</t>
  </si>
  <si>
    <t>Sweater</t>
  </si>
  <si>
    <t>Daniel Okoro</t>
  </si>
  <si>
    <t>Nightstand</t>
  </si>
  <si>
    <t>Ruth Adeyemi</t>
  </si>
  <si>
    <t>Printer</t>
  </si>
  <si>
    <t>Timothy Eze</t>
  </si>
  <si>
    <t>Blazer</t>
  </si>
  <si>
    <t>Hannah Uche</t>
  </si>
  <si>
    <t>Coffee Table</t>
  </si>
  <si>
    <t>Caleb Nwachukwu</t>
  </si>
  <si>
    <t>Speaker</t>
  </si>
  <si>
    <t>Abigail Obi</t>
  </si>
  <si>
    <t>Skirt</t>
  </si>
  <si>
    <t>Zachariah Bello</t>
  </si>
  <si>
    <t>Drawer Unit</t>
  </si>
  <si>
    <t>Deborah Adeleke</t>
  </si>
  <si>
    <t>Webcam</t>
  </si>
  <si>
    <t>Josiah Okafor</t>
  </si>
  <si>
    <t>Cardigan</t>
  </si>
  <si>
    <t>Esther Ugwu</t>
  </si>
  <si>
    <t>Shoe Rack</t>
  </si>
  <si>
    <t>Jeremiah Okonkwo</t>
  </si>
  <si>
    <t>Router</t>
  </si>
  <si>
    <t>Sarah Eze</t>
  </si>
  <si>
    <t>Leggings</t>
  </si>
  <si>
    <t>Isaiah Attah</t>
  </si>
  <si>
    <t>Desk Lamp</t>
  </si>
  <si>
    <t>Naomi Olu</t>
  </si>
  <si>
    <t>USB Cable</t>
  </si>
  <si>
    <t>Ezekiel Nnamdi</t>
  </si>
  <si>
    <t>Vest</t>
  </si>
  <si>
    <t>Rebecca Adeyemi</t>
  </si>
  <si>
    <t>Mirror</t>
  </si>
  <si>
    <t>Gabriel Okafor</t>
  </si>
  <si>
    <t>Charger</t>
  </si>
  <si>
    <t>Hannah Bello</t>
  </si>
  <si>
    <t>Scarf</t>
  </si>
  <si>
    <t>Samuel Ugwu</t>
  </si>
  <si>
    <t>Coat Rack</t>
  </si>
  <si>
    <t>Esther Obi</t>
  </si>
  <si>
    <t>Power Bank</t>
  </si>
  <si>
    <t>Jonathan Eze</t>
  </si>
  <si>
    <t>Gloves</t>
  </si>
  <si>
    <t>Martha Okoro</t>
  </si>
  <si>
    <t>Magazine Rack</t>
  </si>
  <si>
    <t>Simon Adeleke</t>
  </si>
  <si>
    <t>Hard Drive</t>
  </si>
  <si>
    <t>Deborah Nwachukwu</t>
  </si>
  <si>
    <t>Belt</t>
  </si>
  <si>
    <t>Timothy Okafor</t>
  </si>
  <si>
    <t>Filing Cabinet</t>
  </si>
  <si>
    <t>Rachel Eze</t>
  </si>
  <si>
    <t>Microphone</t>
  </si>
  <si>
    <t>Peter Olu</t>
  </si>
  <si>
    <t>Slippers</t>
  </si>
  <si>
    <t>Joy Attah</t>
  </si>
  <si>
    <t>Bean Bag</t>
  </si>
  <si>
    <t>Caleb Nnamdi</t>
  </si>
  <si>
    <t>Camera</t>
  </si>
  <si>
    <t>Eunice Adeyemi</t>
  </si>
  <si>
    <t>Bracelet</t>
  </si>
  <si>
    <t>Daniel Ugwu</t>
  </si>
  <si>
    <t>Wall Clock</t>
  </si>
  <si>
    <t>Naomi Obi</t>
  </si>
  <si>
    <t>Headset</t>
  </si>
  <si>
    <t>Aaron Eze</t>
  </si>
  <si>
    <t>Socks</t>
  </si>
  <si>
    <t>Esther Okafor</t>
  </si>
  <si>
    <t>Plant Stand</t>
  </si>
  <si>
    <t>Jeremiah Okoro</t>
  </si>
  <si>
    <t>Graphics Tablet</t>
  </si>
  <si>
    <t>Ruth Bello</t>
  </si>
  <si>
    <t>Necklace</t>
  </si>
  <si>
    <t>Joseph Nwachukwu</t>
  </si>
  <si>
    <t>Bar Stool</t>
  </si>
  <si>
    <t>Lydia Adeleke</t>
  </si>
  <si>
    <t>Smart Light</t>
  </si>
  <si>
    <t>Samuel Okafor</t>
  </si>
  <si>
    <t>Cap</t>
  </si>
  <si>
    <t>Esther Eze</t>
  </si>
  <si>
    <t>Rug</t>
  </si>
  <si>
    <t>Ibrahim Attah</t>
  </si>
  <si>
    <t>Fitness Tracker</t>
  </si>
  <si>
    <t>Patience Olu</t>
  </si>
  <si>
    <t>Handbag</t>
  </si>
  <si>
    <t>Emmanuel Nnamdi</t>
  </si>
  <si>
    <t>TV Stand</t>
  </si>
  <si>
    <t>Elizabeth Adeyemi</t>
  </si>
  <si>
    <t>Projector</t>
  </si>
  <si>
    <t>David Ugwu</t>
  </si>
  <si>
    <t>Polo Shirt</t>
  </si>
  <si>
    <t>Mercy Obi</t>
  </si>
  <si>
    <t>Laundry Basket</t>
  </si>
  <si>
    <t>Stephen Okonkwo</t>
  </si>
  <si>
    <t>External Battery</t>
  </si>
  <si>
    <t>Anna Bello</t>
  </si>
  <si>
    <t>Flip Flops</t>
  </si>
  <si>
    <t>Michael Eze</t>
  </si>
  <si>
    <t>Stool</t>
  </si>
  <si>
    <t>Sarah Okafor</t>
  </si>
  <si>
    <t>VR Headset</t>
  </si>
  <si>
    <t>Daniel Attah</t>
  </si>
  <si>
    <t>Tank Top</t>
  </si>
  <si>
    <t>Rebecca Olu</t>
  </si>
  <si>
    <t>Curtains</t>
  </si>
  <si>
    <t>Joseph Nnamdi</t>
  </si>
  <si>
    <t>USB Hub</t>
  </si>
  <si>
    <t>Blessing Adeyemi</t>
  </si>
  <si>
    <t>Sandals</t>
  </si>
  <si>
    <t>Timothy Ugwu</t>
  </si>
  <si>
    <t>Key Holder</t>
  </si>
  <si>
    <t>Card Reader</t>
  </si>
  <si>
    <t>Peter Okoro</t>
  </si>
  <si>
    <t>Watch</t>
  </si>
  <si>
    <t>Naomi Eze</t>
  </si>
  <si>
    <t>Wall Shelf</t>
  </si>
  <si>
    <t>Jeremiah Okafor</t>
  </si>
  <si>
    <t>Smart Plug</t>
  </si>
  <si>
    <t>Hannah Attah</t>
  </si>
  <si>
    <t>Raincoat</t>
  </si>
  <si>
    <t>David Olu</t>
  </si>
  <si>
    <t>Pet Bed</t>
  </si>
  <si>
    <t>Samuel Nnamdi</t>
  </si>
  <si>
    <t>Docking Station</t>
  </si>
  <si>
    <t>Grace Adeyemi</t>
  </si>
  <si>
    <t>Pyjamas</t>
  </si>
  <si>
    <t>Michael Ugwu</t>
  </si>
  <si>
    <t>TV Remote Holder</t>
  </si>
  <si>
    <t>Screen Protector</t>
  </si>
  <si>
    <t>John Okonkwo</t>
  </si>
  <si>
    <t>Necktie</t>
  </si>
  <si>
    <t>Emmanuel Eze</t>
  </si>
  <si>
    <t>Foldable Table</t>
  </si>
  <si>
    <t>Deborah Okafor</t>
  </si>
  <si>
    <t>Phone Stand</t>
  </si>
  <si>
    <t>Joseph Attah</t>
  </si>
  <si>
    <t>Suspenders</t>
  </si>
  <si>
    <t>Ruth Olu</t>
  </si>
  <si>
    <t>Vanity Stool</t>
  </si>
  <si>
    <t>Smart Scale</t>
  </si>
  <si>
    <t>Esther Adeyemi</t>
  </si>
  <si>
    <t>Kaftan</t>
  </si>
  <si>
    <t>Wall Art</t>
  </si>
  <si>
    <t>Cable Organizer</t>
  </si>
  <si>
    <t>Cufflinks</t>
  </si>
  <si>
    <t>Floor Lamp</t>
  </si>
  <si>
    <t>Air Purifier</t>
  </si>
  <si>
    <t>Oluwaseun Ogun</t>
  </si>
  <si>
    <t>Bluetooth Speaker</t>
  </si>
  <si>
    <t>Chinwe Nwosu</t>
  </si>
  <si>
    <t>Maxi Dress</t>
  </si>
  <si>
    <t>Emeka Eze</t>
  </si>
  <si>
    <t>Office Stool</t>
  </si>
  <si>
    <t>Ifeanyi Okonkwo</t>
  </si>
  <si>
    <t>Smart Bulb</t>
  </si>
  <si>
    <t>Oluwatobi Adeleke</t>
  </si>
  <si>
    <t>Hoodie</t>
  </si>
  <si>
    <t>Nkechi Okafor</t>
  </si>
  <si>
    <t>Patio Chair</t>
  </si>
  <si>
    <t>Uche Attah</t>
  </si>
  <si>
    <t>Wireless Mouse</t>
  </si>
  <si>
    <t>Bukola Olu</t>
  </si>
  <si>
    <t>Kimono</t>
  </si>
  <si>
    <t>Chukwudi Nnamdi</t>
  </si>
  <si>
    <t>Bookcase</t>
  </si>
  <si>
    <t>Amara Ugwu</t>
  </si>
  <si>
    <t>Webcam Cover</t>
  </si>
  <si>
    <t>Kelechi Obi</t>
  </si>
  <si>
    <t>Bomber Jacket</t>
  </si>
  <si>
    <t>Ngozi Eze</t>
  </si>
  <si>
    <t>Storage Ottoman</t>
  </si>
  <si>
    <t>Chidi Okafor</t>
  </si>
  <si>
    <t>Gaming Mouse</t>
  </si>
  <si>
    <t>Ada Attah</t>
  </si>
  <si>
    <t>Blouse</t>
  </si>
  <si>
    <t>Obinna Olu</t>
  </si>
  <si>
    <t>Futon</t>
  </si>
  <si>
    <t>Chiamaka Nnamdi</t>
  </si>
  <si>
    <t>Noise Cancelling Headphones</t>
  </si>
  <si>
    <t>Chibueze Ugwu</t>
  </si>
  <si>
    <t>Tracksuit</t>
  </si>
  <si>
    <t>Adaeze Obi</t>
  </si>
  <si>
    <t>Bean Bag Cover</t>
  </si>
  <si>
    <t>Chukwuebuka Eze</t>
  </si>
  <si>
    <t>HDMI Cable</t>
  </si>
  <si>
    <t>Ifeoma Okafor</t>
  </si>
  <si>
    <t>Flannel Shirt</t>
  </si>
  <si>
    <t>Somto Attah</t>
  </si>
  <si>
    <t>Wall Mirror</t>
  </si>
  <si>
    <t>Chioma Olu</t>
  </si>
  <si>
    <t>Desk Fan</t>
  </si>
  <si>
    <t>Nnamdi Nnamdi</t>
  </si>
  <si>
    <t>Chinos</t>
  </si>
  <si>
    <t>Oluchi Ugwu</t>
  </si>
  <si>
    <t>Laundry Hamper</t>
  </si>
  <si>
    <t>Tochukwu Obi</t>
  </si>
  <si>
    <t>USB Fan</t>
  </si>
  <si>
    <t>Uchenna Eze</t>
  </si>
  <si>
    <t>Puffer Jacket</t>
  </si>
  <si>
    <t>Chinenye Okafor</t>
  </si>
  <si>
    <t>Corner Shelf</t>
  </si>
  <si>
    <t>Ezinne Attah</t>
  </si>
  <si>
    <t>Memory Card</t>
  </si>
  <si>
    <t>Chukwuka Olu</t>
  </si>
  <si>
    <t>Sweatpants</t>
  </si>
  <si>
    <t>Mmesoma Nnamdi</t>
  </si>
  <si>
    <t>Footstool</t>
  </si>
  <si>
    <t>Kamsi Ugwu</t>
  </si>
  <si>
    <t>Wireless Charger</t>
  </si>
  <si>
    <t>Zion Obi</t>
  </si>
  <si>
    <t>Overcoat</t>
  </si>
  <si>
    <t>Chizaram Eze</t>
  </si>
  <si>
    <t>Magazine Holder</t>
  </si>
  <si>
    <t>Ebuka Okafor</t>
  </si>
  <si>
    <t>Laptop Stand</t>
  </si>
  <si>
    <t>Chimamanda Attah</t>
  </si>
  <si>
    <t>Crop Top</t>
  </si>
  <si>
    <t>Onyedika Olu</t>
  </si>
  <si>
    <t>Wine Rack</t>
  </si>
  <si>
    <t>Somkene Nnamdi</t>
  </si>
  <si>
    <t>Smart Speaker</t>
  </si>
  <si>
    <t>Kosi Ugwu</t>
  </si>
  <si>
    <t>Bermuda Shorts</t>
  </si>
  <si>
    <t>Chidera Obi</t>
  </si>
  <si>
    <t>Shower Caddy</t>
  </si>
  <si>
    <t>Ndubuisi Eze</t>
  </si>
  <si>
    <t>External DVD Drive</t>
  </si>
  <si>
    <t>Chisom Okafor</t>
  </si>
  <si>
    <t>Denim Skirt</t>
  </si>
  <si>
    <t>Nnamso Attah</t>
  </si>
  <si>
    <t>Umbrella Stand</t>
  </si>
  <si>
    <t>Ubong Olu</t>
  </si>
  <si>
    <t>Lightning Cable</t>
  </si>
  <si>
    <t>Edidiong Nnamdi</t>
  </si>
  <si>
    <t>Card Holder</t>
  </si>
  <si>
    <t>Idongesit Ugwu</t>
  </si>
  <si>
    <t>Letter Tray</t>
  </si>
  <si>
    <t>Aniekan Obi</t>
  </si>
  <si>
    <t>Phone Grip</t>
  </si>
  <si>
    <t>Udeme Eze</t>
  </si>
  <si>
    <t>Bow Tie</t>
  </si>
  <si>
    <t>Okon Okafor</t>
  </si>
  <si>
    <t>Plant Pot</t>
  </si>
  <si>
    <t>Effiong Attah</t>
  </si>
  <si>
    <t>Tablet Stand</t>
  </si>
  <si>
    <t>Orode Ogun</t>
  </si>
  <si>
    <t>Face Mask Pack</t>
  </si>
  <si>
    <t>Ebiere Eze</t>
  </si>
  <si>
    <t>Picture Frame</t>
  </si>
  <si>
    <t>Kome Okonkwo</t>
  </si>
  <si>
    <t>Stylus Pen</t>
  </si>
  <si>
    <t>Oghenekaro Attah</t>
  </si>
  <si>
    <t>Sports Bra</t>
  </si>
  <si>
    <t>Oghenemaro Olu</t>
  </si>
  <si>
    <t>Jewelry Box</t>
  </si>
  <si>
    <t>Ejiro Nnamdi</t>
  </si>
  <si>
    <t>Camera Lens</t>
  </si>
  <si>
    <t>Oghenechovwe Ugwu</t>
  </si>
  <si>
    <t>Sunglasses</t>
  </si>
  <si>
    <t>Oghenetega Obi</t>
  </si>
  <si>
    <t>Cushion</t>
  </si>
  <si>
    <t>Oghenevwede Eze</t>
  </si>
  <si>
    <t>Smart Thermostat</t>
  </si>
  <si>
    <t>Eseroghene Okafor</t>
  </si>
  <si>
    <t>Waist Bag</t>
  </si>
  <si>
    <t>Oghenefejiro Attah</t>
  </si>
  <si>
    <t>Throw Blanket</t>
  </si>
  <si>
    <t>Oghenetejiri Olu</t>
  </si>
  <si>
    <t>Car Charger</t>
  </si>
  <si>
    <t>Temisan Nnamdi</t>
  </si>
  <si>
    <t>Swimsuit</t>
  </si>
  <si>
    <t>Eseosa Ugwu</t>
  </si>
  <si>
    <t>Bath Mat</t>
  </si>
  <si>
    <t>Eromosele Obi</t>
  </si>
  <si>
    <t>Alarm Clock</t>
  </si>
  <si>
    <t>Ehiosu Eze</t>
  </si>
  <si>
    <t>Shawl</t>
  </si>
  <si>
    <t>Osas Okafor</t>
  </si>
  <si>
    <t>Kitchen Trolley</t>
  </si>
  <si>
    <t>Osaretin Attah</t>
  </si>
  <si>
    <t>Calculator</t>
  </si>
  <si>
    <t>Osariemen Olu</t>
  </si>
  <si>
    <t>Slip Dress</t>
  </si>
  <si>
    <t>Osayuware Nnamdi</t>
  </si>
  <si>
    <t>Overbed Table</t>
  </si>
  <si>
    <t>Osemudianwen Ugwu</t>
  </si>
  <si>
    <t>Digital Clock</t>
  </si>
  <si>
    <t>Osahon Obi</t>
  </si>
  <si>
    <t>Leg Warmers</t>
  </si>
  <si>
    <t>Osazee Eze</t>
  </si>
  <si>
    <t>Clothes Rack</t>
  </si>
  <si>
    <t>Osamede Okafor</t>
  </si>
  <si>
    <t>Voltage Regulator</t>
  </si>
  <si>
    <t>Osayuki Attah</t>
  </si>
  <si>
    <t>Corset Top</t>
  </si>
  <si>
    <t>Osayomwanbo Olu</t>
  </si>
  <si>
    <t>Vanity Table</t>
  </si>
  <si>
    <t>Osaretin Godwin</t>
  </si>
  <si>
    <t>Selfie Stick</t>
  </si>
  <si>
    <t>Ehis Nnamdi</t>
  </si>
  <si>
    <t>Ankle Socks</t>
  </si>
  <si>
    <t>Odion Ugwu</t>
  </si>
  <si>
    <t>Wall Hook</t>
  </si>
  <si>
    <t>Osasumwen Obi</t>
  </si>
  <si>
    <t>Lens Cleaner</t>
  </si>
  <si>
    <t>Orobosa Eze</t>
  </si>
  <si>
    <t>Headband</t>
  </si>
  <si>
    <t>Ogaga Okafor</t>
  </si>
  <si>
    <t>Trash Can</t>
  </si>
  <si>
    <t>Okeoghene Attah</t>
  </si>
  <si>
    <t>Extension Cord</t>
  </si>
  <si>
    <t>Oghenemine Olu</t>
  </si>
  <si>
    <t>Tie Dye Shirt</t>
  </si>
  <si>
    <t>Oghogho Nnamdi</t>
  </si>
  <si>
    <t>Fireplace Screen</t>
  </si>
  <si>
    <t>Oghale Ugwu</t>
  </si>
  <si>
    <t>Antivirus USB</t>
  </si>
  <si>
    <t>Oghenekevwe Obi</t>
  </si>
  <si>
    <t>Romper</t>
  </si>
  <si>
    <t>Oghenemaro Eze</t>
  </si>
  <si>
    <t>Pet Crate</t>
  </si>
  <si>
    <t>Oghenenyore Okafor</t>
  </si>
  <si>
    <t>Router Stand</t>
  </si>
  <si>
    <t>Oghenetega Attah</t>
  </si>
  <si>
    <t>Fanny Pack</t>
  </si>
  <si>
    <t>Oghenerukevwe Olu</t>
  </si>
  <si>
    <t>Makeup Mirror</t>
  </si>
  <si>
    <t>Oghenerhoro Nnamdi</t>
  </si>
  <si>
    <t>Drone</t>
  </si>
  <si>
    <t>Oghenevwegba Ugwu</t>
  </si>
  <si>
    <t>Baseball Cap</t>
  </si>
  <si>
    <t>Oghenetejiro Obi</t>
  </si>
  <si>
    <t>Coat Hook</t>
  </si>
  <si>
    <t>Oghenetega Eze</t>
  </si>
  <si>
    <t>Rechargeable Fan</t>
  </si>
  <si>
    <t>Habib Okafor</t>
  </si>
  <si>
    <t>Agbada</t>
  </si>
  <si>
    <t>Rashid Attah</t>
  </si>
  <si>
    <t>Traditional Stool</t>
  </si>
  <si>
    <t>Aisha Olu</t>
  </si>
  <si>
    <t>Kettle</t>
  </si>
  <si>
    <t>Fatima Nnamdi</t>
  </si>
  <si>
    <t>Hijab</t>
  </si>
  <si>
    <t>Usman Ugwu</t>
  </si>
  <si>
    <t>Prayer Mat</t>
  </si>
  <si>
    <t>Aminat Obi</t>
  </si>
  <si>
    <t>Electric Cooker</t>
  </si>
  <si>
    <t>Sani Bello</t>
  </si>
  <si>
    <t>Caftan</t>
  </si>
  <si>
    <t>Rukayat Okafor</t>
  </si>
  <si>
    <t>Floor Mat</t>
  </si>
  <si>
    <t>Bashir Attah</t>
  </si>
  <si>
    <t>Radio</t>
  </si>
  <si>
    <t>Zainab Olu</t>
  </si>
  <si>
    <t>Burqa</t>
  </si>
  <si>
    <t>Abdullahi Nnamdi</t>
  </si>
  <si>
    <t>Water Filter</t>
  </si>
  <si>
    <t>Khadija Ugwu</t>
  </si>
  <si>
    <t>Iron</t>
  </si>
  <si>
    <t>Musa Obi</t>
  </si>
  <si>
    <t>Thobe</t>
  </si>
  <si>
    <t>Aisha Eze</t>
  </si>
  <si>
    <t>Curtain Rod</t>
  </si>
  <si>
    <t>Abubakar Okafor</t>
  </si>
  <si>
    <t>Blender</t>
  </si>
  <si>
    <t>Fatima Attah</t>
  </si>
  <si>
    <t>Niqab</t>
  </si>
  <si>
    <t>Haruna Olu</t>
  </si>
  <si>
    <t>Storage Box</t>
  </si>
  <si>
    <t>Amina Nnamdi</t>
  </si>
  <si>
    <t>Toaster</t>
  </si>
  <si>
    <t>Kufi Cap</t>
  </si>
  <si>
    <t>Mariam Obi</t>
  </si>
  <si>
    <t>Ibrahim Eze</t>
  </si>
  <si>
    <t>Electric Kettle</t>
  </si>
  <si>
    <t>Hauwa Okafor</t>
  </si>
  <si>
    <t>Turban</t>
  </si>
  <si>
    <t>Adamu Attah</t>
  </si>
  <si>
    <t>Ceiling Fan</t>
  </si>
  <si>
    <t>Rabiatu Olu</t>
  </si>
  <si>
    <t>Air Cooler</t>
  </si>
  <si>
    <t>Nasir Nnamdi</t>
  </si>
  <si>
    <t>Sherwani</t>
  </si>
  <si>
    <t>Safiya Ugwu</t>
  </si>
  <si>
    <t>Wall Decoration</t>
  </si>
  <si>
    <t>Yusuf Obi</t>
  </si>
  <si>
    <t>Hair Dryer</t>
  </si>
  <si>
    <t>Halima Eze</t>
  </si>
  <si>
    <t>Evening Gown</t>
  </si>
  <si>
    <t>Isah Okafor</t>
  </si>
  <si>
    <t>Display Cabinet</t>
  </si>
  <si>
    <t>Ramatu Attah</t>
  </si>
  <si>
    <t>Vacuum Cleaner</t>
  </si>
  <si>
    <t>Bello Olu</t>
  </si>
  <si>
    <t>Jean Jacket</t>
  </si>
  <si>
    <t>Index</t>
  </si>
  <si>
    <t>Match</t>
  </si>
  <si>
    <t>Index+Match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</si>
</sst>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/mm/yyyy;@"/>
    <numFmt numFmtId="166" formatCode="&quot;$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11">
    <dxf>
      <numFmt numFmtId="166" formatCode="&quot;$&quot;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&quot;$&quot;#,##0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d/mm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ECA7A8E-B75E-410D-B596-DBD491284F3C}" autoFormatId="16" applyNumberFormats="0" applyBorderFormats="0" applyFontFormats="0" applyPatternFormats="0" applyAlignmentFormats="0" applyWidthHeightFormats="0">
  <queryTableRefresh nextId="15" unboundColumnsRight="3">
    <queryTableFields count="13">
      <queryTableField id="1" name="OrderID" tableColumnId="1"/>
      <queryTableField id="2" name="OrderDate" tableColumnId="2"/>
      <queryTableField id="3" name="CustomerName" tableColumnId="3"/>
      <queryTableField id="4" name="ProductCategory" tableColumnId="4"/>
      <queryTableField id="5" name="ProductName" tableColumnId="5"/>
      <queryTableField id="6" name="UnitsSold" tableColumnId="6"/>
      <queryTableField id="7" name="UnitPrice" tableColumnId="7"/>
      <queryTableField id="8" name="Region" tableColumnId="8"/>
      <queryTableField id="9" name="SalesRep" tableColumnId="9"/>
      <queryTableField id="10" name="PaymentMethod" tableColumnId="10"/>
      <queryTableField id="12" dataBound="0" tableColumnId="12"/>
      <queryTableField id="13" dataBound="0" tableColumnId="13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D8B239-3751-40DD-84EA-ADABDEE94471}" name="deepseek_csv_20260420_9fba2a" displayName="deepseek_csv_20260420_9fba2a" ref="A1:M226" tableType="queryTable" totalsRowShown="0">
  <autoFilter ref="A1:M226" xr:uid="{27D8B239-3751-40DD-84EA-ADABDEE94471}"/>
  <tableColumns count="13">
    <tableColumn id="1" xr3:uid="{817A8A77-6085-4286-9D19-E6C368FE5581}" uniqueName="1" name="OrderID" queryTableFieldId="1"/>
    <tableColumn id="2" xr3:uid="{592FD5B2-AE8C-41B3-899D-27013F80FF01}" uniqueName="2" name="OrderDate" queryTableFieldId="2" dataDxfId="10"/>
    <tableColumn id="3" xr3:uid="{B6504BA2-4156-48E9-8B37-BEBC4D59680B}" uniqueName="3" name="CustomerName" queryTableFieldId="3" dataDxfId="9"/>
    <tableColumn id="4" xr3:uid="{D461285B-2FCE-4A52-A821-879FC02CD49D}" uniqueName="4" name="ProductCategory" queryTableFieldId="4" dataDxfId="8"/>
    <tableColumn id="5" xr3:uid="{3E5223A4-E90E-4FA1-AED3-E07E9A5D9B34}" uniqueName="5" name="ProductName" queryTableFieldId="5" dataDxfId="7"/>
    <tableColumn id="6" xr3:uid="{1B69E571-FFC4-4A65-85A1-F8CC9B7AFE19}" uniqueName="6" name="UnitsSold" queryTableFieldId="6"/>
    <tableColumn id="7" xr3:uid="{21593886-D04F-4BC0-9D1B-7EFFC70619F0}" uniqueName="7" name="UnitPrice" queryTableFieldId="7" dataDxfId="6"/>
    <tableColumn id="8" xr3:uid="{C04C9834-4CEC-4AFA-B7DB-23FE7B603AC2}" uniqueName="8" name="Region" queryTableFieldId="8" dataDxfId="5"/>
    <tableColumn id="9" xr3:uid="{3421CAB9-4A79-4C64-B1F6-C854564B83F3}" uniqueName="9" name="SalesRep" queryTableFieldId="9" dataDxfId="4"/>
    <tableColumn id="10" xr3:uid="{ACDE467E-75BA-4D75-8AE2-3D9A5196CB53}" uniqueName="10" name="PaymentMethod" queryTableFieldId="10" dataDxfId="3"/>
    <tableColumn id="12" xr3:uid="{BC071EF2-C220-4AEF-AA1A-7EC0701E7F46}" uniqueName="12" name="Index" queryTableFieldId="12" dataDxfId="2"/>
    <tableColumn id="13" xr3:uid="{2000792F-D59C-4A3E-AF88-8A6AC66FE7B4}" uniqueName="13" name="Match" queryTableFieldId="13" dataDxfId="1">
      <calculatedColumnFormula>ISNUMBER(MATCH("Drone", deepseek_csv_20260420_9fba2a[ProductName],0))</calculatedColumnFormula>
    </tableColumn>
    <tableColumn id="14" xr3:uid="{4B155C74-6A4E-4527-9EAB-CE3CB01E57D2}" uniqueName="14" name="Index+Match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9F447-C5CA-4E11-824B-2DD5CF160CED}">
  <dimension ref="A1:M226"/>
  <sheetViews>
    <sheetView tabSelected="1" topLeftCell="E1" workbookViewId="0">
      <selection activeCell="M1" sqref="M1:M1048576"/>
    </sheetView>
  </sheetViews>
  <sheetFormatPr defaultRowHeight="15" x14ac:dyDescent="0.25"/>
  <cols>
    <col min="1" max="1" width="10.28515625" bestFit="1" customWidth="1"/>
    <col min="2" max="2" width="12.5703125" bestFit="1" customWidth="1"/>
    <col min="3" max="3" width="20.7109375" bestFit="1" customWidth="1"/>
    <col min="4" max="4" width="18.140625" bestFit="1" customWidth="1"/>
    <col min="5" max="5" width="27.85546875" bestFit="1" customWidth="1"/>
    <col min="6" max="6" width="11.85546875" bestFit="1" customWidth="1"/>
    <col min="7" max="7" width="11.5703125" bestFit="1" customWidth="1"/>
    <col min="8" max="8" width="9.42578125" bestFit="1" customWidth="1"/>
    <col min="9" max="9" width="13.85546875" bestFit="1" customWidth="1"/>
    <col min="10" max="10" width="18.42578125" bestFit="1" customWidth="1"/>
    <col min="11" max="11" width="14.7109375" bestFit="1" customWidth="1"/>
    <col min="12" max="12" width="14.5703125" bestFit="1" customWidth="1"/>
    <col min="13" max="13" width="9.140625" style="3"/>
  </cols>
  <sheetData>
    <row r="1" spans="1:13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t="s">
        <v>7</v>
      </c>
      <c r="I1" t="s">
        <v>8</v>
      </c>
      <c r="J1" t="s">
        <v>9</v>
      </c>
      <c r="K1" t="s">
        <v>464</v>
      </c>
      <c r="L1" t="s">
        <v>465</v>
      </c>
      <c r="M1" s="3" t="s">
        <v>466</v>
      </c>
    </row>
    <row r="2" spans="1:13" x14ac:dyDescent="0.25">
      <c r="A2">
        <v>1001</v>
      </c>
      <c r="B2" s="2">
        <v>45672</v>
      </c>
      <c r="C2" s="1" t="s">
        <v>10</v>
      </c>
      <c r="D2" s="1" t="s">
        <v>11</v>
      </c>
      <c r="E2" s="1" t="s">
        <v>12</v>
      </c>
      <c r="F2">
        <v>2</v>
      </c>
      <c r="G2" s="3">
        <v>450000</v>
      </c>
      <c r="H2" s="1" t="s">
        <v>13</v>
      </c>
      <c r="I2" s="1" t="s">
        <v>14</v>
      </c>
      <c r="J2" s="1" t="s">
        <v>15</v>
      </c>
      <c r="K2" s="1" t="str">
        <f>INDEX(deepseek_csv_20260420_9fba2a[ProductName], 14)</f>
        <v>Hat</v>
      </c>
      <c r="L2" s="1">
        <f>MATCH("Hat", deepseek_csv_20260420_9fba2a[ProductName],0)</f>
        <v>14</v>
      </c>
      <c r="M2" s="3">
        <f>INDEX(deepseek_csv_20260420_9fba2a[UnitPrice], MATCH("Hat", deepseek_csv_20260420_9fba2a[ProductName], 0))</f>
        <v>8000</v>
      </c>
    </row>
    <row r="3" spans="1:13" x14ac:dyDescent="0.25">
      <c r="A3">
        <v>1002</v>
      </c>
      <c r="B3" s="2">
        <v>45672</v>
      </c>
      <c r="C3" s="1" t="s">
        <v>16</v>
      </c>
      <c r="D3" s="1" t="s">
        <v>17</v>
      </c>
      <c r="E3" s="1" t="s">
        <v>18</v>
      </c>
      <c r="F3">
        <v>3</v>
      </c>
      <c r="G3" s="3">
        <v>15000</v>
      </c>
      <c r="H3" s="1" t="s">
        <v>19</v>
      </c>
      <c r="I3" s="1" t="s">
        <v>20</v>
      </c>
      <c r="J3" s="1" t="s">
        <v>21</v>
      </c>
      <c r="K3" s="1" t="str">
        <f>INDEX(deepseek_csv_20260420_9fba2a[ProductName], 109)</f>
        <v>Bookcase</v>
      </c>
      <c r="L3" s="1">
        <f>MATCH("Bookcase", deepseek_csv_20260420_9fba2a[ProductName], 0)</f>
        <v>109</v>
      </c>
      <c r="M3" s="3">
        <f>INDEX(deepseek_csv_20260420_9fba2a[UnitPrice], MATCH("Bookcase", deepseek_csv_20260420_9fba2a[ProductName], 0))</f>
        <v>55000</v>
      </c>
    </row>
    <row r="4" spans="1:13" x14ac:dyDescent="0.25">
      <c r="A4">
        <v>1003</v>
      </c>
      <c r="B4" s="2">
        <v>45673</v>
      </c>
      <c r="C4" s="1" t="s">
        <v>22</v>
      </c>
      <c r="D4" s="1" t="s">
        <v>23</v>
      </c>
      <c r="E4" s="1" t="s">
        <v>24</v>
      </c>
      <c r="F4">
        <v>1</v>
      </c>
      <c r="G4" s="3">
        <v>75000</v>
      </c>
      <c r="H4" s="1" t="s">
        <v>25</v>
      </c>
      <c r="I4" s="1" t="s">
        <v>26</v>
      </c>
      <c r="J4" s="1" t="s">
        <v>27</v>
      </c>
      <c r="K4" s="1" t="str">
        <f>INDEX(deepseek_csv_20260420_9fba2a[ProductName], 209)</f>
        <v>Blender</v>
      </c>
      <c r="L4" s="1">
        <f>MATCH("Blender", deepseek_csv_20260420_9fba2a[ProductName], 0)</f>
        <v>209</v>
      </c>
      <c r="M4" s="3">
        <f>INDEX(deepseek_csv_20260420_9fba2a[UnitPrice], MATCH("Blender", deepseek_csv_20260420_9fba2a[ProductName], 0))</f>
        <v>25000</v>
      </c>
    </row>
    <row r="5" spans="1:13" x14ac:dyDescent="0.25">
      <c r="A5">
        <v>1004</v>
      </c>
      <c r="B5" s="2">
        <v>45673</v>
      </c>
      <c r="C5" s="1" t="s">
        <v>28</v>
      </c>
      <c r="D5" s="1" t="s">
        <v>11</v>
      </c>
      <c r="E5" s="1" t="s">
        <v>29</v>
      </c>
      <c r="F5">
        <v>1</v>
      </c>
      <c r="G5" s="3">
        <v>120000</v>
      </c>
      <c r="H5" s="1" t="s">
        <v>30</v>
      </c>
      <c r="I5" s="1" t="s">
        <v>31</v>
      </c>
      <c r="J5" s="1" t="s">
        <v>15</v>
      </c>
      <c r="K5" s="1" t="str">
        <f>INDEX(deepseek_csv_20260420_9fba2a[ProductName], 100)</f>
        <v>Air Purifier</v>
      </c>
      <c r="L5" s="1">
        <f>MATCH("Air Purifier", deepseek_csv_20260420_9fba2a[ProductName], 0)</f>
        <v>100</v>
      </c>
      <c r="M5" s="3">
        <f>INDEX(deepseek_csv_20260420_9fba2a[UnitPrice], MATCH("Air Purifier", deepseek_csv_20260420_9fba2a[ProductName], 0))</f>
        <v>85000</v>
      </c>
    </row>
    <row r="6" spans="1:13" x14ac:dyDescent="0.25">
      <c r="A6">
        <v>1005</v>
      </c>
      <c r="B6" s="2">
        <v>45674</v>
      </c>
      <c r="C6" s="1" t="s">
        <v>32</v>
      </c>
      <c r="D6" s="1" t="s">
        <v>17</v>
      </c>
      <c r="E6" s="1" t="s">
        <v>33</v>
      </c>
      <c r="F6">
        <v>5</v>
      </c>
      <c r="G6" s="3">
        <v>5000</v>
      </c>
      <c r="H6" s="1" t="s">
        <v>13</v>
      </c>
      <c r="I6" s="1" t="s">
        <v>14</v>
      </c>
      <c r="J6" s="1" t="s">
        <v>21</v>
      </c>
      <c r="K6" s="1" t="str">
        <f>INDEX(deepseek_csv_20260420_9fba2a[ProductName], 180)</f>
        <v>Headband</v>
      </c>
      <c r="L6" s="1">
        <f>MATCH("Headband", deepseek_csv_20260420_9fba2a[ProductName], 0)</f>
        <v>180</v>
      </c>
      <c r="M6" s="3">
        <f>INDEX(deepseek_csv_20260420_9fba2a[UnitPrice], MATCH("Headband", deepseek_csv_20260420_9fba2a[ProductName], 0))</f>
        <v>2000</v>
      </c>
    </row>
    <row r="7" spans="1:13" x14ac:dyDescent="0.25">
      <c r="A7">
        <v>1006</v>
      </c>
      <c r="B7" s="2">
        <v>45674</v>
      </c>
      <c r="C7" s="1" t="s">
        <v>34</v>
      </c>
      <c r="D7" s="1" t="s">
        <v>23</v>
      </c>
      <c r="E7" s="1" t="s">
        <v>35</v>
      </c>
      <c r="F7">
        <v>1</v>
      </c>
      <c r="G7" s="3">
        <v>150000</v>
      </c>
      <c r="H7" s="1" t="s">
        <v>19</v>
      </c>
      <c r="I7" s="1" t="s">
        <v>20</v>
      </c>
      <c r="J7" s="1" t="s">
        <v>27</v>
      </c>
      <c r="K7" s="1" t="str">
        <f>INDEX(deepseek_csv_20260420_9fba2a[ProductName], 118)</f>
        <v>Bean Bag Cover</v>
      </c>
      <c r="L7" s="1">
        <f>MATCH("Bean Bag Cover", deepseek_csv_20260420_9fba2a[ProductName], 0)</f>
        <v>118</v>
      </c>
      <c r="M7" s="3">
        <f>INDEX(deepseek_csv_20260420_9fba2a[UnitPrice], MATCH("Bean Bag Cover", deepseek_csv_20260420_9fba2a[ProductName], 0))</f>
        <v>8000</v>
      </c>
    </row>
    <row r="8" spans="1:13" x14ac:dyDescent="0.25">
      <c r="A8">
        <v>1007</v>
      </c>
      <c r="B8" s="2">
        <v>45675</v>
      </c>
      <c r="C8" s="1" t="s">
        <v>36</v>
      </c>
      <c r="D8" s="1" t="s">
        <v>11</v>
      </c>
      <c r="E8" s="1" t="s">
        <v>37</v>
      </c>
      <c r="F8">
        <v>2</v>
      </c>
      <c r="G8" s="3">
        <v>25000</v>
      </c>
      <c r="H8" s="1" t="s">
        <v>25</v>
      </c>
      <c r="I8" s="1" t="s">
        <v>26</v>
      </c>
      <c r="J8" s="1" t="s">
        <v>15</v>
      </c>
      <c r="K8" s="1" t="str">
        <f>INDEX(deepseek_csv_20260420_9fba2a[ProductName], 60)</f>
        <v>Bar Stool</v>
      </c>
      <c r="L8" s="1">
        <f>MATCH("Bar Stool", deepseek_csv_20260420_9fba2a[ProductName], 0)</f>
        <v>60</v>
      </c>
      <c r="M8" s="3">
        <f>INDEX(deepseek_csv_20260420_9fba2a[UnitPrice], MATCH("Bar Stool", deepseek_csv_20260420_9fba2a[ProductName], 0))</f>
        <v>20000</v>
      </c>
    </row>
    <row r="9" spans="1:13" x14ac:dyDescent="0.25">
      <c r="A9">
        <v>1008</v>
      </c>
      <c r="B9" s="2">
        <v>45675</v>
      </c>
      <c r="C9" s="1" t="s">
        <v>38</v>
      </c>
      <c r="D9" s="1" t="s">
        <v>17</v>
      </c>
      <c r="E9" s="1" t="s">
        <v>39</v>
      </c>
      <c r="F9">
        <v>1</v>
      </c>
      <c r="G9" s="3">
        <v>35000</v>
      </c>
      <c r="H9" s="1" t="s">
        <v>30</v>
      </c>
      <c r="I9" s="1" t="s">
        <v>31</v>
      </c>
      <c r="J9" s="1" t="s">
        <v>21</v>
      </c>
      <c r="K9" s="1" t="str">
        <f>INDEX(deepseek_csv_20260420_9fba2a[ProductName],90)</f>
        <v>Foldable Table</v>
      </c>
      <c r="L9" s="1">
        <f>MATCH("Foldable Table", deepseek_csv_20260420_9fba2a[ProductName], 0)</f>
        <v>90</v>
      </c>
      <c r="M9" s="3">
        <f>INDEX(deepseek_csv_20260420_9fba2a[UnitPrice], MATCH("Foldable Table", deepseek_csv_20260420_9fba2a[ProductName], 0))</f>
        <v>15000</v>
      </c>
    </row>
    <row r="10" spans="1:13" x14ac:dyDescent="0.25">
      <c r="A10">
        <v>1009</v>
      </c>
      <c r="B10" s="2">
        <v>45676</v>
      </c>
      <c r="C10" s="1" t="s">
        <v>40</v>
      </c>
      <c r="D10" s="1" t="s">
        <v>23</v>
      </c>
      <c r="E10" s="1" t="s">
        <v>41</v>
      </c>
      <c r="F10">
        <v>1</v>
      </c>
      <c r="G10" s="3">
        <v>120000</v>
      </c>
      <c r="H10" s="1" t="s">
        <v>13</v>
      </c>
      <c r="I10" s="1" t="s">
        <v>14</v>
      </c>
      <c r="J10" s="1" t="s">
        <v>27</v>
      </c>
      <c r="K10" s="1" t="str">
        <f>INDEX(deepseek_csv_20260420_9fba2a[ProductName],66)</f>
        <v>TV Stand</v>
      </c>
      <c r="L10" s="1">
        <f>MATCH("TV Stand", deepseek_csv_20260420_9fba2a[ProductName], 0)</f>
        <v>66</v>
      </c>
      <c r="M10" s="3">
        <f>INDEX(deepseek_csv_20260420_9fba2a[UnitPrice], MATCH("TV Stand", deepseek_csv_20260420_9fba2a[ProductName], 0))</f>
        <v>65000</v>
      </c>
    </row>
    <row r="11" spans="1:13" x14ac:dyDescent="0.25">
      <c r="A11">
        <v>1010</v>
      </c>
      <c r="B11" s="2">
        <v>45676</v>
      </c>
      <c r="C11" s="1" t="s">
        <v>42</v>
      </c>
      <c r="D11" s="1" t="s">
        <v>11</v>
      </c>
      <c r="E11" s="1" t="s">
        <v>43</v>
      </c>
      <c r="F11">
        <v>1</v>
      </c>
      <c r="G11" s="3">
        <v>80000</v>
      </c>
      <c r="H11" s="1" t="s">
        <v>19</v>
      </c>
      <c r="I11" s="1" t="s">
        <v>20</v>
      </c>
      <c r="J11" s="1" t="s">
        <v>15</v>
      </c>
      <c r="K11" s="1" t="str">
        <f>INDEX(deepseek_csv_20260420_9fba2a[ProductName],58)</f>
        <v>Graphics Tablet</v>
      </c>
      <c r="L11" s="1">
        <f>MATCH("Graphics Tablet", deepseek_csv_20260420_9fba2a[ProductName], 0)</f>
        <v>58</v>
      </c>
      <c r="M11" s="3">
        <f>INDEX(deepseek_csv_20260420_9fba2a[UnitPrice], MATCH("Graphics Tablet", deepseek_csv_20260420_9fba2a[ProductName], 0))</f>
        <v>45000</v>
      </c>
    </row>
    <row r="12" spans="1:13" x14ac:dyDescent="0.25">
      <c r="A12">
        <v>1011</v>
      </c>
      <c r="B12" s="2">
        <v>45677</v>
      </c>
      <c r="C12" s="1" t="s">
        <v>44</v>
      </c>
      <c r="D12" s="1" t="s">
        <v>17</v>
      </c>
      <c r="E12" s="1" t="s">
        <v>45</v>
      </c>
      <c r="F12">
        <v>2</v>
      </c>
      <c r="G12" s="3">
        <v>25000</v>
      </c>
      <c r="H12" s="1" t="s">
        <v>25</v>
      </c>
      <c r="I12" s="1" t="s">
        <v>26</v>
      </c>
      <c r="J12" s="1" t="s">
        <v>21</v>
      </c>
      <c r="K12" s="1" t="str">
        <f>INDEX(deepseek_csv_20260420_9fba2a[ProductName], 35)</f>
        <v>Leggings</v>
      </c>
      <c r="L12" s="1">
        <f>MATCH("Leggings", deepseek_csv_20260420_9fba2a[ProductName], 0)</f>
        <v>35</v>
      </c>
      <c r="M12" s="3">
        <f>INDEX(deepseek_csv_20260420_9fba2a[UnitPrice], MATCH("Leggings", deepseek_csv_20260420_9fba2a[ProductName], 0))</f>
        <v>8000</v>
      </c>
    </row>
    <row r="13" spans="1:13" x14ac:dyDescent="0.25">
      <c r="A13">
        <v>1012</v>
      </c>
      <c r="B13" s="2">
        <v>45677</v>
      </c>
      <c r="C13" s="1" t="s">
        <v>46</v>
      </c>
      <c r="D13" s="1" t="s">
        <v>23</v>
      </c>
      <c r="E13" s="1" t="s">
        <v>47</v>
      </c>
      <c r="F13">
        <v>1</v>
      </c>
      <c r="G13" s="3">
        <v>45000</v>
      </c>
      <c r="H13" s="1" t="s">
        <v>30</v>
      </c>
      <c r="I13" s="1" t="s">
        <v>31</v>
      </c>
      <c r="J13" s="1" t="s">
        <v>27</v>
      </c>
      <c r="K13" s="1" t="str">
        <f>INDEX(deepseek_csv_20260420_9fba2a[ProductName], 95)</f>
        <v>Kaftan</v>
      </c>
      <c r="L13" s="1">
        <f>MATCH("Kaftan", deepseek_csv_20260420_9fba2a[ProductName], 0)</f>
        <v>95</v>
      </c>
      <c r="M13" s="3">
        <f>INDEX(deepseek_csv_20260420_9fba2a[UnitPrice], MATCH("Kaftan", deepseek_csv_20260420_9fba2a[ProductName], 0))</f>
        <v>25000</v>
      </c>
    </row>
    <row r="14" spans="1:13" x14ac:dyDescent="0.25">
      <c r="A14">
        <v>1013</v>
      </c>
      <c r="B14" s="2">
        <v>45678</v>
      </c>
      <c r="C14" s="1" t="s">
        <v>48</v>
      </c>
      <c r="D14" s="1" t="s">
        <v>11</v>
      </c>
      <c r="E14" s="1" t="s">
        <v>49</v>
      </c>
      <c r="F14">
        <v>1</v>
      </c>
      <c r="G14" s="3">
        <v>35000</v>
      </c>
      <c r="H14" s="1" t="s">
        <v>13</v>
      </c>
      <c r="I14" s="1" t="s">
        <v>14</v>
      </c>
      <c r="J14" s="1" t="s">
        <v>15</v>
      </c>
      <c r="K14" s="1" t="str">
        <f>INDEX(deepseek_csv_20260420_9fba2a[ProductName], 84)</f>
        <v>Pet Bed</v>
      </c>
      <c r="L14" s="1">
        <f>MATCH("Pet Bed", deepseek_csv_20260420_9fba2a[ProductName], 0)</f>
        <v>84</v>
      </c>
      <c r="M14" s="3">
        <f>INDEX(deepseek_csv_20260420_9fba2a[UnitPrice], MATCH("Pet Bed", deepseek_csv_20260420_9fba2a[ProductName], 0))</f>
        <v>10000</v>
      </c>
    </row>
    <row r="15" spans="1:13" x14ac:dyDescent="0.25">
      <c r="A15">
        <v>1014</v>
      </c>
      <c r="B15" s="2">
        <v>45678</v>
      </c>
      <c r="C15" s="1" t="s">
        <v>50</v>
      </c>
      <c r="D15" s="1" t="s">
        <v>17</v>
      </c>
      <c r="E15" s="1" t="s">
        <v>51</v>
      </c>
      <c r="F15">
        <v>3</v>
      </c>
      <c r="G15" s="3">
        <v>8000</v>
      </c>
      <c r="H15" s="1" t="s">
        <v>19</v>
      </c>
      <c r="I15" s="1" t="s">
        <v>20</v>
      </c>
      <c r="J15" s="1" t="s">
        <v>21</v>
      </c>
      <c r="K15" s="1" t="str">
        <f>INDEX(deepseek_csv_20260420_9fba2a[ProductName], 73)</f>
        <v>VR Headset</v>
      </c>
      <c r="L15" s="1">
        <f>MATCH("VR Headset", deepseek_csv_20260420_9fba2a[ProductName], 0)</f>
        <v>73</v>
      </c>
      <c r="M15" s="3">
        <f>INDEX(deepseek_csv_20260420_9fba2a[UnitPrice], MATCH("VR Headset", deepseek_csv_20260420_9fba2a[ProductName], 0))</f>
        <v>150000</v>
      </c>
    </row>
    <row r="16" spans="1:13" x14ac:dyDescent="0.25">
      <c r="A16">
        <v>1015</v>
      </c>
      <c r="B16" s="2">
        <v>45679</v>
      </c>
      <c r="C16" s="1" t="s">
        <v>52</v>
      </c>
      <c r="D16" s="1" t="s">
        <v>23</v>
      </c>
      <c r="E16" s="1" t="s">
        <v>53</v>
      </c>
      <c r="F16">
        <v>2</v>
      </c>
      <c r="G16" s="3">
        <v>85000</v>
      </c>
      <c r="H16" s="1" t="s">
        <v>25</v>
      </c>
      <c r="I16" s="1" t="s">
        <v>26</v>
      </c>
      <c r="J16" s="1" t="s">
        <v>27</v>
      </c>
      <c r="K16" s="1" t="str">
        <f>INDEX(deepseek_csv_20260420_9fba2a[ProductName],127)</f>
        <v>Corner Shelf</v>
      </c>
      <c r="L16" s="1">
        <f>MATCH("Corner Shelf", deepseek_csv_20260420_9fba2a[ProductName], 0)</f>
        <v>127</v>
      </c>
      <c r="M16" s="3">
        <f>INDEX(deepseek_csv_20260420_9fba2a[UnitPrice], MATCH("Corner Shelf", deepseek_csv_20260420_9fba2a[ProductName], 0))</f>
        <v>22000</v>
      </c>
    </row>
    <row r="17" spans="1:13" x14ac:dyDescent="0.25">
      <c r="A17">
        <v>1016</v>
      </c>
      <c r="B17" s="2">
        <v>45679</v>
      </c>
      <c r="C17" s="1" t="s">
        <v>54</v>
      </c>
      <c r="D17" s="1" t="s">
        <v>11</v>
      </c>
      <c r="E17" s="1" t="s">
        <v>55</v>
      </c>
      <c r="F17">
        <v>1</v>
      </c>
      <c r="G17" s="3">
        <v>120000</v>
      </c>
      <c r="H17" s="1" t="s">
        <v>30</v>
      </c>
      <c r="I17" s="1" t="s">
        <v>31</v>
      </c>
      <c r="J17" s="1" t="s">
        <v>15</v>
      </c>
      <c r="K17" s="1" t="str">
        <f>INDEX(deepseek_csv_20260420_9fba2a[ProductName], 20)</f>
        <v>Shorts</v>
      </c>
      <c r="L17" s="1">
        <f>MATCH("Shorts", deepseek_csv_20260420_9fba2a[ProductName], 0)</f>
        <v>20</v>
      </c>
      <c r="M17" s="3">
        <f>INDEX(deepseek_csv_20260420_9fba2a[UnitPrice], MATCH("Shorts", deepseek_csv_20260420_9fba2a[ProductName], 0))</f>
        <v>7000</v>
      </c>
    </row>
    <row r="18" spans="1:13" x14ac:dyDescent="0.25">
      <c r="A18">
        <v>1017</v>
      </c>
      <c r="B18" s="2">
        <v>45680</v>
      </c>
      <c r="C18" s="1" t="s">
        <v>56</v>
      </c>
      <c r="D18" s="1" t="s">
        <v>17</v>
      </c>
      <c r="E18" s="1" t="s">
        <v>57</v>
      </c>
      <c r="F18">
        <v>2</v>
      </c>
      <c r="G18" s="3">
        <v>22000</v>
      </c>
      <c r="H18" s="1" t="s">
        <v>13</v>
      </c>
      <c r="I18" s="1" t="s">
        <v>14</v>
      </c>
      <c r="J18" s="1" t="s">
        <v>21</v>
      </c>
      <c r="K18" s="1" t="str">
        <f>INDEX(deepseek_csv_20260420_9fba2a[ProductName], 18)</f>
        <v>Wardrobe</v>
      </c>
      <c r="L18" s="1">
        <f>MATCH("Wardrobe", deepseek_csv_20260420_9fba2a[ProductName], 0)</f>
        <v>18</v>
      </c>
      <c r="M18" s="3">
        <f>INDEX(deepseek_csv_20260420_9fba2a[UnitPrice], MATCH("Wardrobe", deepseek_csv_20260420_9fba2a[ProductName], 0))</f>
        <v>180000</v>
      </c>
    </row>
    <row r="19" spans="1:13" x14ac:dyDescent="0.25">
      <c r="A19">
        <v>1018</v>
      </c>
      <c r="B19" s="2">
        <v>45680</v>
      </c>
      <c r="C19" s="1" t="s">
        <v>58</v>
      </c>
      <c r="D19" s="1" t="s">
        <v>23</v>
      </c>
      <c r="E19" s="1" t="s">
        <v>59</v>
      </c>
      <c r="F19">
        <v>1</v>
      </c>
      <c r="G19" s="3">
        <v>180000</v>
      </c>
      <c r="H19" s="1" t="s">
        <v>19</v>
      </c>
      <c r="I19" s="1" t="s">
        <v>20</v>
      </c>
      <c r="J19" s="1" t="s">
        <v>27</v>
      </c>
      <c r="K19" s="1" t="str">
        <f>INDEX(deepseek_csv_20260420_9fba2a[ProductName], 144)</f>
        <v>Card Holder</v>
      </c>
      <c r="L19" s="1">
        <f>MATCH("Card Holder", deepseek_csv_20260420_9fba2a[ProductName], 0)</f>
        <v>144</v>
      </c>
      <c r="M19" s="3">
        <f>INDEX(deepseek_csv_20260420_9fba2a[UnitPrice], MATCH("Card Holder", deepseek_csv_20260420_9fba2a[ProductName], 0))</f>
        <v>3000</v>
      </c>
    </row>
    <row r="20" spans="1:13" x14ac:dyDescent="0.25">
      <c r="A20">
        <v>1019</v>
      </c>
      <c r="B20" s="2">
        <v>45681</v>
      </c>
      <c r="C20" s="1" t="s">
        <v>60</v>
      </c>
      <c r="D20" s="1" t="s">
        <v>11</v>
      </c>
      <c r="E20" s="1" t="s">
        <v>61</v>
      </c>
      <c r="F20">
        <v>3</v>
      </c>
      <c r="G20" s="3">
        <v>15000</v>
      </c>
      <c r="H20" s="1" t="s">
        <v>25</v>
      </c>
      <c r="I20" s="1" t="s">
        <v>26</v>
      </c>
      <c r="J20" s="1" t="s">
        <v>15</v>
      </c>
      <c r="K20" s="1" t="str">
        <f>INDEX(deepseek_csv_20260420_9fba2a[ProductName], 130)</f>
        <v>Footstool</v>
      </c>
      <c r="L20" s="1" t="e">
        <f>MATCH("Footstol", deepseek_csv_20260420_9fba2a[ProductName], 0)</f>
        <v>#N/A</v>
      </c>
      <c r="M20" s="3" t="e">
        <f>INDEX(deepseek_csv_20260420_9fba2a[UnitPrice], MATCH("FootStoool", deepseek_csv_20260420_9fba2a[ProductName], 0))</f>
        <v>#N/A</v>
      </c>
    </row>
    <row r="21" spans="1:13" x14ac:dyDescent="0.25">
      <c r="A21">
        <v>1020</v>
      </c>
      <c r="B21" s="2">
        <v>45681</v>
      </c>
      <c r="C21" s="1" t="s">
        <v>62</v>
      </c>
      <c r="D21" s="1" t="s">
        <v>17</v>
      </c>
      <c r="E21" s="1" t="s">
        <v>63</v>
      </c>
      <c r="F21">
        <v>4</v>
      </c>
      <c r="G21" s="3">
        <v>7000</v>
      </c>
      <c r="H21" s="1" t="s">
        <v>30</v>
      </c>
      <c r="I21" s="1" t="s">
        <v>31</v>
      </c>
      <c r="J21" s="1" t="s">
        <v>21</v>
      </c>
      <c r="K21" s="1"/>
      <c r="L21" s="1"/>
    </row>
    <row r="22" spans="1:13" x14ac:dyDescent="0.25">
      <c r="A22">
        <v>1021</v>
      </c>
      <c r="B22" s="2">
        <v>45682</v>
      </c>
      <c r="C22" s="1" t="s">
        <v>64</v>
      </c>
      <c r="D22" s="1" t="s">
        <v>23</v>
      </c>
      <c r="E22" s="1" t="s">
        <v>65</v>
      </c>
      <c r="F22">
        <v>1</v>
      </c>
      <c r="G22" s="3">
        <v>250000</v>
      </c>
      <c r="H22" s="1" t="s">
        <v>13</v>
      </c>
      <c r="I22" s="1" t="s">
        <v>14</v>
      </c>
      <c r="J22" s="1" t="s">
        <v>27</v>
      </c>
      <c r="K22" s="1"/>
      <c r="L22" s="1"/>
    </row>
    <row r="23" spans="1:13" x14ac:dyDescent="0.25">
      <c r="A23">
        <v>1022</v>
      </c>
      <c r="B23" s="2">
        <v>45682</v>
      </c>
      <c r="C23" s="1" t="s">
        <v>66</v>
      </c>
      <c r="D23" s="1" t="s">
        <v>11</v>
      </c>
      <c r="E23" s="1" t="s">
        <v>67</v>
      </c>
      <c r="F23">
        <v>5</v>
      </c>
      <c r="G23" s="3">
        <v>5000</v>
      </c>
      <c r="H23" s="1" t="s">
        <v>19</v>
      </c>
      <c r="I23" s="1" t="s">
        <v>20</v>
      </c>
      <c r="J23" s="1" t="s">
        <v>15</v>
      </c>
      <c r="K23" s="1"/>
      <c r="L23" s="1"/>
    </row>
    <row r="24" spans="1:13" x14ac:dyDescent="0.25">
      <c r="A24">
        <v>1023</v>
      </c>
      <c r="B24" s="2">
        <v>45683</v>
      </c>
      <c r="C24" s="1" t="s">
        <v>68</v>
      </c>
      <c r="D24" s="1" t="s">
        <v>17</v>
      </c>
      <c r="E24" s="1" t="s">
        <v>69</v>
      </c>
      <c r="F24">
        <v>2</v>
      </c>
      <c r="G24" s="3">
        <v>18000</v>
      </c>
      <c r="H24" s="1" t="s">
        <v>25</v>
      </c>
      <c r="I24" s="1" t="s">
        <v>26</v>
      </c>
      <c r="J24" s="1" t="s">
        <v>21</v>
      </c>
      <c r="K24" s="1"/>
      <c r="L24" s="1"/>
    </row>
    <row r="25" spans="1:13" x14ac:dyDescent="0.25">
      <c r="A25">
        <v>1024</v>
      </c>
      <c r="B25" s="2">
        <v>45683</v>
      </c>
      <c r="C25" s="1" t="s">
        <v>70</v>
      </c>
      <c r="D25" s="1" t="s">
        <v>23</v>
      </c>
      <c r="E25" s="1" t="s">
        <v>71</v>
      </c>
      <c r="F25">
        <v>2</v>
      </c>
      <c r="G25" s="3">
        <v>25000</v>
      </c>
      <c r="H25" s="1" t="s">
        <v>30</v>
      </c>
      <c r="I25" s="1" t="s">
        <v>31</v>
      </c>
      <c r="J25" s="1" t="s">
        <v>27</v>
      </c>
      <c r="K25" s="1"/>
      <c r="L25" s="1"/>
    </row>
    <row r="26" spans="1:13" x14ac:dyDescent="0.25">
      <c r="A26">
        <v>1025</v>
      </c>
      <c r="B26" s="2">
        <v>45684</v>
      </c>
      <c r="C26" s="1" t="s">
        <v>72</v>
      </c>
      <c r="D26" s="1" t="s">
        <v>11</v>
      </c>
      <c r="E26" s="1" t="s">
        <v>73</v>
      </c>
      <c r="F26">
        <v>1</v>
      </c>
      <c r="G26" s="3">
        <v>65000</v>
      </c>
      <c r="H26" s="1" t="s">
        <v>13</v>
      </c>
      <c r="I26" s="1" t="s">
        <v>14</v>
      </c>
      <c r="J26" s="1" t="s">
        <v>15</v>
      </c>
      <c r="K26" s="1"/>
      <c r="L26" s="1"/>
    </row>
    <row r="27" spans="1:13" x14ac:dyDescent="0.25">
      <c r="A27">
        <v>1026</v>
      </c>
      <c r="B27" s="2">
        <v>45684</v>
      </c>
      <c r="C27" s="1" t="s">
        <v>74</v>
      </c>
      <c r="D27" s="1" t="s">
        <v>17</v>
      </c>
      <c r="E27" s="1" t="s">
        <v>75</v>
      </c>
      <c r="F27">
        <v>1</v>
      </c>
      <c r="G27" s="3">
        <v>40000</v>
      </c>
      <c r="H27" s="1" t="s">
        <v>19</v>
      </c>
      <c r="I27" s="1" t="s">
        <v>20</v>
      </c>
      <c r="J27" s="1" t="s">
        <v>21</v>
      </c>
      <c r="K27" s="1"/>
      <c r="L27" s="1"/>
    </row>
    <row r="28" spans="1:13" x14ac:dyDescent="0.25">
      <c r="A28">
        <v>1027</v>
      </c>
      <c r="B28" s="2">
        <v>45685</v>
      </c>
      <c r="C28" s="1" t="s">
        <v>76</v>
      </c>
      <c r="D28" s="1" t="s">
        <v>23</v>
      </c>
      <c r="E28" s="1" t="s">
        <v>77</v>
      </c>
      <c r="F28">
        <v>1</v>
      </c>
      <c r="G28" s="3">
        <v>55000</v>
      </c>
      <c r="H28" s="1" t="s">
        <v>25</v>
      </c>
      <c r="I28" s="1" t="s">
        <v>26</v>
      </c>
      <c r="J28" s="1" t="s">
        <v>27</v>
      </c>
      <c r="K28" s="1"/>
      <c r="L28" s="1"/>
    </row>
    <row r="29" spans="1:13" x14ac:dyDescent="0.25">
      <c r="A29">
        <v>1028</v>
      </c>
      <c r="B29" s="2">
        <v>45685</v>
      </c>
      <c r="C29" s="1" t="s">
        <v>78</v>
      </c>
      <c r="D29" s="1" t="s">
        <v>11</v>
      </c>
      <c r="E29" s="1" t="s">
        <v>79</v>
      </c>
      <c r="F29">
        <v>2</v>
      </c>
      <c r="G29" s="3">
        <v>30000</v>
      </c>
      <c r="H29" s="1" t="s">
        <v>30</v>
      </c>
      <c r="I29" s="1" t="s">
        <v>31</v>
      </c>
      <c r="J29" s="1" t="s">
        <v>15</v>
      </c>
      <c r="K29" s="1"/>
      <c r="L29" s="1"/>
    </row>
    <row r="30" spans="1:13" x14ac:dyDescent="0.25">
      <c r="A30">
        <v>1029</v>
      </c>
      <c r="B30" s="2">
        <v>45686</v>
      </c>
      <c r="C30" s="1" t="s">
        <v>80</v>
      </c>
      <c r="D30" s="1" t="s">
        <v>17</v>
      </c>
      <c r="E30" s="1" t="s">
        <v>81</v>
      </c>
      <c r="F30">
        <v>3</v>
      </c>
      <c r="G30" s="3">
        <v>12000</v>
      </c>
      <c r="H30" s="1" t="s">
        <v>13</v>
      </c>
      <c r="I30" s="1" t="s">
        <v>14</v>
      </c>
      <c r="J30" s="1" t="s">
        <v>21</v>
      </c>
      <c r="K30" s="1"/>
      <c r="L30" s="1"/>
    </row>
    <row r="31" spans="1:13" x14ac:dyDescent="0.25">
      <c r="A31">
        <v>1030</v>
      </c>
      <c r="B31" s="2">
        <v>45686</v>
      </c>
      <c r="C31" s="1" t="s">
        <v>82</v>
      </c>
      <c r="D31" s="1" t="s">
        <v>23</v>
      </c>
      <c r="E31" s="1" t="s">
        <v>83</v>
      </c>
      <c r="F31">
        <v>1</v>
      </c>
      <c r="G31" s="3">
        <v>40000</v>
      </c>
      <c r="H31" s="1" t="s">
        <v>19</v>
      </c>
      <c r="I31" s="1" t="s">
        <v>20</v>
      </c>
      <c r="J31" s="1" t="s">
        <v>27</v>
      </c>
      <c r="K31" s="1"/>
      <c r="L31" s="1"/>
    </row>
    <row r="32" spans="1:13" x14ac:dyDescent="0.25">
      <c r="A32">
        <v>1031</v>
      </c>
      <c r="B32" s="2">
        <v>45687</v>
      </c>
      <c r="C32" s="1" t="s">
        <v>84</v>
      </c>
      <c r="D32" s="1" t="s">
        <v>11</v>
      </c>
      <c r="E32" s="1" t="s">
        <v>85</v>
      </c>
      <c r="F32">
        <v>1</v>
      </c>
      <c r="G32" s="3">
        <v>25000</v>
      </c>
      <c r="H32" s="1" t="s">
        <v>25</v>
      </c>
      <c r="I32" s="1" t="s">
        <v>26</v>
      </c>
      <c r="J32" s="1" t="s">
        <v>15</v>
      </c>
      <c r="K32" s="1"/>
      <c r="L32" s="1"/>
    </row>
    <row r="33" spans="1:12" x14ac:dyDescent="0.25">
      <c r="A33">
        <v>1032</v>
      </c>
      <c r="B33" s="2">
        <v>45687</v>
      </c>
      <c r="C33" s="1" t="s">
        <v>86</v>
      </c>
      <c r="D33" s="1" t="s">
        <v>17</v>
      </c>
      <c r="E33" s="1" t="s">
        <v>87</v>
      </c>
      <c r="F33">
        <v>2</v>
      </c>
      <c r="G33" s="3">
        <v>15000</v>
      </c>
      <c r="H33" s="1" t="s">
        <v>30</v>
      </c>
      <c r="I33" s="1" t="s">
        <v>31</v>
      </c>
      <c r="J33" s="1" t="s">
        <v>21</v>
      </c>
      <c r="K33" s="1"/>
      <c r="L33" s="1"/>
    </row>
    <row r="34" spans="1:12" x14ac:dyDescent="0.25">
      <c r="A34">
        <v>1033</v>
      </c>
      <c r="B34" s="2">
        <v>45688</v>
      </c>
      <c r="C34" s="1" t="s">
        <v>88</v>
      </c>
      <c r="D34" s="1" t="s">
        <v>23</v>
      </c>
      <c r="E34" s="1" t="s">
        <v>89</v>
      </c>
      <c r="F34">
        <v>1</v>
      </c>
      <c r="G34" s="3">
        <v>15000</v>
      </c>
      <c r="H34" s="1" t="s">
        <v>13</v>
      </c>
      <c r="I34" s="1" t="s">
        <v>14</v>
      </c>
      <c r="J34" s="1" t="s">
        <v>27</v>
      </c>
      <c r="K34" s="1"/>
      <c r="L34" s="1"/>
    </row>
    <row r="35" spans="1:12" x14ac:dyDescent="0.25">
      <c r="A35">
        <v>1034</v>
      </c>
      <c r="B35" s="2">
        <v>45688</v>
      </c>
      <c r="C35" s="1" t="s">
        <v>90</v>
      </c>
      <c r="D35" s="1" t="s">
        <v>11</v>
      </c>
      <c r="E35" s="1" t="s">
        <v>91</v>
      </c>
      <c r="F35">
        <v>1</v>
      </c>
      <c r="G35" s="3">
        <v>22000</v>
      </c>
      <c r="H35" s="1" t="s">
        <v>19</v>
      </c>
      <c r="I35" s="1" t="s">
        <v>20</v>
      </c>
      <c r="J35" s="1" t="s">
        <v>15</v>
      </c>
      <c r="K35" s="1"/>
      <c r="L35" s="1"/>
    </row>
    <row r="36" spans="1:12" x14ac:dyDescent="0.25">
      <c r="A36">
        <v>1035</v>
      </c>
      <c r="B36" s="2">
        <v>45689</v>
      </c>
      <c r="C36" s="1" t="s">
        <v>92</v>
      </c>
      <c r="D36" s="1" t="s">
        <v>17</v>
      </c>
      <c r="E36" s="1" t="s">
        <v>93</v>
      </c>
      <c r="F36">
        <v>4</v>
      </c>
      <c r="G36" s="3">
        <v>8000</v>
      </c>
      <c r="H36" s="1" t="s">
        <v>25</v>
      </c>
      <c r="I36" s="1" t="s">
        <v>26</v>
      </c>
      <c r="J36" s="1" t="s">
        <v>21</v>
      </c>
      <c r="K36" s="1"/>
      <c r="L36" s="1"/>
    </row>
    <row r="37" spans="1:12" x14ac:dyDescent="0.25">
      <c r="A37">
        <v>1036</v>
      </c>
      <c r="B37" s="2">
        <v>45689</v>
      </c>
      <c r="C37" s="1" t="s">
        <v>94</v>
      </c>
      <c r="D37" s="1" t="s">
        <v>23</v>
      </c>
      <c r="E37" s="1" t="s">
        <v>95</v>
      </c>
      <c r="F37">
        <v>2</v>
      </c>
      <c r="G37" s="3">
        <v>12000</v>
      </c>
      <c r="H37" s="1" t="s">
        <v>30</v>
      </c>
      <c r="I37" s="1" t="s">
        <v>31</v>
      </c>
      <c r="J37" s="1" t="s">
        <v>27</v>
      </c>
      <c r="K37" s="1"/>
      <c r="L37" s="1"/>
    </row>
    <row r="38" spans="1:12" x14ac:dyDescent="0.25">
      <c r="A38">
        <v>1037</v>
      </c>
      <c r="B38" s="2">
        <v>45690</v>
      </c>
      <c r="C38" s="1" t="s">
        <v>96</v>
      </c>
      <c r="D38" s="1" t="s">
        <v>11</v>
      </c>
      <c r="E38" s="1" t="s">
        <v>97</v>
      </c>
      <c r="F38">
        <v>10</v>
      </c>
      <c r="G38" s="3">
        <v>2000</v>
      </c>
      <c r="H38" s="1" t="s">
        <v>13</v>
      </c>
      <c r="I38" s="1" t="s">
        <v>14</v>
      </c>
      <c r="J38" s="1" t="s">
        <v>15</v>
      </c>
      <c r="K38" s="1"/>
      <c r="L38" s="1"/>
    </row>
    <row r="39" spans="1:12" x14ac:dyDescent="0.25">
      <c r="A39">
        <v>1038</v>
      </c>
      <c r="B39" s="2">
        <v>45690</v>
      </c>
      <c r="C39" s="1" t="s">
        <v>98</v>
      </c>
      <c r="D39" s="1" t="s">
        <v>17</v>
      </c>
      <c r="E39" s="1" t="s">
        <v>99</v>
      </c>
      <c r="F39">
        <v>3</v>
      </c>
      <c r="G39" s="3">
        <v>5000</v>
      </c>
      <c r="H39" s="1" t="s">
        <v>19</v>
      </c>
      <c r="I39" s="1" t="s">
        <v>20</v>
      </c>
      <c r="J39" s="1" t="s">
        <v>21</v>
      </c>
      <c r="K39" s="1"/>
      <c r="L39" s="1"/>
    </row>
    <row r="40" spans="1:12" x14ac:dyDescent="0.25">
      <c r="A40">
        <v>1039</v>
      </c>
      <c r="B40" s="2">
        <v>45691</v>
      </c>
      <c r="C40" s="1" t="s">
        <v>100</v>
      </c>
      <c r="D40" s="1" t="s">
        <v>23</v>
      </c>
      <c r="E40" s="1" t="s">
        <v>101</v>
      </c>
      <c r="F40">
        <v>1</v>
      </c>
      <c r="G40" s="3">
        <v>25000</v>
      </c>
      <c r="H40" s="1" t="s">
        <v>25</v>
      </c>
      <c r="I40" s="1" t="s">
        <v>26</v>
      </c>
      <c r="J40" s="1" t="s">
        <v>27</v>
      </c>
      <c r="K40" s="1"/>
      <c r="L40" s="1"/>
    </row>
    <row r="41" spans="1:12" x14ac:dyDescent="0.25">
      <c r="A41">
        <v>1040</v>
      </c>
      <c r="B41" s="2">
        <v>45691</v>
      </c>
      <c r="C41" s="1" t="s">
        <v>102</v>
      </c>
      <c r="D41" s="1" t="s">
        <v>11</v>
      </c>
      <c r="E41" s="1" t="s">
        <v>103</v>
      </c>
      <c r="F41">
        <v>5</v>
      </c>
      <c r="G41" s="3">
        <v>8000</v>
      </c>
      <c r="H41" s="1" t="s">
        <v>30</v>
      </c>
      <c r="I41" s="1" t="s">
        <v>31</v>
      </c>
      <c r="J41" s="1" t="s">
        <v>15</v>
      </c>
      <c r="K41" s="1"/>
      <c r="L41" s="1"/>
    </row>
    <row r="42" spans="1:12" x14ac:dyDescent="0.25">
      <c r="A42">
        <v>1041</v>
      </c>
      <c r="B42" s="2">
        <v>45692</v>
      </c>
      <c r="C42" s="1" t="s">
        <v>104</v>
      </c>
      <c r="D42" s="1" t="s">
        <v>17</v>
      </c>
      <c r="E42" s="1" t="s">
        <v>105</v>
      </c>
      <c r="F42">
        <v>6</v>
      </c>
      <c r="G42" s="3">
        <v>3000</v>
      </c>
      <c r="H42" s="1" t="s">
        <v>13</v>
      </c>
      <c r="I42" s="1" t="s">
        <v>14</v>
      </c>
      <c r="J42" s="1" t="s">
        <v>21</v>
      </c>
      <c r="K42" s="1"/>
      <c r="L42" s="1"/>
    </row>
    <row r="43" spans="1:12" x14ac:dyDescent="0.25">
      <c r="A43">
        <v>1042</v>
      </c>
      <c r="B43" s="2">
        <v>45692</v>
      </c>
      <c r="C43" s="1" t="s">
        <v>106</v>
      </c>
      <c r="D43" s="1" t="s">
        <v>23</v>
      </c>
      <c r="E43" s="1" t="s">
        <v>107</v>
      </c>
      <c r="F43">
        <v>1</v>
      </c>
      <c r="G43" s="3">
        <v>18000</v>
      </c>
      <c r="H43" s="1" t="s">
        <v>19</v>
      </c>
      <c r="I43" s="1" t="s">
        <v>20</v>
      </c>
      <c r="J43" s="1" t="s">
        <v>27</v>
      </c>
      <c r="K43" s="1"/>
      <c r="L43" s="1"/>
    </row>
    <row r="44" spans="1:12" x14ac:dyDescent="0.25">
      <c r="A44">
        <v>1043</v>
      </c>
      <c r="B44" s="2">
        <v>45693</v>
      </c>
      <c r="C44" s="1" t="s">
        <v>108</v>
      </c>
      <c r="D44" s="1" t="s">
        <v>11</v>
      </c>
      <c r="E44" s="1" t="s">
        <v>109</v>
      </c>
      <c r="F44">
        <v>2</v>
      </c>
      <c r="G44" s="3">
        <v>15000</v>
      </c>
      <c r="H44" s="1" t="s">
        <v>25</v>
      </c>
      <c r="I44" s="1" t="s">
        <v>26</v>
      </c>
      <c r="J44" s="1" t="s">
        <v>15</v>
      </c>
      <c r="K44" s="1"/>
      <c r="L44" s="1"/>
    </row>
    <row r="45" spans="1:12" x14ac:dyDescent="0.25">
      <c r="A45">
        <v>1044</v>
      </c>
      <c r="B45" s="2">
        <v>45693</v>
      </c>
      <c r="C45" s="1" t="s">
        <v>110</v>
      </c>
      <c r="D45" s="1" t="s">
        <v>17</v>
      </c>
      <c r="E45" s="1" t="s">
        <v>111</v>
      </c>
      <c r="F45">
        <v>5</v>
      </c>
      <c r="G45" s="3">
        <v>4000</v>
      </c>
      <c r="H45" s="1" t="s">
        <v>30</v>
      </c>
      <c r="I45" s="1" t="s">
        <v>31</v>
      </c>
      <c r="J45" s="1" t="s">
        <v>21</v>
      </c>
      <c r="K45" s="1"/>
      <c r="L45" s="1"/>
    </row>
    <row r="46" spans="1:12" x14ac:dyDescent="0.25">
      <c r="A46">
        <v>1045</v>
      </c>
      <c r="B46" s="2">
        <v>45694</v>
      </c>
      <c r="C46" s="1" t="s">
        <v>112</v>
      </c>
      <c r="D46" s="1" t="s">
        <v>23</v>
      </c>
      <c r="E46" s="1" t="s">
        <v>113</v>
      </c>
      <c r="F46">
        <v>1</v>
      </c>
      <c r="G46" s="3">
        <v>10000</v>
      </c>
      <c r="H46" s="1" t="s">
        <v>13</v>
      </c>
      <c r="I46" s="1" t="s">
        <v>14</v>
      </c>
      <c r="J46" s="1" t="s">
        <v>27</v>
      </c>
      <c r="K46" s="1"/>
      <c r="L46" s="1"/>
    </row>
    <row r="47" spans="1:12" x14ac:dyDescent="0.25">
      <c r="A47">
        <v>1046</v>
      </c>
      <c r="B47" s="2">
        <v>45694</v>
      </c>
      <c r="C47" s="1" t="s">
        <v>114</v>
      </c>
      <c r="D47" s="1" t="s">
        <v>11</v>
      </c>
      <c r="E47" s="1" t="s">
        <v>115</v>
      </c>
      <c r="F47">
        <v>1</v>
      </c>
      <c r="G47" s="3">
        <v>55000</v>
      </c>
      <c r="H47" s="1" t="s">
        <v>19</v>
      </c>
      <c r="I47" s="1" t="s">
        <v>20</v>
      </c>
      <c r="J47" s="1" t="s">
        <v>15</v>
      </c>
      <c r="K47" s="1"/>
      <c r="L47" s="1"/>
    </row>
    <row r="48" spans="1:12" x14ac:dyDescent="0.25">
      <c r="A48">
        <v>1047</v>
      </c>
      <c r="B48" s="2">
        <v>45695</v>
      </c>
      <c r="C48" s="1" t="s">
        <v>116</v>
      </c>
      <c r="D48" s="1" t="s">
        <v>17</v>
      </c>
      <c r="E48" s="1" t="s">
        <v>117</v>
      </c>
      <c r="F48">
        <v>4</v>
      </c>
      <c r="G48" s="3">
        <v>6000</v>
      </c>
      <c r="H48" s="1" t="s">
        <v>25</v>
      </c>
      <c r="I48" s="1" t="s">
        <v>26</v>
      </c>
      <c r="J48" s="1" t="s">
        <v>21</v>
      </c>
      <c r="K48" s="1"/>
      <c r="L48" s="1"/>
    </row>
    <row r="49" spans="1:12" x14ac:dyDescent="0.25">
      <c r="A49">
        <v>1048</v>
      </c>
      <c r="B49" s="2">
        <v>45695</v>
      </c>
      <c r="C49" s="1" t="s">
        <v>118</v>
      </c>
      <c r="D49" s="1" t="s">
        <v>23</v>
      </c>
      <c r="E49" s="1" t="s">
        <v>119</v>
      </c>
      <c r="F49">
        <v>1</v>
      </c>
      <c r="G49" s="3">
        <v>35000</v>
      </c>
      <c r="H49" s="1" t="s">
        <v>30</v>
      </c>
      <c r="I49" s="1" t="s">
        <v>31</v>
      </c>
      <c r="J49" s="1" t="s">
        <v>27</v>
      </c>
      <c r="K49" s="1"/>
      <c r="L49" s="1"/>
    </row>
    <row r="50" spans="1:12" x14ac:dyDescent="0.25">
      <c r="A50">
        <v>1049</v>
      </c>
      <c r="B50" s="2">
        <v>45696</v>
      </c>
      <c r="C50" s="1" t="s">
        <v>120</v>
      </c>
      <c r="D50" s="1" t="s">
        <v>11</v>
      </c>
      <c r="E50" s="1" t="s">
        <v>121</v>
      </c>
      <c r="F50">
        <v>1</v>
      </c>
      <c r="G50" s="3">
        <v>20000</v>
      </c>
      <c r="H50" s="1" t="s">
        <v>13</v>
      </c>
      <c r="I50" s="1" t="s">
        <v>14</v>
      </c>
      <c r="J50" s="1" t="s">
        <v>15</v>
      </c>
      <c r="K50" s="1"/>
      <c r="L50" s="1"/>
    </row>
    <row r="51" spans="1:12" x14ac:dyDescent="0.25">
      <c r="A51">
        <v>1050</v>
      </c>
      <c r="B51" s="2">
        <v>45696</v>
      </c>
      <c r="C51" s="1" t="s">
        <v>122</v>
      </c>
      <c r="D51" s="1" t="s">
        <v>17</v>
      </c>
      <c r="E51" s="1" t="s">
        <v>123</v>
      </c>
      <c r="F51">
        <v>3</v>
      </c>
      <c r="G51" s="3">
        <v>7000</v>
      </c>
      <c r="H51" s="1" t="s">
        <v>19</v>
      </c>
      <c r="I51" s="1" t="s">
        <v>20</v>
      </c>
      <c r="J51" s="1" t="s">
        <v>21</v>
      </c>
      <c r="K51" s="1"/>
      <c r="L51" s="1"/>
    </row>
    <row r="52" spans="1:12" x14ac:dyDescent="0.25">
      <c r="A52">
        <v>1051</v>
      </c>
      <c r="B52" s="2">
        <v>45697</v>
      </c>
      <c r="C52" s="1" t="s">
        <v>124</v>
      </c>
      <c r="D52" s="1" t="s">
        <v>23</v>
      </c>
      <c r="E52" s="1" t="s">
        <v>125</v>
      </c>
      <c r="F52">
        <v>2</v>
      </c>
      <c r="G52" s="3">
        <v>25000</v>
      </c>
      <c r="H52" s="1" t="s">
        <v>25</v>
      </c>
      <c r="I52" s="1" t="s">
        <v>26</v>
      </c>
      <c r="J52" s="1" t="s">
        <v>27</v>
      </c>
      <c r="K52" s="1"/>
      <c r="L52" s="1"/>
    </row>
    <row r="53" spans="1:12" x14ac:dyDescent="0.25">
      <c r="A53">
        <v>1052</v>
      </c>
      <c r="B53" s="2">
        <v>45697</v>
      </c>
      <c r="C53" s="1" t="s">
        <v>126</v>
      </c>
      <c r="D53" s="1" t="s">
        <v>11</v>
      </c>
      <c r="E53" s="1" t="s">
        <v>127</v>
      </c>
      <c r="F53">
        <v>1</v>
      </c>
      <c r="G53" s="3">
        <v>180000</v>
      </c>
      <c r="H53" s="1" t="s">
        <v>30</v>
      </c>
      <c r="I53" s="1" t="s">
        <v>31</v>
      </c>
      <c r="J53" s="1" t="s">
        <v>15</v>
      </c>
      <c r="K53" s="1"/>
      <c r="L53" s="1"/>
    </row>
    <row r="54" spans="1:12" x14ac:dyDescent="0.25">
      <c r="A54">
        <v>1053</v>
      </c>
      <c r="B54" s="2">
        <v>45698</v>
      </c>
      <c r="C54" s="1" t="s">
        <v>128</v>
      </c>
      <c r="D54" s="1" t="s">
        <v>17</v>
      </c>
      <c r="E54" s="1" t="s">
        <v>129</v>
      </c>
      <c r="F54">
        <v>5</v>
      </c>
      <c r="G54" s="3">
        <v>5000</v>
      </c>
      <c r="H54" s="1" t="s">
        <v>13</v>
      </c>
      <c r="I54" s="1" t="s">
        <v>14</v>
      </c>
      <c r="J54" s="1" t="s">
        <v>21</v>
      </c>
      <c r="K54" s="1"/>
      <c r="L54" s="1"/>
    </row>
    <row r="55" spans="1:12" x14ac:dyDescent="0.25">
      <c r="A55">
        <v>1054</v>
      </c>
      <c r="B55" s="2">
        <v>45698</v>
      </c>
      <c r="C55" s="1" t="s">
        <v>130</v>
      </c>
      <c r="D55" s="1" t="s">
        <v>23</v>
      </c>
      <c r="E55" s="1" t="s">
        <v>131</v>
      </c>
      <c r="F55">
        <v>2</v>
      </c>
      <c r="G55" s="3">
        <v>12000</v>
      </c>
      <c r="H55" s="1" t="s">
        <v>19</v>
      </c>
      <c r="I55" s="1" t="s">
        <v>20</v>
      </c>
      <c r="J55" s="1" t="s">
        <v>27</v>
      </c>
      <c r="K55" s="1"/>
      <c r="L55" s="1"/>
    </row>
    <row r="56" spans="1:12" x14ac:dyDescent="0.25">
      <c r="A56">
        <v>1055</v>
      </c>
      <c r="B56" s="2">
        <v>45699</v>
      </c>
      <c r="C56" s="1" t="s">
        <v>132</v>
      </c>
      <c r="D56" s="1" t="s">
        <v>11</v>
      </c>
      <c r="E56" s="1" t="s">
        <v>133</v>
      </c>
      <c r="F56">
        <v>3</v>
      </c>
      <c r="G56" s="3">
        <v>15000</v>
      </c>
      <c r="H56" s="1" t="s">
        <v>25</v>
      </c>
      <c r="I56" s="1" t="s">
        <v>26</v>
      </c>
      <c r="J56" s="1" t="s">
        <v>15</v>
      </c>
      <c r="K56" s="1"/>
      <c r="L56" s="1"/>
    </row>
    <row r="57" spans="1:12" x14ac:dyDescent="0.25">
      <c r="A57">
        <v>1056</v>
      </c>
      <c r="B57" s="2">
        <v>45699</v>
      </c>
      <c r="C57" s="1" t="s">
        <v>134</v>
      </c>
      <c r="D57" s="1" t="s">
        <v>17</v>
      </c>
      <c r="E57" s="1" t="s">
        <v>135</v>
      </c>
      <c r="F57">
        <v>10</v>
      </c>
      <c r="G57" s="3">
        <v>2000</v>
      </c>
      <c r="H57" s="1" t="s">
        <v>30</v>
      </c>
      <c r="I57" s="1" t="s">
        <v>31</v>
      </c>
      <c r="J57" s="1" t="s">
        <v>21</v>
      </c>
      <c r="K57" s="1"/>
      <c r="L57" s="1"/>
    </row>
    <row r="58" spans="1:12" x14ac:dyDescent="0.25">
      <c r="A58">
        <v>1057</v>
      </c>
      <c r="B58" s="2">
        <v>45700</v>
      </c>
      <c r="C58" s="1" t="s">
        <v>136</v>
      </c>
      <c r="D58" s="1" t="s">
        <v>23</v>
      </c>
      <c r="E58" s="1" t="s">
        <v>137</v>
      </c>
      <c r="F58">
        <v>2</v>
      </c>
      <c r="G58" s="3">
        <v>8000</v>
      </c>
      <c r="H58" s="1" t="s">
        <v>13</v>
      </c>
      <c r="I58" s="1" t="s">
        <v>14</v>
      </c>
      <c r="J58" s="1" t="s">
        <v>27</v>
      </c>
      <c r="K58" s="1"/>
      <c r="L58" s="1"/>
    </row>
    <row r="59" spans="1:12" x14ac:dyDescent="0.25">
      <c r="A59">
        <v>1058</v>
      </c>
      <c r="B59" s="2">
        <v>45700</v>
      </c>
      <c r="C59" s="1" t="s">
        <v>138</v>
      </c>
      <c r="D59" s="1" t="s">
        <v>11</v>
      </c>
      <c r="E59" s="1" t="s">
        <v>139</v>
      </c>
      <c r="F59">
        <v>1</v>
      </c>
      <c r="G59" s="3">
        <v>45000</v>
      </c>
      <c r="H59" s="1" t="s">
        <v>19</v>
      </c>
      <c r="I59" s="1" t="s">
        <v>20</v>
      </c>
      <c r="J59" s="1" t="s">
        <v>15</v>
      </c>
      <c r="K59" s="1"/>
      <c r="L59" s="1"/>
    </row>
    <row r="60" spans="1:12" x14ac:dyDescent="0.25">
      <c r="A60">
        <v>1059</v>
      </c>
      <c r="B60" s="2">
        <v>45701</v>
      </c>
      <c r="C60" s="1" t="s">
        <v>140</v>
      </c>
      <c r="D60" s="1" t="s">
        <v>17</v>
      </c>
      <c r="E60" s="1" t="s">
        <v>141</v>
      </c>
      <c r="F60">
        <v>4</v>
      </c>
      <c r="G60" s="3">
        <v>8000</v>
      </c>
      <c r="H60" s="1" t="s">
        <v>25</v>
      </c>
      <c r="I60" s="1" t="s">
        <v>26</v>
      </c>
      <c r="J60" s="1" t="s">
        <v>21</v>
      </c>
      <c r="K60" s="1"/>
      <c r="L60" s="1"/>
    </row>
    <row r="61" spans="1:12" x14ac:dyDescent="0.25">
      <c r="A61">
        <v>1060</v>
      </c>
      <c r="B61" s="2">
        <v>45701</v>
      </c>
      <c r="C61" s="1" t="s">
        <v>142</v>
      </c>
      <c r="D61" s="1" t="s">
        <v>23</v>
      </c>
      <c r="E61" s="1" t="s">
        <v>143</v>
      </c>
      <c r="F61">
        <v>3</v>
      </c>
      <c r="G61" s="3">
        <v>20000</v>
      </c>
      <c r="H61" s="1" t="s">
        <v>30</v>
      </c>
      <c r="I61" s="1" t="s">
        <v>31</v>
      </c>
      <c r="J61" s="1" t="s">
        <v>27</v>
      </c>
      <c r="K61" s="1"/>
      <c r="L61" s="1"/>
    </row>
    <row r="62" spans="1:12" x14ac:dyDescent="0.25">
      <c r="A62">
        <v>1061</v>
      </c>
      <c r="B62" s="2">
        <v>45702</v>
      </c>
      <c r="C62" s="1" t="s">
        <v>144</v>
      </c>
      <c r="D62" s="1" t="s">
        <v>11</v>
      </c>
      <c r="E62" s="1" t="s">
        <v>145</v>
      </c>
      <c r="F62">
        <v>4</v>
      </c>
      <c r="G62" s="3">
        <v>8000</v>
      </c>
      <c r="H62" s="1" t="s">
        <v>13</v>
      </c>
      <c r="I62" s="1" t="s">
        <v>14</v>
      </c>
      <c r="J62" s="1" t="s">
        <v>15</v>
      </c>
      <c r="K62" s="1"/>
      <c r="L62" s="1"/>
    </row>
    <row r="63" spans="1:12" x14ac:dyDescent="0.25">
      <c r="A63">
        <v>1062</v>
      </c>
      <c r="B63" s="2">
        <v>45702</v>
      </c>
      <c r="C63" s="1" t="s">
        <v>146</v>
      </c>
      <c r="D63" s="1" t="s">
        <v>17</v>
      </c>
      <c r="E63" s="1" t="s">
        <v>147</v>
      </c>
      <c r="F63">
        <v>6</v>
      </c>
      <c r="G63" s="3">
        <v>4000</v>
      </c>
      <c r="H63" s="1" t="s">
        <v>19</v>
      </c>
      <c r="I63" s="1" t="s">
        <v>20</v>
      </c>
      <c r="J63" s="1" t="s">
        <v>21</v>
      </c>
      <c r="K63" s="1"/>
      <c r="L63" s="1"/>
    </row>
    <row r="64" spans="1:12" x14ac:dyDescent="0.25">
      <c r="A64">
        <v>1063</v>
      </c>
      <c r="B64" s="2">
        <v>45703</v>
      </c>
      <c r="C64" s="1" t="s">
        <v>148</v>
      </c>
      <c r="D64" s="1" t="s">
        <v>23</v>
      </c>
      <c r="E64" s="1" t="s">
        <v>149</v>
      </c>
      <c r="F64">
        <v>1</v>
      </c>
      <c r="G64" s="3">
        <v>45000</v>
      </c>
      <c r="H64" s="1" t="s">
        <v>25</v>
      </c>
      <c r="I64" s="1" t="s">
        <v>26</v>
      </c>
      <c r="J64" s="1" t="s">
        <v>27</v>
      </c>
      <c r="K64" s="1"/>
      <c r="L64" s="1"/>
    </row>
    <row r="65" spans="1:12" x14ac:dyDescent="0.25">
      <c r="A65">
        <v>1064</v>
      </c>
      <c r="B65" s="2">
        <v>45703</v>
      </c>
      <c r="C65" s="1" t="s">
        <v>150</v>
      </c>
      <c r="D65" s="1" t="s">
        <v>11</v>
      </c>
      <c r="E65" s="1" t="s">
        <v>151</v>
      </c>
      <c r="F65">
        <v>1</v>
      </c>
      <c r="G65" s="3">
        <v>25000</v>
      </c>
      <c r="H65" s="1" t="s">
        <v>30</v>
      </c>
      <c r="I65" s="1" t="s">
        <v>31</v>
      </c>
      <c r="J65" s="1" t="s">
        <v>15</v>
      </c>
      <c r="K65" s="1"/>
      <c r="L65" s="1"/>
    </row>
    <row r="66" spans="1:12" x14ac:dyDescent="0.25">
      <c r="A66">
        <v>1065</v>
      </c>
      <c r="B66" s="2">
        <v>45704</v>
      </c>
      <c r="C66" s="1" t="s">
        <v>152</v>
      </c>
      <c r="D66" s="1" t="s">
        <v>17</v>
      </c>
      <c r="E66" s="1" t="s">
        <v>153</v>
      </c>
      <c r="F66">
        <v>1</v>
      </c>
      <c r="G66" s="3">
        <v>35000</v>
      </c>
      <c r="H66" s="1" t="s">
        <v>13</v>
      </c>
      <c r="I66" s="1" t="s">
        <v>14</v>
      </c>
      <c r="J66" s="1" t="s">
        <v>21</v>
      </c>
      <c r="K66" s="1"/>
      <c r="L66" s="1"/>
    </row>
    <row r="67" spans="1:12" x14ac:dyDescent="0.25">
      <c r="A67">
        <v>1066</v>
      </c>
      <c r="B67" s="2">
        <v>45704</v>
      </c>
      <c r="C67" s="1" t="s">
        <v>154</v>
      </c>
      <c r="D67" s="1" t="s">
        <v>23</v>
      </c>
      <c r="E67" s="1" t="s">
        <v>155</v>
      </c>
      <c r="F67">
        <v>1</v>
      </c>
      <c r="G67" s="3">
        <v>65000</v>
      </c>
      <c r="H67" s="1" t="s">
        <v>19</v>
      </c>
      <c r="I67" s="1" t="s">
        <v>20</v>
      </c>
      <c r="J67" s="1" t="s">
        <v>27</v>
      </c>
      <c r="K67" s="1"/>
      <c r="L67" s="1"/>
    </row>
    <row r="68" spans="1:12" x14ac:dyDescent="0.25">
      <c r="A68">
        <v>1067</v>
      </c>
      <c r="B68" s="2">
        <v>45705</v>
      </c>
      <c r="C68" s="1" t="s">
        <v>156</v>
      </c>
      <c r="D68" s="1" t="s">
        <v>11</v>
      </c>
      <c r="E68" s="1" t="s">
        <v>157</v>
      </c>
      <c r="F68">
        <v>1</v>
      </c>
      <c r="G68" s="3">
        <v>250000</v>
      </c>
      <c r="H68" s="1" t="s">
        <v>25</v>
      </c>
      <c r="I68" s="1" t="s">
        <v>26</v>
      </c>
      <c r="J68" s="1" t="s">
        <v>15</v>
      </c>
      <c r="K68" s="1"/>
      <c r="L68" s="1"/>
    </row>
    <row r="69" spans="1:12" x14ac:dyDescent="0.25">
      <c r="A69">
        <v>1068</v>
      </c>
      <c r="B69" s="2">
        <v>45705</v>
      </c>
      <c r="C69" s="1" t="s">
        <v>158</v>
      </c>
      <c r="D69" s="1" t="s">
        <v>17</v>
      </c>
      <c r="E69" s="1" t="s">
        <v>159</v>
      </c>
      <c r="F69">
        <v>3</v>
      </c>
      <c r="G69" s="3">
        <v>10000</v>
      </c>
      <c r="H69" s="1" t="s">
        <v>30</v>
      </c>
      <c r="I69" s="1" t="s">
        <v>31</v>
      </c>
      <c r="J69" s="1" t="s">
        <v>21</v>
      </c>
      <c r="K69" s="1"/>
      <c r="L69" s="1"/>
    </row>
    <row r="70" spans="1:12" x14ac:dyDescent="0.25">
      <c r="A70">
        <v>1069</v>
      </c>
      <c r="B70" s="2">
        <v>45706</v>
      </c>
      <c r="C70" s="1" t="s">
        <v>160</v>
      </c>
      <c r="D70" s="1" t="s">
        <v>23</v>
      </c>
      <c r="E70" s="1" t="s">
        <v>161</v>
      </c>
      <c r="F70">
        <v>2</v>
      </c>
      <c r="G70" s="3">
        <v>8000</v>
      </c>
      <c r="H70" s="1" t="s">
        <v>13</v>
      </c>
      <c r="I70" s="1" t="s">
        <v>14</v>
      </c>
      <c r="J70" s="1" t="s">
        <v>27</v>
      </c>
      <c r="K70" s="1"/>
      <c r="L70" s="1"/>
    </row>
    <row r="71" spans="1:12" x14ac:dyDescent="0.25">
      <c r="A71">
        <v>1070</v>
      </c>
      <c r="B71" s="2">
        <v>45706</v>
      </c>
      <c r="C71" s="1" t="s">
        <v>162</v>
      </c>
      <c r="D71" s="1" t="s">
        <v>11</v>
      </c>
      <c r="E71" s="1" t="s">
        <v>163</v>
      </c>
      <c r="F71">
        <v>2</v>
      </c>
      <c r="G71" s="3">
        <v>12000</v>
      </c>
      <c r="H71" s="1" t="s">
        <v>19</v>
      </c>
      <c r="I71" s="1" t="s">
        <v>20</v>
      </c>
      <c r="J71" s="1" t="s">
        <v>15</v>
      </c>
      <c r="K71" s="1"/>
      <c r="L71" s="1"/>
    </row>
    <row r="72" spans="1:12" x14ac:dyDescent="0.25">
      <c r="A72">
        <v>1071</v>
      </c>
      <c r="B72" s="2">
        <v>45707</v>
      </c>
      <c r="C72" s="1" t="s">
        <v>164</v>
      </c>
      <c r="D72" s="1" t="s">
        <v>17</v>
      </c>
      <c r="E72" s="1" t="s">
        <v>165</v>
      </c>
      <c r="F72">
        <v>5</v>
      </c>
      <c r="G72" s="3">
        <v>5000</v>
      </c>
      <c r="H72" s="1" t="s">
        <v>25</v>
      </c>
      <c r="I72" s="1" t="s">
        <v>26</v>
      </c>
      <c r="J72" s="1" t="s">
        <v>21</v>
      </c>
      <c r="K72" s="1"/>
      <c r="L72" s="1"/>
    </row>
    <row r="73" spans="1:12" x14ac:dyDescent="0.25">
      <c r="A73">
        <v>1072</v>
      </c>
      <c r="B73" s="2">
        <v>45707</v>
      </c>
      <c r="C73" s="1" t="s">
        <v>166</v>
      </c>
      <c r="D73" s="1" t="s">
        <v>23</v>
      </c>
      <c r="E73" s="1" t="s">
        <v>167</v>
      </c>
      <c r="F73">
        <v>4</v>
      </c>
      <c r="G73" s="3">
        <v>7000</v>
      </c>
      <c r="H73" s="1" t="s">
        <v>30</v>
      </c>
      <c r="I73" s="1" t="s">
        <v>31</v>
      </c>
      <c r="J73" s="1" t="s">
        <v>27</v>
      </c>
      <c r="K73" s="1"/>
      <c r="L73" s="1"/>
    </row>
    <row r="74" spans="1:12" x14ac:dyDescent="0.25">
      <c r="A74">
        <v>1073</v>
      </c>
      <c r="B74" s="2">
        <v>45708</v>
      </c>
      <c r="C74" s="1" t="s">
        <v>168</v>
      </c>
      <c r="D74" s="1" t="s">
        <v>11</v>
      </c>
      <c r="E74" s="1" t="s">
        <v>169</v>
      </c>
      <c r="F74">
        <v>1</v>
      </c>
      <c r="G74" s="3">
        <v>150000</v>
      </c>
      <c r="H74" s="1" t="s">
        <v>13</v>
      </c>
      <c r="I74" s="1" t="s">
        <v>14</v>
      </c>
      <c r="J74" s="1" t="s">
        <v>15</v>
      </c>
      <c r="K74" s="1"/>
      <c r="L74" s="1"/>
    </row>
    <row r="75" spans="1:12" x14ac:dyDescent="0.25">
      <c r="A75">
        <v>1074</v>
      </c>
      <c r="B75" s="2">
        <v>45708</v>
      </c>
      <c r="C75" s="1" t="s">
        <v>170</v>
      </c>
      <c r="D75" s="1" t="s">
        <v>17</v>
      </c>
      <c r="E75" s="1" t="s">
        <v>171</v>
      </c>
      <c r="F75">
        <v>6</v>
      </c>
      <c r="G75" s="3">
        <v>4000</v>
      </c>
      <c r="H75" s="1" t="s">
        <v>19</v>
      </c>
      <c r="I75" s="1" t="s">
        <v>20</v>
      </c>
      <c r="J75" s="1" t="s">
        <v>21</v>
      </c>
      <c r="K75" s="1"/>
      <c r="L75" s="1"/>
    </row>
    <row r="76" spans="1:12" x14ac:dyDescent="0.25">
      <c r="A76">
        <v>1075</v>
      </c>
      <c r="B76" s="2">
        <v>45709</v>
      </c>
      <c r="C76" s="1" t="s">
        <v>172</v>
      </c>
      <c r="D76" s="1" t="s">
        <v>23</v>
      </c>
      <c r="E76" s="1" t="s">
        <v>173</v>
      </c>
      <c r="F76">
        <v>2</v>
      </c>
      <c r="G76" s="3">
        <v>20000</v>
      </c>
      <c r="H76" s="1" t="s">
        <v>25</v>
      </c>
      <c r="I76" s="1" t="s">
        <v>26</v>
      </c>
      <c r="J76" s="1" t="s">
        <v>27</v>
      </c>
      <c r="K76" s="1"/>
      <c r="L76" s="1"/>
    </row>
    <row r="77" spans="1:12" x14ac:dyDescent="0.25">
      <c r="A77">
        <v>1076</v>
      </c>
      <c r="B77" s="2">
        <v>45709</v>
      </c>
      <c r="C77" s="1" t="s">
        <v>174</v>
      </c>
      <c r="D77" s="1" t="s">
        <v>11</v>
      </c>
      <c r="E77" s="1" t="s">
        <v>175</v>
      </c>
      <c r="F77">
        <v>3</v>
      </c>
      <c r="G77" s="3">
        <v>6000</v>
      </c>
      <c r="H77" s="1" t="s">
        <v>30</v>
      </c>
      <c r="I77" s="1" t="s">
        <v>31</v>
      </c>
      <c r="J77" s="1" t="s">
        <v>15</v>
      </c>
      <c r="K77" s="1"/>
      <c r="L77" s="1"/>
    </row>
    <row r="78" spans="1:12" x14ac:dyDescent="0.25">
      <c r="A78">
        <v>1077</v>
      </c>
      <c r="B78" s="2">
        <v>45710</v>
      </c>
      <c r="C78" s="1" t="s">
        <v>176</v>
      </c>
      <c r="D78" s="1" t="s">
        <v>17</v>
      </c>
      <c r="E78" s="1" t="s">
        <v>177</v>
      </c>
      <c r="F78">
        <v>2</v>
      </c>
      <c r="G78" s="3">
        <v>12000</v>
      </c>
      <c r="H78" s="1" t="s">
        <v>13</v>
      </c>
      <c r="I78" s="1" t="s">
        <v>14</v>
      </c>
      <c r="J78" s="1" t="s">
        <v>21</v>
      </c>
      <c r="K78" s="1"/>
      <c r="L78" s="1"/>
    </row>
    <row r="79" spans="1:12" x14ac:dyDescent="0.25">
      <c r="A79">
        <v>1078</v>
      </c>
      <c r="B79" s="2">
        <v>45710</v>
      </c>
      <c r="C79" s="1" t="s">
        <v>178</v>
      </c>
      <c r="D79" s="1" t="s">
        <v>23</v>
      </c>
      <c r="E79" s="1" t="s">
        <v>179</v>
      </c>
      <c r="F79">
        <v>5</v>
      </c>
      <c r="G79" s="3">
        <v>3000</v>
      </c>
      <c r="H79" s="1" t="s">
        <v>19</v>
      </c>
      <c r="I79" s="1" t="s">
        <v>20</v>
      </c>
      <c r="J79" s="1" t="s">
        <v>27</v>
      </c>
      <c r="K79" s="1"/>
      <c r="L79" s="1"/>
    </row>
    <row r="80" spans="1:12" x14ac:dyDescent="0.25">
      <c r="A80">
        <v>1079</v>
      </c>
      <c r="B80" s="2">
        <v>45711</v>
      </c>
      <c r="C80" s="1" t="s">
        <v>108</v>
      </c>
      <c r="D80" s="1" t="s">
        <v>11</v>
      </c>
      <c r="E80" s="1" t="s">
        <v>180</v>
      </c>
      <c r="F80">
        <v>1</v>
      </c>
      <c r="G80" s="3">
        <v>15000</v>
      </c>
      <c r="H80" s="1" t="s">
        <v>25</v>
      </c>
      <c r="I80" s="1" t="s">
        <v>26</v>
      </c>
      <c r="J80" s="1" t="s">
        <v>15</v>
      </c>
      <c r="K80" s="1"/>
      <c r="L80" s="1"/>
    </row>
    <row r="81" spans="1:12" x14ac:dyDescent="0.25">
      <c r="A81">
        <v>1080</v>
      </c>
      <c r="B81" s="2">
        <v>45711</v>
      </c>
      <c r="C81" s="1" t="s">
        <v>181</v>
      </c>
      <c r="D81" s="1" t="s">
        <v>17</v>
      </c>
      <c r="E81" s="1" t="s">
        <v>182</v>
      </c>
      <c r="F81">
        <v>1</v>
      </c>
      <c r="G81" s="3">
        <v>25000</v>
      </c>
      <c r="H81" s="1" t="s">
        <v>30</v>
      </c>
      <c r="I81" s="1" t="s">
        <v>31</v>
      </c>
      <c r="J81" s="1" t="s">
        <v>21</v>
      </c>
      <c r="K81" s="1"/>
      <c r="L81" s="1"/>
    </row>
    <row r="82" spans="1:12" x14ac:dyDescent="0.25">
      <c r="A82">
        <v>1081</v>
      </c>
      <c r="B82" s="2">
        <v>45712</v>
      </c>
      <c r="C82" s="1" t="s">
        <v>183</v>
      </c>
      <c r="D82" s="1" t="s">
        <v>23</v>
      </c>
      <c r="E82" s="1" t="s">
        <v>184</v>
      </c>
      <c r="F82">
        <v>2</v>
      </c>
      <c r="G82" s="3">
        <v>12000</v>
      </c>
      <c r="H82" s="1" t="s">
        <v>13</v>
      </c>
      <c r="I82" s="1" t="s">
        <v>14</v>
      </c>
      <c r="J82" s="1" t="s">
        <v>27</v>
      </c>
      <c r="K82" s="1"/>
      <c r="L82" s="1"/>
    </row>
    <row r="83" spans="1:12" x14ac:dyDescent="0.25">
      <c r="A83">
        <v>1082</v>
      </c>
      <c r="B83" s="2">
        <v>45712</v>
      </c>
      <c r="C83" s="1" t="s">
        <v>185</v>
      </c>
      <c r="D83" s="1" t="s">
        <v>11</v>
      </c>
      <c r="E83" s="1" t="s">
        <v>186</v>
      </c>
      <c r="F83">
        <v>3</v>
      </c>
      <c r="G83" s="3">
        <v>8000</v>
      </c>
      <c r="H83" s="1" t="s">
        <v>19</v>
      </c>
      <c r="I83" s="1" t="s">
        <v>20</v>
      </c>
      <c r="J83" s="1" t="s">
        <v>15</v>
      </c>
      <c r="K83" s="1"/>
      <c r="L83" s="1"/>
    </row>
    <row r="84" spans="1:12" x14ac:dyDescent="0.25">
      <c r="A84">
        <v>1083</v>
      </c>
      <c r="B84" s="2">
        <v>45713</v>
      </c>
      <c r="C84" s="1" t="s">
        <v>187</v>
      </c>
      <c r="D84" s="1" t="s">
        <v>17</v>
      </c>
      <c r="E84" s="1" t="s">
        <v>188</v>
      </c>
      <c r="F84">
        <v>1</v>
      </c>
      <c r="G84" s="3">
        <v>18000</v>
      </c>
      <c r="H84" s="1" t="s">
        <v>25</v>
      </c>
      <c r="I84" s="1" t="s">
        <v>26</v>
      </c>
      <c r="J84" s="1" t="s">
        <v>21</v>
      </c>
      <c r="K84" s="1"/>
      <c r="L84" s="1"/>
    </row>
    <row r="85" spans="1:12" x14ac:dyDescent="0.25">
      <c r="A85">
        <v>1084</v>
      </c>
      <c r="B85" s="2">
        <v>45713</v>
      </c>
      <c r="C85" s="1" t="s">
        <v>189</v>
      </c>
      <c r="D85" s="1" t="s">
        <v>23</v>
      </c>
      <c r="E85" s="1" t="s">
        <v>190</v>
      </c>
      <c r="F85">
        <v>2</v>
      </c>
      <c r="G85" s="3">
        <v>10000</v>
      </c>
      <c r="H85" s="1" t="s">
        <v>30</v>
      </c>
      <c r="I85" s="1" t="s">
        <v>31</v>
      </c>
      <c r="J85" s="1" t="s">
        <v>27</v>
      </c>
      <c r="K85" s="1"/>
      <c r="L85" s="1"/>
    </row>
    <row r="86" spans="1:12" x14ac:dyDescent="0.25">
      <c r="A86">
        <v>1085</v>
      </c>
      <c r="B86" s="2">
        <v>45714</v>
      </c>
      <c r="C86" s="1" t="s">
        <v>191</v>
      </c>
      <c r="D86" s="1" t="s">
        <v>11</v>
      </c>
      <c r="E86" s="1" t="s">
        <v>192</v>
      </c>
      <c r="F86">
        <v>1</v>
      </c>
      <c r="G86" s="3">
        <v>25000</v>
      </c>
      <c r="H86" s="1" t="s">
        <v>13</v>
      </c>
      <c r="I86" s="1" t="s">
        <v>14</v>
      </c>
      <c r="J86" s="1" t="s">
        <v>15</v>
      </c>
      <c r="K86" s="1"/>
      <c r="L86" s="1"/>
    </row>
    <row r="87" spans="1:12" x14ac:dyDescent="0.25">
      <c r="A87">
        <v>1086</v>
      </c>
      <c r="B87" s="2">
        <v>45714</v>
      </c>
      <c r="C87" s="1" t="s">
        <v>193</v>
      </c>
      <c r="D87" s="1" t="s">
        <v>17</v>
      </c>
      <c r="E87" s="1" t="s">
        <v>194</v>
      </c>
      <c r="F87">
        <v>3</v>
      </c>
      <c r="G87" s="3">
        <v>9000</v>
      </c>
      <c r="H87" s="1" t="s">
        <v>19</v>
      </c>
      <c r="I87" s="1" t="s">
        <v>20</v>
      </c>
      <c r="J87" s="1" t="s">
        <v>21</v>
      </c>
      <c r="K87" s="1"/>
      <c r="L87" s="1"/>
    </row>
    <row r="88" spans="1:12" x14ac:dyDescent="0.25">
      <c r="A88">
        <v>1087</v>
      </c>
      <c r="B88" s="2">
        <v>45715</v>
      </c>
      <c r="C88" s="1" t="s">
        <v>195</v>
      </c>
      <c r="D88" s="1" t="s">
        <v>23</v>
      </c>
      <c r="E88" s="1" t="s">
        <v>196</v>
      </c>
      <c r="F88">
        <v>5</v>
      </c>
      <c r="G88" s="3">
        <v>2000</v>
      </c>
      <c r="H88" s="1" t="s">
        <v>25</v>
      </c>
      <c r="I88" s="1" t="s">
        <v>26</v>
      </c>
      <c r="J88" s="1" t="s">
        <v>27</v>
      </c>
      <c r="K88" s="1"/>
      <c r="L88" s="1"/>
    </row>
    <row r="89" spans="1:12" x14ac:dyDescent="0.25">
      <c r="A89">
        <v>1088</v>
      </c>
      <c r="B89" s="2">
        <v>45715</v>
      </c>
      <c r="C89" s="1" t="s">
        <v>108</v>
      </c>
      <c r="D89" s="1" t="s">
        <v>11</v>
      </c>
      <c r="E89" s="1" t="s">
        <v>197</v>
      </c>
      <c r="F89">
        <v>6</v>
      </c>
      <c r="G89" s="3">
        <v>3000</v>
      </c>
      <c r="H89" s="1" t="s">
        <v>30</v>
      </c>
      <c r="I89" s="1" t="s">
        <v>31</v>
      </c>
      <c r="J89" s="1" t="s">
        <v>15</v>
      </c>
      <c r="K89" s="1"/>
      <c r="L89" s="1"/>
    </row>
    <row r="90" spans="1:12" x14ac:dyDescent="0.25">
      <c r="A90">
        <v>1089</v>
      </c>
      <c r="B90" s="2">
        <v>45716</v>
      </c>
      <c r="C90" s="1" t="s">
        <v>198</v>
      </c>
      <c r="D90" s="1" t="s">
        <v>17</v>
      </c>
      <c r="E90" s="1" t="s">
        <v>199</v>
      </c>
      <c r="F90">
        <v>4</v>
      </c>
      <c r="G90" s="3">
        <v>5000</v>
      </c>
      <c r="H90" s="1" t="s">
        <v>13</v>
      </c>
      <c r="I90" s="1" t="s">
        <v>14</v>
      </c>
      <c r="J90" s="1" t="s">
        <v>21</v>
      </c>
      <c r="K90" s="1"/>
      <c r="L90" s="1"/>
    </row>
    <row r="91" spans="1:12" x14ac:dyDescent="0.25">
      <c r="A91">
        <v>1090</v>
      </c>
      <c r="B91" s="2">
        <v>45716</v>
      </c>
      <c r="C91" s="1" t="s">
        <v>200</v>
      </c>
      <c r="D91" s="1" t="s">
        <v>23</v>
      </c>
      <c r="E91" s="1" t="s">
        <v>201</v>
      </c>
      <c r="F91">
        <v>2</v>
      </c>
      <c r="G91" s="3">
        <v>15000</v>
      </c>
      <c r="H91" s="1" t="s">
        <v>19</v>
      </c>
      <c r="I91" s="1" t="s">
        <v>20</v>
      </c>
      <c r="J91" s="1" t="s">
        <v>27</v>
      </c>
      <c r="K91" s="1"/>
      <c r="L91" s="1"/>
    </row>
    <row r="92" spans="1:12" x14ac:dyDescent="0.25">
      <c r="A92">
        <v>1091</v>
      </c>
      <c r="B92" s="2">
        <v>45717</v>
      </c>
      <c r="C92" s="1" t="s">
        <v>202</v>
      </c>
      <c r="D92" s="1" t="s">
        <v>11</v>
      </c>
      <c r="E92" s="1" t="s">
        <v>203</v>
      </c>
      <c r="F92">
        <v>5</v>
      </c>
      <c r="G92" s="3">
        <v>4000</v>
      </c>
      <c r="H92" s="1" t="s">
        <v>25</v>
      </c>
      <c r="I92" s="1" t="s">
        <v>26</v>
      </c>
      <c r="J92" s="1" t="s">
        <v>15</v>
      </c>
      <c r="K92" s="1"/>
      <c r="L92" s="1"/>
    </row>
    <row r="93" spans="1:12" x14ac:dyDescent="0.25">
      <c r="A93">
        <v>1092</v>
      </c>
      <c r="B93" s="2">
        <v>45717</v>
      </c>
      <c r="C93" s="1" t="s">
        <v>204</v>
      </c>
      <c r="D93" s="1" t="s">
        <v>17</v>
      </c>
      <c r="E93" s="1" t="s">
        <v>205</v>
      </c>
      <c r="F93">
        <v>2</v>
      </c>
      <c r="G93" s="3">
        <v>6000</v>
      </c>
      <c r="H93" s="1" t="s">
        <v>30</v>
      </c>
      <c r="I93" s="1" t="s">
        <v>31</v>
      </c>
      <c r="J93" s="1" t="s">
        <v>21</v>
      </c>
      <c r="K93" s="1"/>
      <c r="L93" s="1"/>
    </row>
    <row r="94" spans="1:12" x14ac:dyDescent="0.25">
      <c r="A94">
        <v>1093</v>
      </c>
      <c r="B94" s="2">
        <v>45718</v>
      </c>
      <c r="C94" s="1" t="s">
        <v>206</v>
      </c>
      <c r="D94" s="1" t="s">
        <v>23</v>
      </c>
      <c r="E94" s="1" t="s">
        <v>207</v>
      </c>
      <c r="F94">
        <v>1</v>
      </c>
      <c r="G94" s="3">
        <v>18000</v>
      </c>
      <c r="H94" s="1" t="s">
        <v>13</v>
      </c>
      <c r="I94" s="1" t="s">
        <v>14</v>
      </c>
      <c r="J94" s="1" t="s">
        <v>27</v>
      </c>
      <c r="K94" s="1"/>
      <c r="L94" s="1"/>
    </row>
    <row r="95" spans="1:12" x14ac:dyDescent="0.25">
      <c r="A95">
        <v>1094</v>
      </c>
      <c r="B95" s="2">
        <v>45718</v>
      </c>
      <c r="C95" s="1" t="s">
        <v>191</v>
      </c>
      <c r="D95" s="1" t="s">
        <v>11</v>
      </c>
      <c r="E95" s="1" t="s">
        <v>208</v>
      </c>
      <c r="F95">
        <v>1</v>
      </c>
      <c r="G95" s="3">
        <v>22000</v>
      </c>
      <c r="H95" s="1" t="s">
        <v>19</v>
      </c>
      <c r="I95" s="1" t="s">
        <v>20</v>
      </c>
      <c r="J95" s="1" t="s">
        <v>15</v>
      </c>
      <c r="K95" s="1"/>
      <c r="L95" s="1"/>
    </row>
    <row r="96" spans="1:12" x14ac:dyDescent="0.25">
      <c r="A96">
        <v>1095</v>
      </c>
      <c r="B96" s="2">
        <v>45719</v>
      </c>
      <c r="C96" s="1" t="s">
        <v>209</v>
      </c>
      <c r="D96" s="1" t="s">
        <v>17</v>
      </c>
      <c r="E96" s="1" t="s">
        <v>210</v>
      </c>
      <c r="F96">
        <v>2</v>
      </c>
      <c r="G96" s="3">
        <v>25000</v>
      </c>
      <c r="H96" s="1" t="s">
        <v>25</v>
      </c>
      <c r="I96" s="1" t="s">
        <v>26</v>
      </c>
      <c r="J96" s="1" t="s">
        <v>21</v>
      </c>
      <c r="K96" s="1"/>
      <c r="L96" s="1"/>
    </row>
    <row r="97" spans="1:12" x14ac:dyDescent="0.25">
      <c r="A97">
        <v>1096</v>
      </c>
      <c r="B97" s="2">
        <v>45719</v>
      </c>
      <c r="C97" s="1" t="s">
        <v>130</v>
      </c>
      <c r="D97" s="1" t="s">
        <v>23</v>
      </c>
      <c r="E97" s="1" t="s">
        <v>211</v>
      </c>
      <c r="F97">
        <v>3</v>
      </c>
      <c r="G97" s="3">
        <v>15000</v>
      </c>
      <c r="H97" s="1" t="s">
        <v>30</v>
      </c>
      <c r="I97" s="1" t="s">
        <v>31</v>
      </c>
      <c r="J97" s="1" t="s">
        <v>27</v>
      </c>
      <c r="K97" s="1"/>
      <c r="L97" s="1"/>
    </row>
    <row r="98" spans="1:12" x14ac:dyDescent="0.25">
      <c r="A98">
        <v>1097</v>
      </c>
      <c r="B98" s="2">
        <v>45720</v>
      </c>
      <c r="C98" s="1" t="s">
        <v>160</v>
      </c>
      <c r="D98" s="1" t="s">
        <v>11</v>
      </c>
      <c r="E98" s="1" t="s">
        <v>212</v>
      </c>
      <c r="F98">
        <v>4</v>
      </c>
      <c r="G98" s="3">
        <v>3000</v>
      </c>
      <c r="H98" s="1" t="s">
        <v>13</v>
      </c>
      <c r="I98" s="1" t="s">
        <v>14</v>
      </c>
      <c r="J98" s="1" t="s">
        <v>15</v>
      </c>
      <c r="K98" s="1"/>
      <c r="L98" s="1"/>
    </row>
    <row r="99" spans="1:12" x14ac:dyDescent="0.25">
      <c r="A99">
        <v>1098</v>
      </c>
      <c r="B99" s="2">
        <v>45720</v>
      </c>
      <c r="C99" s="1" t="s">
        <v>181</v>
      </c>
      <c r="D99" s="1" t="s">
        <v>17</v>
      </c>
      <c r="E99" s="1" t="s">
        <v>213</v>
      </c>
      <c r="F99">
        <v>2</v>
      </c>
      <c r="G99" s="3">
        <v>8000</v>
      </c>
      <c r="H99" s="1" t="s">
        <v>19</v>
      </c>
      <c r="I99" s="1" t="s">
        <v>20</v>
      </c>
      <c r="J99" s="1" t="s">
        <v>21</v>
      </c>
      <c r="K99" s="1"/>
      <c r="L99" s="1"/>
    </row>
    <row r="100" spans="1:12" x14ac:dyDescent="0.25">
      <c r="A100">
        <v>1099</v>
      </c>
      <c r="B100" s="2">
        <v>45721</v>
      </c>
      <c r="C100" s="1" t="s">
        <v>183</v>
      </c>
      <c r="D100" s="1" t="s">
        <v>23</v>
      </c>
      <c r="E100" s="1" t="s">
        <v>214</v>
      </c>
      <c r="F100">
        <v>1</v>
      </c>
      <c r="G100" s="3">
        <v>25000</v>
      </c>
      <c r="H100" s="1" t="s">
        <v>25</v>
      </c>
      <c r="I100" s="1" t="s">
        <v>26</v>
      </c>
      <c r="J100" s="1" t="s">
        <v>27</v>
      </c>
      <c r="K100" s="1"/>
      <c r="L100" s="1"/>
    </row>
    <row r="101" spans="1:12" x14ac:dyDescent="0.25">
      <c r="A101">
        <v>1100</v>
      </c>
      <c r="B101" s="2">
        <v>45721</v>
      </c>
      <c r="C101" s="1" t="s">
        <v>185</v>
      </c>
      <c r="D101" s="1" t="s">
        <v>11</v>
      </c>
      <c r="E101" s="1" t="s">
        <v>215</v>
      </c>
      <c r="F101">
        <v>1</v>
      </c>
      <c r="G101" s="3">
        <v>85000</v>
      </c>
      <c r="H101" s="1" t="s">
        <v>30</v>
      </c>
      <c r="I101" s="1" t="s">
        <v>31</v>
      </c>
      <c r="J101" s="1" t="s">
        <v>15</v>
      </c>
      <c r="K101" s="1"/>
      <c r="L101" s="1"/>
    </row>
    <row r="102" spans="1:12" x14ac:dyDescent="0.25">
      <c r="A102">
        <v>1101</v>
      </c>
      <c r="B102" s="2">
        <v>45673</v>
      </c>
      <c r="C102" s="1" t="s">
        <v>216</v>
      </c>
      <c r="D102" s="1" t="s">
        <v>11</v>
      </c>
      <c r="E102" s="1" t="s">
        <v>217</v>
      </c>
      <c r="F102">
        <v>2</v>
      </c>
      <c r="G102" s="3">
        <v>35000</v>
      </c>
      <c r="H102" s="1" t="s">
        <v>13</v>
      </c>
      <c r="I102" s="1" t="s">
        <v>14</v>
      </c>
      <c r="J102" s="1" t="s">
        <v>15</v>
      </c>
      <c r="K102" s="1"/>
      <c r="L102" s="1"/>
    </row>
    <row r="103" spans="1:12" x14ac:dyDescent="0.25">
      <c r="A103">
        <v>1102</v>
      </c>
      <c r="B103" s="2">
        <v>45674</v>
      </c>
      <c r="C103" s="1" t="s">
        <v>218</v>
      </c>
      <c r="D103" s="1" t="s">
        <v>17</v>
      </c>
      <c r="E103" s="1" t="s">
        <v>219</v>
      </c>
      <c r="F103">
        <v>1</v>
      </c>
      <c r="G103" s="3">
        <v>28000</v>
      </c>
      <c r="H103" s="1" t="s">
        <v>19</v>
      </c>
      <c r="I103" s="1" t="s">
        <v>20</v>
      </c>
      <c r="J103" s="1" t="s">
        <v>21</v>
      </c>
      <c r="K103" s="1"/>
      <c r="L103" s="1"/>
    </row>
    <row r="104" spans="1:12" x14ac:dyDescent="0.25">
      <c r="A104">
        <v>1103</v>
      </c>
      <c r="B104" s="2">
        <v>45675</v>
      </c>
      <c r="C104" s="1" t="s">
        <v>220</v>
      </c>
      <c r="D104" s="1" t="s">
        <v>23</v>
      </c>
      <c r="E104" s="1" t="s">
        <v>221</v>
      </c>
      <c r="F104">
        <v>3</v>
      </c>
      <c r="G104" s="3">
        <v>12000</v>
      </c>
      <c r="H104" s="1" t="s">
        <v>25</v>
      </c>
      <c r="I104" s="1" t="s">
        <v>26</v>
      </c>
      <c r="J104" s="1" t="s">
        <v>27</v>
      </c>
      <c r="K104" s="1"/>
      <c r="L104" s="1"/>
    </row>
    <row r="105" spans="1:12" x14ac:dyDescent="0.25">
      <c r="A105">
        <v>1104</v>
      </c>
      <c r="B105" s="2">
        <v>45676</v>
      </c>
      <c r="C105" s="1" t="s">
        <v>222</v>
      </c>
      <c r="D105" s="1" t="s">
        <v>11</v>
      </c>
      <c r="E105" s="1" t="s">
        <v>223</v>
      </c>
      <c r="F105">
        <v>5</v>
      </c>
      <c r="G105" s="3">
        <v>4000</v>
      </c>
      <c r="H105" s="1" t="s">
        <v>30</v>
      </c>
      <c r="I105" s="1" t="s">
        <v>31</v>
      </c>
      <c r="J105" s="1" t="s">
        <v>15</v>
      </c>
      <c r="K105" s="1"/>
      <c r="L105" s="1"/>
    </row>
    <row r="106" spans="1:12" x14ac:dyDescent="0.25">
      <c r="A106">
        <v>1105</v>
      </c>
      <c r="B106" s="2">
        <v>45677</v>
      </c>
      <c r="C106" s="1" t="s">
        <v>224</v>
      </c>
      <c r="D106" s="1" t="s">
        <v>17</v>
      </c>
      <c r="E106" s="1" t="s">
        <v>225</v>
      </c>
      <c r="F106">
        <v>2</v>
      </c>
      <c r="G106" s="3">
        <v>22000</v>
      </c>
      <c r="H106" s="1" t="s">
        <v>13</v>
      </c>
      <c r="I106" s="1" t="s">
        <v>14</v>
      </c>
      <c r="J106" s="1" t="s">
        <v>21</v>
      </c>
      <c r="K106" s="1"/>
      <c r="L106" s="1"/>
    </row>
    <row r="107" spans="1:12" x14ac:dyDescent="0.25">
      <c r="A107">
        <v>1106</v>
      </c>
      <c r="B107" s="2">
        <v>45678</v>
      </c>
      <c r="C107" s="1" t="s">
        <v>226</v>
      </c>
      <c r="D107" s="1" t="s">
        <v>23</v>
      </c>
      <c r="E107" s="1" t="s">
        <v>227</v>
      </c>
      <c r="F107">
        <v>4</v>
      </c>
      <c r="G107" s="3">
        <v>18000</v>
      </c>
      <c r="H107" s="1" t="s">
        <v>19</v>
      </c>
      <c r="I107" s="1" t="s">
        <v>20</v>
      </c>
      <c r="J107" s="1" t="s">
        <v>27</v>
      </c>
      <c r="K107" s="1"/>
      <c r="L107" s="1"/>
    </row>
    <row r="108" spans="1:12" x14ac:dyDescent="0.25">
      <c r="A108">
        <v>1107</v>
      </c>
      <c r="B108" s="2">
        <v>45679</v>
      </c>
      <c r="C108" s="1" t="s">
        <v>228</v>
      </c>
      <c r="D108" s="1" t="s">
        <v>11</v>
      </c>
      <c r="E108" s="1" t="s">
        <v>229</v>
      </c>
      <c r="F108">
        <v>3</v>
      </c>
      <c r="G108" s="3">
        <v>8000</v>
      </c>
      <c r="H108" s="1" t="s">
        <v>25</v>
      </c>
      <c r="I108" s="1" t="s">
        <v>26</v>
      </c>
      <c r="J108" s="1" t="s">
        <v>15</v>
      </c>
      <c r="K108" s="1"/>
      <c r="L108" s="1"/>
    </row>
    <row r="109" spans="1:12" x14ac:dyDescent="0.25">
      <c r="A109">
        <v>1108</v>
      </c>
      <c r="B109" s="2">
        <v>45680</v>
      </c>
      <c r="C109" s="1" t="s">
        <v>230</v>
      </c>
      <c r="D109" s="1" t="s">
        <v>17</v>
      </c>
      <c r="E109" s="1" t="s">
        <v>231</v>
      </c>
      <c r="F109">
        <v>1</v>
      </c>
      <c r="G109" s="3">
        <v>15000</v>
      </c>
      <c r="H109" s="1" t="s">
        <v>30</v>
      </c>
      <c r="I109" s="1" t="s">
        <v>31</v>
      </c>
      <c r="J109" s="1" t="s">
        <v>21</v>
      </c>
      <c r="K109" s="1"/>
      <c r="L109" s="1"/>
    </row>
    <row r="110" spans="1:12" x14ac:dyDescent="0.25">
      <c r="A110">
        <v>1109</v>
      </c>
      <c r="B110" s="2">
        <v>45681</v>
      </c>
      <c r="C110" s="1" t="s">
        <v>232</v>
      </c>
      <c r="D110" s="1" t="s">
        <v>23</v>
      </c>
      <c r="E110" s="1" t="s">
        <v>233</v>
      </c>
      <c r="F110">
        <v>1</v>
      </c>
      <c r="G110" s="3">
        <v>55000</v>
      </c>
      <c r="H110" s="1" t="s">
        <v>13</v>
      </c>
      <c r="I110" s="1" t="s">
        <v>14</v>
      </c>
      <c r="J110" s="1" t="s">
        <v>27</v>
      </c>
      <c r="K110" s="1"/>
      <c r="L110" s="1"/>
    </row>
    <row r="111" spans="1:12" x14ac:dyDescent="0.25">
      <c r="A111">
        <v>1110</v>
      </c>
      <c r="B111" s="2">
        <v>45682</v>
      </c>
      <c r="C111" s="1" t="s">
        <v>234</v>
      </c>
      <c r="D111" s="1" t="s">
        <v>11</v>
      </c>
      <c r="E111" s="1" t="s">
        <v>235</v>
      </c>
      <c r="F111">
        <v>10</v>
      </c>
      <c r="G111" s="3">
        <v>1500</v>
      </c>
      <c r="H111" s="1" t="s">
        <v>19</v>
      </c>
      <c r="I111" s="1" t="s">
        <v>20</v>
      </c>
      <c r="J111" s="1" t="s">
        <v>15</v>
      </c>
      <c r="K111" s="1"/>
      <c r="L111" s="1"/>
    </row>
    <row r="112" spans="1:12" x14ac:dyDescent="0.25">
      <c r="A112">
        <v>1111</v>
      </c>
      <c r="B112" s="2">
        <v>45683</v>
      </c>
      <c r="C112" s="1" t="s">
        <v>236</v>
      </c>
      <c r="D112" s="1" t="s">
        <v>17</v>
      </c>
      <c r="E112" s="1" t="s">
        <v>237</v>
      </c>
      <c r="F112">
        <v>1</v>
      </c>
      <c r="G112" s="3">
        <v>45000</v>
      </c>
      <c r="H112" s="1" t="s">
        <v>25</v>
      </c>
      <c r="I112" s="1" t="s">
        <v>26</v>
      </c>
      <c r="J112" s="1" t="s">
        <v>21</v>
      </c>
      <c r="K112" s="1"/>
      <c r="L112" s="1"/>
    </row>
    <row r="113" spans="1:12" x14ac:dyDescent="0.25">
      <c r="A113">
        <v>1112</v>
      </c>
      <c r="B113" s="2">
        <v>45684</v>
      </c>
      <c r="C113" s="1" t="s">
        <v>238</v>
      </c>
      <c r="D113" s="1" t="s">
        <v>23</v>
      </c>
      <c r="E113" s="1" t="s">
        <v>239</v>
      </c>
      <c r="F113">
        <v>1</v>
      </c>
      <c r="G113" s="3">
        <v>35000</v>
      </c>
      <c r="H113" s="1" t="s">
        <v>30</v>
      </c>
      <c r="I113" s="1" t="s">
        <v>31</v>
      </c>
      <c r="J113" s="1" t="s">
        <v>27</v>
      </c>
      <c r="K113" s="1"/>
      <c r="L113" s="1"/>
    </row>
    <row r="114" spans="1:12" x14ac:dyDescent="0.25">
      <c r="A114">
        <v>1113</v>
      </c>
      <c r="B114" s="2">
        <v>45685</v>
      </c>
      <c r="C114" s="1" t="s">
        <v>240</v>
      </c>
      <c r="D114" s="1" t="s">
        <v>11</v>
      </c>
      <c r="E114" s="1" t="s">
        <v>241</v>
      </c>
      <c r="F114">
        <v>2</v>
      </c>
      <c r="G114" s="3">
        <v>25000</v>
      </c>
      <c r="H114" s="1" t="s">
        <v>13</v>
      </c>
      <c r="I114" s="1" t="s">
        <v>14</v>
      </c>
      <c r="J114" s="1" t="s">
        <v>15</v>
      </c>
      <c r="K114" s="1"/>
      <c r="L114" s="1"/>
    </row>
    <row r="115" spans="1:12" x14ac:dyDescent="0.25">
      <c r="A115">
        <v>1114</v>
      </c>
      <c r="B115" s="2">
        <v>45686</v>
      </c>
      <c r="C115" s="1" t="s">
        <v>242</v>
      </c>
      <c r="D115" s="1" t="s">
        <v>17</v>
      </c>
      <c r="E115" s="1" t="s">
        <v>243</v>
      </c>
      <c r="F115">
        <v>3</v>
      </c>
      <c r="G115" s="3">
        <v>12000</v>
      </c>
      <c r="H115" s="1" t="s">
        <v>19</v>
      </c>
      <c r="I115" s="1" t="s">
        <v>20</v>
      </c>
      <c r="J115" s="1" t="s">
        <v>21</v>
      </c>
      <c r="K115" s="1"/>
      <c r="L115" s="1"/>
    </row>
    <row r="116" spans="1:12" x14ac:dyDescent="0.25">
      <c r="A116">
        <v>1115</v>
      </c>
      <c r="B116" s="2">
        <v>45687</v>
      </c>
      <c r="C116" s="1" t="s">
        <v>244</v>
      </c>
      <c r="D116" s="1" t="s">
        <v>23</v>
      </c>
      <c r="E116" s="1" t="s">
        <v>245</v>
      </c>
      <c r="F116">
        <v>1</v>
      </c>
      <c r="G116" s="3">
        <v>65000</v>
      </c>
      <c r="H116" s="1" t="s">
        <v>25</v>
      </c>
      <c r="I116" s="1" t="s">
        <v>26</v>
      </c>
      <c r="J116" s="1" t="s">
        <v>27</v>
      </c>
      <c r="K116" s="1"/>
      <c r="L116" s="1"/>
    </row>
    <row r="117" spans="1:12" x14ac:dyDescent="0.25">
      <c r="A117">
        <v>1116</v>
      </c>
      <c r="B117" s="2">
        <v>45688</v>
      </c>
      <c r="C117" s="1" t="s">
        <v>246</v>
      </c>
      <c r="D117" s="1" t="s">
        <v>11</v>
      </c>
      <c r="E117" s="1" t="s">
        <v>247</v>
      </c>
      <c r="F117">
        <v>1</v>
      </c>
      <c r="G117" s="3">
        <v>75000</v>
      </c>
      <c r="H117" s="1" t="s">
        <v>30</v>
      </c>
      <c r="I117" s="1" t="s">
        <v>31</v>
      </c>
      <c r="J117" s="1" t="s">
        <v>15</v>
      </c>
      <c r="K117" s="1"/>
      <c r="L117" s="1"/>
    </row>
    <row r="118" spans="1:12" x14ac:dyDescent="0.25">
      <c r="A118">
        <v>1117</v>
      </c>
      <c r="B118" s="2">
        <v>45689</v>
      </c>
      <c r="C118" s="1" t="s">
        <v>248</v>
      </c>
      <c r="D118" s="1" t="s">
        <v>17</v>
      </c>
      <c r="E118" s="1" t="s">
        <v>249</v>
      </c>
      <c r="F118">
        <v>2</v>
      </c>
      <c r="G118" s="3">
        <v>20000</v>
      </c>
      <c r="H118" s="1" t="s">
        <v>13</v>
      </c>
      <c r="I118" s="1" t="s">
        <v>14</v>
      </c>
      <c r="J118" s="1" t="s">
        <v>21</v>
      </c>
      <c r="K118" s="1"/>
      <c r="L118" s="1"/>
    </row>
    <row r="119" spans="1:12" x14ac:dyDescent="0.25">
      <c r="A119">
        <v>1118</v>
      </c>
      <c r="B119" s="2">
        <v>45690</v>
      </c>
      <c r="C119" s="1" t="s">
        <v>250</v>
      </c>
      <c r="D119" s="1" t="s">
        <v>23</v>
      </c>
      <c r="E119" s="1" t="s">
        <v>251</v>
      </c>
      <c r="F119">
        <v>3</v>
      </c>
      <c r="G119" s="3">
        <v>8000</v>
      </c>
      <c r="H119" s="1" t="s">
        <v>19</v>
      </c>
      <c r="I119" s="1" t="s">
        <v>20</v>
      </c>
      <c r="J119" s="1" t="s">
        <v>27</v>
      </c>
      <c r="K119" s="1"/>
      <c r="L119" s="1"/>
    </row>
    <row r="120" spans="1:12" x14ac:dyDescent="0.25">
      <c r="A120">
        <v>1119</v>
      </c>
      <c r="B120" s="2">
        <v>45691</v>
      </c>
      <c r="C120" s="1" t="s">
        <v>252</v>
      </c>
      <c r="D120" s="1" t="s">
        <v>11</v>
      </c>
      <c r="E120" s="1" t="s">
        <v>253</v>
      </c>
      <c r="F120">
        <v>4</v>
      </c>
      <c r="G120" s="3">
        <v>4000</v>
      </c>
      <c r="H120" s="1" t="s">
        <v>25</v>
      </c>
      <c r="I120" s="1" t="s">
        <v>26</v>
      </c>
      <c r="J120" s="1" t="s">
        <v>15</v>
      </c>
      <c r="K120" s="1"/>
      <c r="L120" s="1"/>
    </row>
    <row r="121" spans="1:12" x14ac:dyDescent="0.25">
      <c r="A121">
        <v>1120</v>
      </c>
      <c r="B121" s="2">
        <v>45692</v>
      </c>
      <c r="C121" s="1" t="s">
        <v>254</v>
      </c>
      <c r="D121" s="1" t="s">
        <v>17</v>
      </c>
      <c r="E121" s="1" t="s">
        <v>255</v>
      </c>
      <c r="F121">
        <v>2</v>
      </c>
      <c r="G121" s="3">
        <v>15000</v>
      </c>
      <c r="H121" s="1" t="s">
        <v>30</v>
      </c>
      <c r="I121" s="1" t="s">
        <v>31</v>
      </c>
      <c r="J121" s="1" t="s">
        <v>21</v>
      </c>
      <c r="K121" s="1"/>
      <c r="L121" s="1"/>
    </row>
    <row r="122" spans="1:12" x14ac:dyDescent="0.25">
      <c r="A122">
        <v>1121</v>
      </c>
      <c r="B122" s="2">
        <v>45693</v>
      </c>
      <c r="C122" s="1" t="s">
        <v>256</v>
      </c>
      <c r="D122" s="1" t="s">
        <v>23</v>
      </c>
      <c r="E122" s="1" t="s">
        <v>257</v>
      </c>
      <c r="F122">
        <v>1</v>
      </c>
      <c r="G122" s="3">
        <v>18000</v>
      </c>
      <c r="H122" s="1" t="s">
        <v>13</v>
      </c>
      <c r="I122" s="1" t="s">
        <v>14</v>
      </c>
      <c r="J122" s="1" t="s">
        <v>27</v>
      </c>
      <c r="K122" s="1"/>
      <c r="L122" s="1"/>
    </row>
    <row r="123" spans="1:12" x14ac:dyDescent="0.25">
      <c r="A123">
        <v>1122</v>
      </c>
      <c r="B123" s="2">
        <v>45694</v>
      </c>
      <c r="C123" s="1" t="s">
        <v>258</v>
      </c>
      <c r="D123" s="1" t="s">
        <v>11</v>
      </c>
      <c r="E123" s="1" t="s">
        <v>259</v>
      </c>
      <c r="F123">
        <v>1</v>
      </c>
      <c r="G123" s="3">
        <v>12000</v>
      </c>
      <c r="H123" s="1" t="s">
        <v>19</v>
      </c>
      <c r="I123" s="1" t="s">
        <v>20</v>
      </c>
      <c r="J123" s="1" t="s">
        <v>15</v>
      </c>
      <c r="K123" s="1"/>
      <c r="L123" s="1"/>
    </row>
    <row r="124" spans="1:12" x14ac:dyDescent="0.25">
      <c r="A124">
        <v>1123</v>
      </c>
      <c r="B124" s="2">
        <v>45695</v>
      </c>
      <c r="C124" s="1" t="s">
        <v>260</v>
      </c>
      <c r="D124" s="1" t="s">
        <v>17</v>
      </c>
      <c r="E124" s="1" t="s">
        <v>261</v>
      </c>
      <c r="F124">
        <v>3</v>
      </c>
      <c r="G124" s="3">
        <v>18000</v>
      </c>
      <c r="H124" s="1" t="s">
        <v>25</v>
      </c>
      <c r="I124" s="1" t="s">
        <v>26</v>
      </c>
      <c r="J124" s="1" t="s">
        <v>21</v>
      </c>
      <c r="K124" s="1"/>
      <c r="L124" s="1"/>
    </row>
    <row r="125" spans="1:12" x14ac:dyDescent="0.25">
      <c r="A125">
        <v>1124</v>
      </c>
      <c r="B125" s="2">
        <v>45696</v>
      </c>
      <c r="C125" s="1" t="s">
        <v>262</v>
      </c>
      <c r="D125" s="1" t="s">
        <v>23</v>
      </c>
      <c r="E125" s="1" t="s">
        <v>263</v>
      </c>
      <c r="F125">
        <v>2</v>
      </c>
      <c r="G125" s="3">
        <v>10000</v>
      </c>
      <c r="H125" s="1" t="s">
        <v>30</v>
      </c>
      <c r="I125" s="1" t="s">
        <v>31</v>
      </c>
      <c r="J125" s="1" t="s">
        <v>27</v>
      </c>
      <c r="K125" s="1"/>
      <c r="L125" s="1"/>
    </row>
    <row r="126" spans="1:12" x14ac:dyDescent="0.25">
      <c r="A126">
        <v>1125</v>
      </c>
      <c r="B126" s="2">
        <v>45697</v>
      </c>
      <c r="C126" s="1" t="s">
        <v>264</v>
      </c>
      <c r="D126" s="1" t="s">
        <v>11</v>
      </c>
      <c r="E126" s="1" t="s">
        <v>265</v>
      </c>
      <c r="F126">
        <v>5</v>
      </c>
      <c r="G126" s="3">
        <v>3000</v>
      </c>
      <c r="H126" s="1" t="s">
        <v>13</v>
      </c>
      <c r="I126" s="1" t="s">
        <v>14</v>
      </c>
      <c r="J126" s="1" t="s">
        <v>15</v>
      </c>
      <c r="K126" s="1"/>
      <c r="L126" s="1"/>
    </row>
    <row r="127" spans="1:12" x14ac:dyDescent="0.25">
      <c r="A127">
        <v>1126</v>
      </c>
      <c r="B127" s="2">
        <v>45698</v>
      </c>
      <c r="C127" s="1" t="s">
        <v>266</v>
      </c>
      <c r="D127" s="1" t="s">
        <v>17</v>
      </c>
      <c r="E127" s="1" t="s">
        <v>267</v>
      </c>
      <c r="F127">
        <v>1</v>
      </c>
      <c r="G127" s="3">
        <v>55000</v>
      </c>
      <c r="H127" s="1" t="s">
        <v>19</v>
      </c>
      <c r="I127" s="1" t="s">
        <v>20</v>
      </c>
      <c r="J127" s="1" t="s">
        <v>21</v>
      </c>
      <c r="K127" s="1"/>
      <c r="L127" s="1"/>
    </row>
    <row r="128" spans="1:12" x14ac:dyDescent="0.25">
      <c r="A128">
        <v>1127</v>
      </c>
      <c r="B128" s="2">
        <v>45699</v>
      </c>
      <c r="C128" s="1" t="s">
        <v>268</v>
      </c>
      <c r="D128" s="1" t="s">
        <v>23</v>
      </c>
      <c r="E128" s="1" t="s">
        <v>269</v>
      </c>
      <c r="F128">
        <v>1</v>
      </c>
      <c r="G128" s="3">
        <v>22000</v>
      </c>
      <c r="H128" s="1" t="s">
        <v>25</v>
      </c>
      <c r="I128" s="1" t="s">
        <v>26</v>
      </c>
      <c r="J128" s="1" t="s">
        <v>27</v>
      </c>
      <c r="K128" s="1"/>
      <c r="L128" s="1"/>
    </row>
    <row r="129" spans="1:12" x14ac:dyDescent="0.25">
      <c r="A129">
        <v>1128</v>
      </c>
      <c r="B129" s="2">
        <v>45700</v>
      </c>
      <c r="C129" s="1" t="s">
        <v>270</v>
      </c>
      <c r="D129" s="1" t="s">
        <v>11</v>
      </c>
      <c r="E129" s="1" t="s">
        <v>271</v>
      </c>
      <c r="F129">
        <v>3</v>
      </c>
      <c r="G129" s="3">
        <v>10000</v>
      </c>
      <c r="H129" s="1" t="s">
        <v>30</v>
      </c>
      <c r="I129" s="1" t="s">
        <v>31</v>
      </c>
      <c r="J129" s="1" t="s">
        <v>15</v>
      </c>
      <c r="K129" s="1"/>
      <c r="L129" s="1"/>
    </row>
    <row r="130" spans="1:12" x14ac:dyDescent="0.25">
      <c r="A130">
        <v>1129</v>
      </c>
      <c r="B130" s="2">
        <v>45701</v>
      </c>
      <c r="C130" s="1" t="s">
        <v>272</v>
      </c>
      <c r="D130" s="1" t="s">
        <v>17</v>
      </c>
      <c r="E130" s="1" t="s">
        <v>273</v>
      </c>
      <c r="F130">
        <v>3</v>
      </c>
      <c r="G130" s="3">
        <v>12000</v>
      </c>
      <c r="H130" s="1" t="s">
        <v>13</v>
      </c>
      <c r="I130" s="1" t="s">
        <v>14</v>
      </c>
      <c r="J130" s="1" t="s">
        <v>21</v>
      </c>
      <c r="K130" s="1"/>
      <c r="L130" s="1"/>
    </row>
    <row r="131" spans="1:12" x14ac:dyDescent="0.25">
      <c r="A131">
        <v>1130</v>
      </c>
      <c r="B131" s="2">
        <v>45702</v>
      </c>
      <c r="C131" s="1" t="s">
        <v>274</v>
      </c>
      <c r="D131" s="1" t="s">
        <v>23</v>
      </c>
      <c r="E131" s="1" t="s">
        <v>275</v>
      </c>
      <c r="F131">
        <v>2</v>
      </c>
      <c r="G131" s="3">
        <v>8000</v>
      </c>
      <c r="H131" s="1" t="s">
        <v>19</v>
      </c>
      <c r="I131" s="1" t="s">
        <v>20</v>
      </c>
      <c r="J131" s="1" t="s">
        <v>27</v>
      </c>
      <c r="K131" s="1"/>
      <c r="L131" s="1"/>
    </row>
    <row r="132" spans="1:12" x14ac:dyDescent="0.25">
      <c r="A132">
        <v>1131</v>
      </c>
      <c r="B132" s="2">
        <v>45703</v>
      </c>
      <c r="C132" s="1" t="s">
        <v>276</v>
      </c>
      <c r="D132" s="1" t="s">
        <v>11</v>
      </c>
      <c r="E132" s="1" t="s">
        <v>277</v>
      </c>
      <c r="F132">
        <v>2</v>
      </c>
      <c r="G132" s="3">
        <v>15000</v>
      </c>
      <c r="H132" s="1" t="s">
        <v>25</v>
      </c>
      <c r="I132" s="1" t="s">
        <v>26</v>
      </c>
      <c r="J132" s="1" t="s">
        <v>15</v>
      </c>
      <c r="K132" s="1"/>
      <c r="L132" s="1"/>
    </row>
    <row r="133" spans="1:12" x14ac:dyDescent="0.25">
      <c r="A133">
        <v>1132</v>
      </c>
      <c r="B133" s="2">
        <v>45704</v>
      </c>
      <c r="C133" s="1" t="s">
        <v>278</v>
      </c>
      <c r="D133" s="1" t="s">
        <v>17</v>
      </c>
      <c r="E133" s="1" t="s">
        <v>279</v>
      </c>
      <c r="F133">
        <v>1</v>
      </c>
      <c r="G133" s="3">
        <v>65000</v>
      </c>
      <c r="H133" s="1" t="s">
        <v>30</v>
      </c>
      <c r="I133" s="1" t="s">
        <v>31</v>
      </c>
      <c r="J133" s="1" t="s">
        <v>21</v>
      </c>
      <c r="K133" s="1"/>
      <c r="L133" s="1"/>
    </row>
    <row r="134" spans="1:12" x14ac:dyDescent="0.25">
      <c r="A134">
        <v>1133</v>
      </c>
      <c r="B134" s="2">
        <v>45705</v>
      </c>
      <c r="C134" s="1" t="s">
        <v>280</v>
      </c>
      <c r="D134" s="1" t="s">
        <v>23</v>
      </c>
      <c r="E134" s="1" t="s">
        <v>281</v>
      </c>
      <c r="F134">
        <v>3</v>
      </c>
      <c r="G134" s="3">
        <v>7000</v>
      </c>
      <c r="H134" s="1" t="s">
        <v>13</v>
      </c>
      <c r="I134" s="1" t="s">
        <v>14</v>
      </c>
      <c r="J134" s="1" t="s">
        <v>27</v>
      </c>
      <c r="K134" s="1"/>
      <c r="L134" s="1"/>
    </row>
    <row r="135" spans="1:12" x14ac:dyDescent="0.25">
      <c r="A135">
        <v>1134</v>
      </c>
      <c r="B135" s="2">
        <v>45706</v>
      </c>
      <c r="C135" s="1" t="s">
        <v>282</v>
      </c>
      <c r="D135" s="1" t="s">
        <v>11</v>
      </c>
      <c r="E135" s="1" t="s">
        <v>283</v>
      </c>
      <c r="F135">
        <v>2</v>
      </c>
      <c r="G135" s="3">
        <v>18000</v>
      </c>
      <c r="H135" s="1" t="s">
        <v>19</v>
      </c>
      <c r="I135" s="1" t="s">
        <v>20</v>
      </c>
      <c r="J135" s="1" t="s">
        <v>15</v>
      </c>
      <c r="K135" s="1"/>
      <c r="L135" s="1"/>
    </row>
    <row r="136" spans="1:12" x14ac:dyDescent="0.25">
      <c r="A136">
        <v>1135</v>
      </c>
      <c r="B136" s="2">
        <v>45707</v>
      </c>
      <c r="C136" s="1" t="s">
        <v>284</v>
      </c>
      <c r="D136" s="1" t="s">
        <v>17</v>
      </c>
      <c r="E136" s="1" t="s">
        <v>285</v>
      </c>
      <c r="F136">
        <v>4</v>
      </c>
      <c r="G136" s="3">
        <v>6000</v>
      </c>
      <c r="H136" s="1" t="s">
        <v>25</v>
      </c>
      <c r="I136" s="1" t="s">
        <v>26</v>
      </c>
      <c r="J136" s="1" t="s">
        <v>21</v>
      </c>
      <c r="K136" s="1"/>
      <c r="L136" s="1"/>
    </row>
    <row r="137" spans="1:12" x14ac:dyDescent="0.25">
      <c r="A137">
        <v>1136</v>
      </c>
      <c r="B137" s="2">
        <v>45708</v>
      </c>
      <c r="C137" s="1" t="s">
        <v>286</v>
      </c>
      <c r="D137" s="1" t="s">
        <v>23</v>
      </c>
      <c r="E137" s="1" t="s">
        <v>287</v>
      </c>
      <c r="F137">
        <v>1</v>
      </c>
      <c r="G137" s="3">
        <v>12000</v>
      </c>
      <c r="H137" s="1" t="s">
        <v>30</v>
      </c>
      <c r="I137" s="1" t="s">
        <v>31</v>
      </c>
      <c r="J137" s="1" t="s">
        <v>27</v>
      </c>
      <c r="K137" s="1"/>
      <c r="L137" s="1"/>
    </row>
    <row r="138" spans="1:12" x14ac:dyDescent="0.25">
      <c r="A138">
        <v>1137</v>
      </c>
      <c r="B138" s="2">
        <v>45709</v>
      </c>
      <c r="C138" s="1" t="s">
        <v>288</v>
      </c>
      <c r="D138" s="1" t="s">
        <v>11</v>
      </c>
      <c r="E138" s="1" t="s">
        <v>289</v>
      </c>
      <c r="F138">
        <v>1</v>
      </c>
      <c r="G138" s="3">
        <v>45000</v>
      </c>
      <c r="H138" s="1" t="s">
        <v>13</v>
      </c>
      <c r="I138" s="1" t="s">
        <v>14</v>
      </c>
      <c r="J138" s="1" t="s">
        <v>15</v>
      </c>
      <c r="K138" s="1"/>
      <c r="L138" s="1"/>
    </row>
    <row r="139" spans="1:12" x14ac:dyDescent="0.25">
      <c r="A139">
        <v>1138</v>
      </c>
      <c r="B139" s="2">
        <v>45710</v>
      </c>
      <c r="C139" s="1" t="s">
        <v>290</v>
      </c>
      <c r="D139" s="1" t="s">
        <v>17</v>
      </c>
      <c r="E139" s="1" t="s">
        <v>291</v>
      </c>
      <c r="F139">
        <v>4</v>
      </c>
      <c r="G139" s="3">
        <v>8000</v>
      </c>
      <c r="H139" s="1" t="s">
        <v>19</v>
      </c>
      <c r="I139" s="1" t="s">
        <v>20</v>
      </c>
      <c r="J139" s="1" t="s">
        <v>21</v>
      </c>
      <c r="K139" s="1"/>
      <c r="L139" s="1"/>
    </row>
    <row r="140" spans="1:12" x14ac:dyDescent="0.25">
      <c r="A140">
        <v>1139</v>
      </c>
      <c r="B140" s="2">
        <v>45711</v>
      </c>
      <c r="C140" s="1" t="s">
        <v>292</v>
      </c>
      <c r="D140" s="1" t="s">
        <v>23</v>
      </c>
      <c r="E140" s="1" t="s">
        <v>293</v>
      </c>
      <c r="F140">
        <v>3</v>
      </c>
      <c r="G140" s="3">
        <v>5000</v>
      </c>
      <c r="H140" s="1" t="s">
        <v>25</v>
      </c>
      <c r="I140" s="1" t="s">
        <v>26</v>
      </c>
      <c r="J140" s="1" t="s">
        <v>27</v>
      </c>
      <c r="K140" s="1"/>
      <c r="L140" s="1"/>
    </row>
    <row r="141" spans="1:12" x14ac:dyDescent="0.25">
      <c r="A141">
        <v>1140</v>
      </c>
      <c r="B141" s="2">
        <v>45712</v>
      </c>
      <c r="C141" s="1" t="s">
        <v>294</v>
      </c>
      <c r="D141" s="1" t="s">
        <v>11</v>
      </c>
      <c r="E141" s="1" t="s">
        <v>295</v>
      </c>
      <c r="F141">
        <v>1</v>
      </c>
      <c r="G141" s="3">
        <v>20000</v>
      </c>
      <c r="H141" s="1" t="s">
        <v>30</v>
      </c>
      <c r="I141" s="1" t="s">
        <v>31</v>
      </c>
      <c r="J141" s="1" t="s">
        <v>15</v>
      </c>
      <c r="K141" s="1"/>
      <c r="L141" s="1"/>
    </row>
    <row r="142" spans="1:12" x14ac:dyDescent="0.25">
      <c r="A142">
        <v>1141</v>
      </c>
      <c r="B142" s="2">
        <v>45713</v>
      </c>
      <c r="C142" s="1" t="s">
        <v>296</v>
      </c>
      <c r="D142" s="1" t="s">
        <v>17</v>
      </c>
      <c r="E142" s="1" t="s">
        <v>297</v>
      </c>
      <c r="F142">
        <v>2</v>
      </c>
      <c r="G142" s="3">
        <v>15000</v>
      </c>
      <c r="H142" s="1" t="s">
        <v>13</v>
      </c>
      <c r="I142" s="1" t="s">
        <v>14</v>
      </c>
      <c r="J142" s="1" t="s">
        <v>21</v>
      </c>
      <c r="K142" s="1"/>
      <c r="L142" s="1"/>
    </row>
    <row r="143" spans="1:12" x14ac:dyDescent="0.25">
      <c r="A143">
        <v>1142</v>
      </c>
      <c r="B143" s="2">
        <v>45714</v>
      </c>
      <c r="C143" s="1" t="s">
        <v>298</v>
      </c>
      <c r="D143" s="1" t="s">
        <v>23</v>
      </c>
      <c r="E143" s="1" t="s">
        <v>299</v>
      </c>
      <c r="F143">
        <v>1</v>
      </c>
      <c r="G143" s="3">
        <v>10000</v>
      </c>
      <c r="H143" s="1" t="s">
        <v>19</v>
      </c>
      <c r="I143" s="1" t="s">
        <v>20</v>
      </c>
      <c r="J143" s="1" t="s">
        <v>27</v>
      </c>
      <c r="K143" s="1"/>
      <c r="L143" s="1"/>
    </row>
    <row r="144" spans="1:12" x14ac:dyDescent="0.25">
      <c r="A144">
        <v>1143</v>
      </c>
      <c r="B144" s="2">
        <v>45715</v>
      </c>
      <c r="C144" s="1" t="s">
        <v>300</v>
      </c>
      <c r="D144" s="1" t="s">
        <v>11</v>
      </c>
      <c r="E144" s="1" t="s">
        <v>301</v>
      </c>
      <c r="F144">
        <v>4</v>
      </c>
      <c r="G144" s="3">
        <v>6000</v>
      </c>
      <c r="H144" s="1" t="s">
        <v>25</v>
      </c>
      <c r="I144" s="1" t="s">
        <v>26</v>
      </c>
      <c r="J144" s="1" t="s">
        <v>15</v>
      </c>
      <c r="K144" s="1"/>
      <c r="L144" s="1"/>
    </row>
    <row r="145" spans="1:12" x14ac:dyDescent="0.25">
      <c r="A145">
        <v>1144</v>
      </c>
      <c r="B145" s="2">
        <v>45716</v>
      </c>
      <c r="C145" s="1" t="s">
        <v>302</v>
      </c>
      <c r="D145" s="1" t="s">
        <v>17</v>
      </c>
      <c r="E145" s="1" t="s">
        <v>303</v>
      </c>
      <c r="F145">
        <v>5</v>
      </c>
      <c r="G145" s="3">
        <v>3000</v>
      </c>
      <c r="H145" s="1" t="s">
        <v>30</v>
      </c>
      <c r="I145" s="1" t="s">
        <v>31</v>
      </c>
      <c r="J145" s="1" t="s">
        <v>21</v>
      </c>
      <c r="K145" s="1"/>
      <c r="L145" s="1"/>
    </row>
    <row r="146" spans="1:12" x14ac:dyDescent="0.25">
      <c r="A146">
        <v>1145</v>
      </c>
      <c r="B146" s="2">
        <v>45717</v>
      </c>
      <c r="C146" s="1" t="s">
        <v>304</v>
      </c>
      <c r="D146" s="1" t="s">
        <v>23</v>
      </c>
      <c r="E146" s="1" t="s">
        <v>305</v>
      </c>
      <c r="F146">
        <v>3</v>
      </c>
      <c r="G146" s="3">
        <v>4000</v>
      </c>
      <c r="H146" s="1" t="s">
        <v>13</v>
      </c>
      <c r="I146" s="1" t="s">
        <v>14</v>
      </c>
      <c r="J146" s="1" t="s">
        <v>27</v>
      </c>
      <c r="K146" s="1"/>
      <c r="L146" s="1"/>
    </row>
    <row r="147" spans="1:12" x14ac:dyDescent="0.25">
      <c r="A147">
        <v>1146</v>
      </c>
      <c r="B147" s="2">
        <v>45718</v>
      </c>
      <c r="C147" s="1" t="s">
        <v>306</v>
      </c>
      <c r="D147" s="1" t="s">
        <v>11</v>
      </c>
      <c r="E147" s="1" t="s">
        <v>307</v>
      </c>
      <c r="F147">
        <v>8</v>
      </c>
      <c r="G147" s="3">
        <v>2000</v>
      </c>
      <c r="H147" s="1" t="s">
        <v>19</v>
      </c>
      <c r="I147" s="1" t="s">
        <v>20</v>
      </c>
      <c r="J147" s="1" t="s">
        <v>15</v>
      </c>
      <c r="K147" s="1"/>
      <c r="L147" s="1"/>
    </row>
    <row r="148" spans="1:12" x14ac:dyDescent="0.25">
      <c r="A148">
        <v>1147</v>
      </c>
      <c r="B148" s="2">
        <v>45719</v>
      </c>
      <c r="C148" s="1" t="s">
        <v>308</v>
      </c>
      <c r="D148" s="1" t="s">
        <v>17</v>
      </c>
      <c r="E148" s="1" t="s">
        <v>309</v>
      </c>
      <c r="F148">
        <v>4</v>
      </c>
      <c r="G148" s="3">
        <v>5000</v>
      </c>
      <c r="H148" s="1" t="s">
        <v>25</v>
      </c>
      <c r="I148" s="1" t="s">
        <v>26</v>
      </c>
      <c r="J148" s="1" t="s">
        <v>21</v>
      </c>
      <c r="K148" s="1"/>
      <c r="L148" s="1"/>
    </row>
    <row r="149" spans="1:12" x14ac:dyDescent="0.25">
      <c r="A149">
        <v>1148</v>
      </c>
      <c r="B149" s="2">
        <v>45720</v>
      </c>
      <c r="C149" s="1" t="s">
        <v>310</v>
      </c>
      <c r="D149" s="1" t="s">
        <v>23</v>
      </c>
      <c r="E149" s="1" t="s">
        <v>311</v>
      </c>
      <c r="F149">
        <v>6</v>
      </c>
      <c r="G149" s="3">
        <v>3000</v>
      </c>
      <c r="H149" s="1" t="s">
        <v>30</v>
      </c>
      <c r="I149" s="1" t="s">
        <v>31</v>
      </c>
      <c r="J149" s="1" t="s">
        <v>27</v>
      </c>
      <c r="K149" s="1"/>
      <c r="L149" s="1"/>
    </row>
    <row r="150" spans="1:12" x14ac:dyDescent="0.25">
      <c r="A150">
        <v>1149</v>
      </c>
      <c r="B150" s="2">
        <v>45721</v>
      </c>
      <c r="C150" s="1" t="s">
        <v>312</v>
      </c>
      <c r="D150" s="1" t="s">
        <v>11</v>
      </c>
      <c r="E150" s="1" t="s">
        <v>313</v>
      </c>
      <c r="F150">
        <v>3</v>
      </c>
      <c r="G150" s="3">
        <v>7000</v>
      </c>
      <c r="H150" s="1" t="s">
        <v>13</v>
      </c>
      <c r="I150" s="1" t="s">
        <v>14</v>
      </c>
      <c r="J150" s="1" t="s">
        <v>15</v>
      </c>
      <c r="K150" s="1"/>
      <c r="L150" s="1"/>
    </row>
    <row r="151" spans="1:12" x14ac:dyDescent="0.25">
      <c r="A151">
        <v>1150</v>
      </c>
      <c r="B151" s="2">
        <v>45677</v>
      </c>
      <c r="C151" s="1" t="s">
        <v>314</v>
      </c>
      <c r="D151" s="1" t="s">
        <v>17</v>
      </c>
      <c r="E151" s="1" t="s">
        <v>315</v>
      </c>
      <c r="F151">
        <v>10</v>
      </c>
      <c r="G151" s="3">
        <v>2000</v>
      </c>
      <c r="H151" s="1" t="s">
        <v>19</v>
      </c>
      <c r="I151" s="1" t="s">
        <v>20</v>
      </c>
      <c r="J151" s="1" t="s">
        <v>21</v>
      </c>
      <c r="K151" s="1"/>
      <c r="L151" s="1"/>
    </row>
    <row r="152" spans="1:12" x14ac:dyDescent="0.25">
      <c r="A152">
        <v>1151</v>
      </c>
      <c r="B152" s="2">
        <v>45678</v>
      </c>
      <c r="C152" s="1" t="s">
        <v>316</v>
      </c>
      <c r="D152" s="1" t="s">
        <v>23</v>
      </c>
      <c r="E152" s="1" t="s">
        <v>317</v>
      </c>
      <c r="F152">
        <v>4</v>
      </c>
      <c r="G152" s="3">
        <v>5000</v>
      </c>
      <c r="H152" s="1" t="s">
        <v>25</v>
      </c>
      <c r="I152" s="1" t="s">
        <v>26</v>
      </c>
      <c r="J152" s="1" t="s">
        <v>27</v>
      </c>
      <c r="K152" s="1"/>
      <c r="L152" s="1"/>
    </row>
    <row r="153" spans="1:12" x14ac:dyDescent="0.25">
      <c r="A153">
        <v>1152</v>
      </c>
      <c r="B153" s="2">
        <v>45679</v>
      </c>
      <c r="C153" s="1" t="s">
        <v>318</v>
      </c>
      <c r="D153" s="1" t="s">
        <v>11</v>
      </c>
      <c r="E153" s="1" t="s">
        <v>319</v>
      </c>
      <c r="F153">
        <v>2</v>
      </c>
      <c r="G153" s="3">
        <v>8000</v>
      </c>
      <c r="H153" s="1" t="s">
        <v>30</v>
      </c>
      <c r="I153" s="1" t="s">
        <v>31</v>
      </c>
      <c r="J153" s="1" t="s">
        <v>15</v>
      </c>
      <c r="K153" s="1"/>
      <c r="L153" s="1"/>
    </row>
    <row r="154" spans="1:12" x14ac:dyDescent="0.25">
      <c r="A154">
        <v>1153</v>
      </c>
      <c r="B154" s="2">
        <v>45680</v>
      </c>
      <c r="C154" s="1" t="s">
        <v>320</v>
      </c>
      <c r="D154" s="1" t="s">
        <v>17</v>
      </c>
      <c r="E154" s="1" t="s">
        <v>321</v>
      </c>
      <c r="F154">
        <v>3</v>
      </c>
      <c r="G154" s="3">
        <v>7000</v>
      </c>
      <c r="H154" s="1" t="s">
        <v>13</v>
      </c>
      <c r="I154" s="1" t="s">
        <v>14</v>
      </c>
      <c r="J154" s="1" t="s">
        <v>21</v>
      </c>
      <c r="K154" s="1"/>
      <c r="L154" s="1"/>
    </row>
    <row r="155" spans="1:12" x14ac:dyDescent="0.25">
      <c r="A155">
        <v>1154</v>
      </c>
      <c r="B155" s="2">
        <v>45681</v>
      </c>
      <c r="C155" s="1" t="s">
        <v>322</v>
      </c>
      <c r="D155" s="1" t="s">
        <v>23</v>
      </c>
      <c r="E155" s="1" t="s">
        <v>323</v>
      </c>
      <c r="F155">
        <v>1</v>
      </c>
      <c r="G155" s="3">
        <v>12000</v>
      </c>
      <c r="H155" s="1" t="s">
        <v>19</v>
      </c>
      <c r="I155" s="1" t="s">
        <v>20</v>
      </c>
      <c r="J155" s="1" t="s">
        <v>27</v>
      </c>
      <c r="K155" s="1"/>
      <c r="L155" s="1"/>
    </row>
    <row r="156" spans="1:12" x14ac:dyDescent="0.25">
      <c r="A156">
        <v>1155</v>
      </c>
      <c r="B156" s="2">
        <v>45682</v>
      </c>
      <c r="C156" s="1" t="s">
        <v>324</v>
      </c>
      <c r="D156" s="1" t="s">
        <v>11</v>
      </c>
      <c r="E156" s="1" t="s">
        <v>325</v>
      </c>
      <c r="F156">
        <v>1</v>
      </c>
      <c r="G156" s="3">
        <v>85000</v>
      </c>
      <c r="H156" s="1" t="s">
        <v>25</v>
      </c>
      <c r="I156" s="1" t="s">
        <v>26</v>
      </c>
      <c r="J156" s="1" t="s">
        <v>15</v>
      </c>
      <c r="K156" s="1"/>
      <c r="L156" s="1"/>
    </row>
    <row r="157" spans="1:12" x14ac:dyDescent="0.25">
      <c r="A157">
        <v>1156</v>
      </c>
      <c r="B157" s="2">
        <v>45683</v>
      </c>
      <c r="C157" s="1" t="s">
        <v>326</v>
      </c>
      <c r="D157" s="1" t="s">
        <v>17</v>
      </c>
      <c r="E157" s="1" t="s">
        <v>327</v>
      </c>
      <c r="F157">
        <v>2</v>
      </c>
      <c r="G157" s="3">
        <v>15000</v>
      </c>
      <c r="H157" s="1" t="s">
        <v>30</v>
      </c>
      <c r="I157" s="1" t="s">
        <v>31</v>
      </c>
      <c r="J157" s="1" t="s">
        <v>21</v>
      </c>
      <c r="K157" s="1"/>
      <c r="L157" s="1"/>
    </row>
    <row r="158" spans="1:12" x14ac:dyDescent="0.25">
      <c r="A158">
        <v>1157</v>
      </c>
      <c r="B158" s="2">
        <v>45684</v>
      </c>
      <c r="C158" s="1" t="s">
        <v>328</v>
      </c>
      <c r="D158" s="1" t="s">
        <v>23</v>
      </c>
      <c r="E158" s="1" t="s">
        <v>329</v>
      </c>
      <c r="F158">
        <v>4</v>
      </c>
      <c r="G158" s="3">
        <v>6000</v>
      </c>
      <c r="H158" s="1" t="s">
        <v>13</v>
      </c>
      <c r="I158" s="1" t="s">
        <v>14</v>
      </c>
      <c r="J158" s="1" t="s">
        <v>27</v>
      </c>
      <c r="K158" s="1"/>
      <c r="L158" s="1"/>
    </row>
    <row r="159" spans="1:12" x14ac:dyDescent="0.25">
      <c r="A159">
        <v>1158</v>
      </c>
      <c r="B159" s="2">
        <v>45685</v>
      </c>
      <c r="C159" s="1" t="s">
        <v>330</v>
      </c>
      <c r="D159" s="1" t="s">
        <v>11</v>
      </c>
      <c r="E159" s="1" t="s">
        <v>331</v>
      </c>
      <c r="F159">
        <v>1</v>
      </c>
      <c r="G159" s="3">
        <v>35000</v>
      </c>
      <c r="H159" s="1" t="s">
        <v>19</v>
      </c>
      <c r="I159" s="1" t="s">
        <v>20</v>
      </c>
      <c r="J159" s="1" t="s">
        <v>15</v>
      </c>
      <c r="K159" s="1"/>
      <c r="L159" s="1"/>
    </row>
    <row r="160" spans="1:12" x14ac:dyDescent="0.25">
      <c r="A160">
        <v>1159</v>
      </c>
      <c r="B160" s="2">
        <v>45686</v>
      </c>
      <c r="C160" s="1" t="s">
        <v>332</v>
      </c>
      <c r="D160" s="1" t="s">
        <v>17</v>
      </c>
      <c r="E160" s="1" t="s">
        <v>333</v>
      </c>
      <c r="F160">
        <v>2</v>
      </c>
      <c r="G160" s="3">
        <v>10000</v>
      </c>
      <c r="H160" s="1" t="s">
        <v>25</v>
      </c>
      <c r="I160" s="1" t="s">
        <v>26</v>
      </c>
      <c r="J160" s="1" t="s">
        <v>21</v>
      </c>
      <c r="K160" s="1"/>
      <c r="L160" s="1"/>
    </row>
    <row r="161" spans="1:12" x14ac:dyDescent="0.25">
      <c r="A161">
        <v>1160</v>
      </c>
      <c r="B161" s="2">
        <v>45687</v>
      </c>
      <c r="C161" s="1" t="s">
        <v>334</v>
      </c>
      <c r="D161" s="1" t="s">
        <v>23</v>
      </c>
      <c r="E161" s="1" t="s">
        <v>335</v>
      </c>
      <c r="F161">
        <v>2</v>
      </c>
      <c r="G161" s="3">
        <v>15000</v>
      </c>
      <c r="H161" s="1" t="s">
        <v>30</v>
      </c>
      <c r="I161" s="1" t="s">
        <v>31</v>
      </c>
      <c r="J161" s="1" t="s">
        <v>27</v>
      </c>
      <c r="K161" s="1"/>
      <c r="L161" s="1"/>
    </row>
    <row r="162" spans="1:12" x14ac:dyDescent="0.25">
      <c r="A162">
        <v>1161</v>
      </c>
      <c r="B162" s="2">
        <v>45688</v>
      </c>
      <c r="C162" s="1" t="s">
        <v>336</v>
      </c>
      <c r="D162" s="1" t="s">
        <v>11</v>
      </c>
      <c r="E162" s="1" t="s">
        <v>337</v>
      </c>
      <c r="F162">
        <v>3</v>
      </c>
      <c r="G162" s="3">
        <v>8000</v>
      </c>
      <c r="H162" s="1" t="s">
        <v>13</v>
      </c>
      <c r="I162" s="1" t="s">
        <v>14</v>
      </c>
      <c r="J162" s="1" t="s">
        <v>15</v>
      </c>
      <c r="K162" s="1"/>
      <c r="L162" s="1"/>
    </row>
    <row r="163" spans="1:12" x14ac:dyDescent="0.25">
      <c r="A163">
        <v>1162</v>
      </c>
      <c r="B163" s="2">
        <v>45689</v>
      </c>
      <c r="C163" s="1" t="s">
        <v>338</v>
      </c>
      <c r="D163" s="1" t="s">
        <v>17</v>
      </c>
      <c r="E163" s="1" t="s">
        <v>339</v>
      </c>
      <c r="F163">
        <v>1</v>
      </c>
      <c r="G163" s="3">
        <v>12000</v>
      </c>
      <c r="H163" s="1" t="s">
        <v>19</v>
      </c>
      <c r="I163" s="1" t="s">
        <v>20</v>
      </c>
      <c r="J163" s="1" t="s">
        <v>21</v>
      </c>
      <c r="K163" s="1"/>
      <c r="L163" s="1"/>
    </row>
    <row r="164" spans="1:12" x14ac:dyDescent="0.25">
      <c r="A164">
        <v>1163</v>
      </c>
      <c r="B164" s="2">
        <v>45690</v>
      </c>
      <c r="C164" s="1" t="s">
        <v>340</v>
      </c>
      <c r="D164" s="1" t="s">
        <v>23</v>
      </c>
      <c r="E164" s="1" t="s">
        <v>341</v>
      </c>
      <c r="F164">
        <v>4</v>
      </c>
      <c r="G164" s="3">
        <v>4000</v>
      </c>
      <c r="H164" s="1" t="s">
        <v>25</v>
      </c>
      <c r="I164" s="1" t="s">
        <v>26</v>
      </c>
      <c r="J164" s="1" t="s">
        <v>27</v>
      </c>
      <c r="K164" s="1"/>
      <c r="L164" s="1"/>
    </row>
    <row r="165" spans="1:12" x14ac:dyDescent="0.25">
      <c r="A165">
        <v>1164</v>
      </c>
      <c r="B165" s="2">
        <v>45691</v>
      </c>
      <c r="C165" s="1" t="s">
        <v>342</v>
      </c>
      <c r="D165" s="1" t="s">
        <v>11</v>
      </c>
      <c r="E165" s="1" t="s">
        <v>343</v>
      </c>
      <c r="F165">
        <v>2</v>
      </c>
      <c r="G165" s="3">
        <v>9000</v>
      </c>
      <c r="H165" s="1" t="s">
        <v>30</v>
      </c>
      <c r="I165" s="1" t="s">
        <v>31</v>
      </c>
      <c r="J165" s="1" t="s">
        <v>15</v>
      </c>
      <c r="K165" s="1"/>
      <c r="L165" s="1"/>
    </row>
    <row r="166" spans="1:12" x14ac:dyDescent="0.25">
      <c r="A166">
        <v>1165</v>
      </c>
      <c r="B166" s="2">
        <v>45692</v>
      </c>
      <c r="C166" s="1" t="s">
        <v>344</v>
      </c>
      <c r="D166" s="1" t="s">
        <v>17</v>
      </c>
      <c r="E166" s="1" t="s">
        <v>345</v>
      </c>
      <c r="F166">
        <v>2</v>
      </c>
      <c r="G166" s="3">
        <v>8000</v>
      </c>
      <c r="H166" s="1" t="s">
        <v>13</v>
      </c>
      <c r="I166" s="1" t="s">
        <v>14</v>
      </c>
      <c r="J166" s="1" t="s">
        <v>21</v>
      </c>
      <c r="K166" s="1"/>
      <c r="L166" s="1"/>
    </row>
    <row r="167" spans="1:12" x14ac:dyDescent="0.25">
      <c r="A167">
        <v>1166</v>
      </c>
      <c r="B167" s="2">
        <v>45693</v>
      </c>
      <c r="C167" s="1" t="s">
        <v>346</v>
      </c>
      <c r="D167" s="1" t="s">
        <v>23</v>
      </c>
      <c r="E167" s="1" t="s">
        <v>347</v>
      </c>
      <c r="F167">
        <v>1</v>
      </c>
      <c r="G167" s="3">
        <v>45000</v>
      </c>
      <c r="H167" s="1" t="s">
        <v>19</v>
      </c>
      <c r="I167" s="1" t="s">
        <v>20</v>
      </c>
      <c r="J167" s="1" t="s">
        <v>27</v>
      </c>
      <c r="K167" s="1"/>
      <c r="L167" s="1"/>
    </row>
    <row r="168" spans="1:12" x14ac:dyDescent="0.25">
      <c r="A168">
        <v>1167</v>
      </c>
      <c r="B168" s="2">
        <v>45694</v>
      </c>
      <c r="C168" s="1" t="s">
        <v>348</v>
      </c>
      <c r="D168" s="1" t="s">
        <v>11</v>
      </c>
      <c r="E168" s="1" t="s">
        <v>349</v>
      </c>
      <c r="F168">
        <v>1</v>
      </c>
      <c r="G168" s="3">
        <v>15000</v>
      </c>
      <c r="H168" s="1" t="s">
        <v>25</v>
      </c>
      <c r="I168" s="1" t="s">
        <v>26</v>
      </c>
      <c r="J168" s="1" t="s">
        <v>15</v>
      </c>
      <c r="K168" s="1"/>
      <c r="L168" s="1"/>
    </row>
    <row r="169" spans="1:12" x14ac:dyDescent="0.25">
      <c r="A169">
        <v>1168</v>
      </c>
      <c r="B169" s="2">
        <v>45695</v>
      </c>
      <c r="C169" s="1" t="s">
        <v>350</v>
      </c>
      <c r="D169" s="1" t="s">
        <v>17</v>
      </c>
      <c r="E169" s="1" t="s">
        <v>351</v>
      </c>
      <c r="F169">
        <v>1</v>
      </c>
      <c r="G169" s="3">
        <v>18000</v>
      </c>
      <c r="H169" s="1" t="s">
        <v>30</v>
      </c>
      <c r="I169" s="1" t="s">
        <v>31</v>
      </c>
      <c r="J169" s="1" t="s">
        <v>21</v>
      </c>
      <c r="K169" s="1"/>
      <c r="L169" s="1"/>
    </row>
    <row r="170" spans="1:12" x14ac:dyDescent="0.25">
      <c r="A170">
        <v>1169</v>
      </c>
      <c r="B170" s="2">
        <v>45696</v>
      </c>
      <c r="C170" s="1" t="s">
        <v>352</v>
      </c>
      <c r="D170" s="1" t="s">
        <v>23</v>
      </c>
      <c r="E170" s="1" t="s">
        <v>353</v>
      </c>
      <c r="F170">
        <v>1</v>
      </c>
      <c r="G170" s="3">
        <v>25000</v>
      </c>
      <c r="H170" s="1" t="s">
        <v>13</v>
      </c>
      <c r="I170" s="1" t="s">
        <v>14</v>
      </c>
      <c r="J170" s="1" t="s">
        <v>27</v>
      </c>
      <c r="K170" s="1"/>
      <c r="L170" s="1"/>
    </row>
    <row r="171" spans="1:12" x14ac:dyDescent="0.25">
      <c r="A171">
        <v>1170</v>
      </c>
      <c r="B171" s="2">
        <v>45697</v>
      </c>
      <c r="C171" s="1" t="s">
        <v>354</v>
      </c>
      <c r="D171" s="1" t="s">
        <v>11</v>
      </c>
      <c r="E171" s="1" t="s">
        <v>355</v>
      </c>
      <c r="F171">
        <v>2</v>
      </c>
      <c r="G171" s="3">
        <v>8000</v>
      </c>
      <c r="H171" s="1" t="s">
        <v>19</v>
      </c>
      <c r="I171" s="1" t="s">
        <v>20</v>
      </c>
      <c r="J171" s="1" t="s">
        <v>15</v>
      </c>
      <c r="K171" s="1"/>
      <c r="L171" s="1"/>
    </row>
    <row r="172" spans="1:12" x14ac:dyDescent="0.25">
      <c r="A172">
        <v>1171</v>
      </c>
      <c r="B172" s="2">
        <v>45698</v>
      </c>
      <c r="C172" s="1" t="s">
        <v>356</v>
      </c>
      <c r="D172" s="1" t="s">
        <v>17</v>
      </c>
      <c r="E172" s="1" t="s">
        <v>357</v>
      </c>
      <c r="F172">
        <v>3</v>
      </c>
      <c r="G172" s="3">
        <v>5000</v>
      </c>
      <c r="H172" s="1" t="s">
        <v>25</v>
      </c>
      <c r="I172" s="1" t="s">
        <v>26</v>
      </c>
      <c r="J172" s="1" t="s">
        <v>21</v>
      </c>
      <c r="K172" s="1"/>
      <c r="L172" s="1"/>
    </row>
    <row r="173" spans="1:12" x14ac:dyDescent="0.25">
      <c r="A173">
        <v>1172</v>
      </c>
      <c r="B173" s="2">
        <v>45699</v>
      </c>
      <c r="C173" s="1" t="s">
        <v>358</v>
      </c>
      <c r="D173" s="1" t="s">
        <v>23</v>
      </c>
      <c r="E173" s="1" t="s">
        <v>359</v>
      </c>
      <c r="F173">
        <v>1</v>
      </c>
      <c r="G173" s="3">
        <v>20000</v>
      </c>
      <c r="H173" s="1" t="s">
        <v>30</v>
      </c>
      <c r="I173" s="1" t="s">
        <v>31</v>
      </c>
      <c r="J173" s="1" t="s">
        <v>27</v>
      </c>
      <c r="K173" s="1"/>
      <c r="L173" s="1"/>
    </row>
    <row r="174" spans="1:12" x14ac:dyDescent="0.25">
      <c r="A174">
        <v>1173</v>
      </c>
      <c r="B174" s="2">
        <v>45700</v>
      </c>
      <c r="C174" s="1" t="s">
        <v>360</v>
      </c>
      <c r="D174" s="1" t="s">
        <v>11</v>
      </c>
      <c r="E174" s="1" t="s">
        <v>361</v>
      </c>
      <c r="F174">
        <v>1</v>
      </c>
      <c r="G174" s="3">
        <v>25000</v>
      </c>
      <c r="H174" s="1" t="s">
        <v>13</v>
      </c>
      <c r="I174" s="1" t="s">
        <v>14</v>
      </c>
      <c r="J174" s="1" t="s">
        <v>15</v>
      </c>
      <c r="K174" s="1"/>
      <c r="L174" s="1"/>
    </row>
    <row r="175" spans="1:12" x14ac:dyDescent="0.25">
      <c r="A175">
        <v>1174</v>
      </c>
      <c r="B175" s="2">
        <v>45701</v>
      </c>
      <c r="C175" s="1" t="s">
        <v>362</v>
      </c>
      <c r="D175" s="1" t="s">
        <v>17</v>
      </c>
      <c r="E175" s="1" t="s">
        <v>363</v>
      </c>
      <c r="F175">
        <v>2</v>
      </c>
      <c r="G175" s="3">
        <v>10000</v>
      </c>
      <c r="H175" s="1" t="s">
        <v>19</v>
      </c>
      <c r="I175" s="1" t="s">
        <v>20</v>
      </c>
      <c r="J175" s="1" t="s">
        <v>21</v>
      </c>
      <c r="K175" s="1"/>
      <c r="L175" s="1"/>
    </row>
    <row r="176" spans="1:12" x14ac:dyDescent="0.25">
      <c r="A176">
        <v>1175</v>
      </c>
      <c r="B176" s="2">
        <v>45702</v>
      </c>
      <c r="C176" s="1" t="s">
        <v>364</v>
      </c>
      <c r="D176" s="1" t="s">
        <v>23</v>
      </c>
      <c r="E176" s="1" t="s">
        <v>365</v>
      </c>
      <c r="F176">
        <v>1</v>
      </c>
      <c r="G176" s="3">
        <v>85000</v>
      </c>
      <c r="H176" s="1" t="s">
        <v>25</v>
      </c>
      <c r="I176" s="1" t="s">
        <v>26</v>
      </c>
      <c r="J176" s="1" t="s">
        <v>27</v>
      </c>
      <c r="K176" s="1"/>
      <c r="L176" s="1"/>
    </row>
    <row r="177" spans="1:12" x14ac:dyDescent="0.25">
      <c r="A177">
        <v>1176</v>
      </c>
      <c r="B177" s="2">
        <v>45703</v>
      </c>
      <c r="C177" s="1" t="s">
        <v>366</v>
      </c>
      <c r="D177" s="1" t="s">
        <v>11</v>
      </c>
      <c r="E177" s="1" t="s">
        <v>367</v>
      </c>
      <c r="F177">
        <v>3</v>
      </c>
      <c r="G177" s="3">
        <v>5000</v>
      </c>
      <c r="H177" s="1" t="s">
        <v>30</v>
      </c>
      <c r="I177" s="1" t="s">
        <v>31</v>
      </c>
      <c r="J177" s="1" t="s">
        <v>15</v>
      </c>
      <c r="K177" s="1"/>
      <c r="L177" s="1"/>
    </row>
    <row r="178" spans="1:12" x14ac:dyDescent="0.25">
      <c r="A178">
        <v>1177</v>
      </c>
      <c r="B178" s="2">
        <v>45704</v>
      </c>
      <c r="C178" s="1" t="s">
        <v>368</v>
      </c>
      <c r="D178" s="1" t="s">
        <v>17</v>
      </c>
      <c r="E178" s="1" t="s">
        <v>369</v>
      </c>
      <c r="F178">
        <v>6</v>
      </c>
      <c r="G178" s="3">
        <v>2000</v>
      </c>
      <c r="H178" s="1" t="s">
        <v>13</v>
      </c>
      <c r="I178" s="1" t="s">
        <v>14</v>
      </c>
      <c r="J178" s="1" t="s">
        <v>21</v>
      </c>
      <c r="K178" s="1"/>
      <c r="L178" s="1"/>
    </row>
    <row r="179" spans="1:12" x14ac:dyDescent="0.25">
      <c r="A179">
        <v>1178</v>
      </c>
      <c r="B179" s="2">
        <v>45705</v>
      </c>
      <c r="C179" s="1" t="s">
        <v>370</v>
      </c>
      <c r="D179" s="1" t="s">
        <v>23</v>
      </c>
      <c r="E179" s="1" t="s">
        <v>371</v>
      </c>
      <c r="F179">
        <v>8</v>
      </c>
      <c r="G179" s="3">
        <v>1500</v>
      </c>
      <c r="H179" s="1" t="s">
        <v>19</v>
      </c>
      <c r="I179" s="1" t="s">
        <v>20</v>
      </c>
      <c r="J179" s="1" t="s">
        <v>27</v>
      </c>
      <c r="K179" s="1"/>
      <c r="L179" s="1"/>
    </row>
    <row r="180" spans="1:12" x14ac:dyDescent="0.25">
      <c r="A180">
        <v>1179</v>
      </c>
      <c r="B180" s="2">
        <v>45706</v>
      </c>
      <c r="C180" s="1" t="s">
        <v>372</v>
      </c>
      <c r="D180" s="1" t="s">
        <v>11</v>
      </c>
      <c r="E180" s="1" t="s">
        <v>373</v>
      </c>
      <c r="F180">
        <v>4</v>
      </c>
      <c r="G180" s="3">
        <v>3000</v>
      </c>
      <c r="H180" s="1" t="s">
        <v>25</v>
      </c>
      <c r="I180" s="1" t="s">
        <v>26</v>
      </c>
      <c r="J180" s="1" t="s">
        <v>15</v>
      </c>
      <c r="K180" s="1"/>
      <c r="L180" s="1"/>
    </row>
    <row r="181" spans="1:12" x14ac:dyDescent="0.25">
      <c r="A181">
        <v>1180</v>
      </c>
      <c r="B181" s="2">
        <v>45707</v>
      </c>
      <c r="C181" s="1" t="s">
        <v>374</v>
      </c>
      <c r="D181" s="1" t="s">
        <v>17</v>
      </c>
      <c r="E181" s="1" t="s">
        <v>375</v>
      </c>
      <c r="F181">
        <v>5</v>
      </c>
      <c r="G181" s="3">
        <v>2000</v>
      </c>
      <c r="H181" s="1" t="s">
        <v>30</v>
      </c>
      <c r="I181" s="1" t="s">
        <v>31</v>
      </c>
      <c r="J181" s="1" t="s">
        <v>21</v>
      </c>
      <c r="K181" s="1"/>
      <c r="L181" s="1"/>
    </row>
    <row r="182" spans="1:12" x14ac:dyDescent="0.25">
      <c r="A182">
        <v>1181</v>
      </c>
      <c r="B182" s="2">
        <v>45708</v>
      </c>
      <c r="C182" s="1" t="s">
        <v>376</v>
      </c>
      <c r="D182" s="1" t="s">
        <v>23</v>
      </c>
      <c r="E182" s="1" t="s">
        <v>377</v>
      </c>
      <c r="F182">
        <v>2</v>
      </c>
      <c r="G182" s="3">
        <v>8000</v>
      </c>
      <c r="H182" s="1" t="s">
        <v>13</v>
      </c>
      <c r="I182" s="1" t="s">
        <v>14</v>
      </c>
      <c r="J182" s="1" t="s">
        <v>27</v>
      </c>
      <c r="K182" s="1"/>
      <c r="L182" s="1"/>
    </row>
    <row r="183" spans="1:12" x14ac:dyDescent="0.25">
      <c r="A183">
        <v>1182</v>
      </c>
      <c r="B183" s="2">
        <v>45709</v>
      </c>
      <c r="C183" s="1" t="s">
        <v>378</v>
      </c>
      <c r="D183" s="1" t="s">
        <v>11</v>
      </c>
      <c r="E183" s="1" t="s">
        <v>379</v>
      </c>
      <c r="F183">
        <v>3</v>
      </c>
      <c r="G183" s="3">
        <v>7000</v>
      </c>
      <c r="H183" s="1" t="s">
        <v>19</v>
      </c>
      <c r="I183" s="1" t="s">
        <v>20</v>
      </c>
      <c r="J183" s="1" t="s">
        <v>15</v>
      </c>
      <c r="K183" s="1"/>
      <c r="L183" s="1"/>
    </row>
    <row r="184" spans="1:12" x14ac:dyDescent="0.25">
      <c r="A184">
        <v>1183</v>
      </c>
      <c r="B184" s="2">
        <v>45710</v>
      </c>
      <c r="C184" s="1" t="s">
        <v>380</v>
      </c>
      <c r="D184" s="1" t="s">
        <v>17</v>
      </c>
      <c r="E184" s="1" t="s">
        <v>381</v>
      </c>
      <c r="F184">
        <v>2</v>
      </c>
      <c r="G184" s="3">
        <v>12000</v>
      </c>
      <c r="H184" s="1" t="s">
        <v>25</v>
      </c>
      <c r="I184" s="1" t="s">
        <v>26</v>
      </c>
      <c r="J184" s="1" t="s">
        <v>21</v>
      </c>
      <c r="K184" s="1"/>
      <c r="L184" s="1"/>
    </row>
    <row r="185" spans="1:12" x14ac:dyDescent="0.25">
      <c r="A185">
        <v>1184</v>
      </c>
      <c r="B185" s="2">
        <v>45711</v>
      </c>
      <c r="C185" s="1" t="s">
        <v>382</v>
      </c>
      <c r="D185" s="1" t="s">
        <v>23</v>
      </c>
      <c r="E185" s="1" t="s">
        <v>383</v>
      </c>
      <c r="F185">
        <v>1</v>
      </c>
      <c r="G185" s="3">
        <v>45000</v>
      </c>
      <c r="H185" s="1" t="s">
        <v>30</v>
      </c>
      <c r="I185" s="1" t="s">
        <v>31</v>
      </c>
      <c r="J185" s="1" t="s">
        <v>27</v>
      </c>
      <c r="K185" s="1"/>
      <c r="L185" s="1"/>
    </row>
    <row r="186" spans="1:12" x14ac:dyDescent="0.25">
      <c r="A186">
        <v>1185</v>
      </c>
      <c r="B186" s="2">
        <v>45712</v>
      </c>
      <c r="C186" s="1" t="s">
        <v>384</v>
      </c>
      <c r="D186" s="1" t="s">
        <v>11</v>
      </c>
      <c r="E186" s="1" t="s">
        <v>385</v>
      </c>
      <c r="F186">
        <v>1</v>
      </c>
      <c r="G186" s="3">
        <v>15000</v>
      </c>
      <c r="H186" s="1" t="s">
        <v>13</v>
      </c>
      <c r="I186" s="1" t="s">
        <v>14</v>
      </c>
      <c r="J186" s="1" t="s">
        <v>15</v>
      </c>
      <c r="K186" s="1"/>
      <c r="L186" s="1"/>
    </row>
    <row r="187" spans="1:12" x14ac:dyDescent="0.25">
      <c r="A187">
        <v>1186</v>
      </c>
      <c r="B187" s="2">
        <v>45713</v>
      </c>
      <c r="C187" s="1" t="s">
        <v>386</v>
      </c>
      <c r="D187" s="1" t="s">
        <v>17</v>
      </c>
      <c r="E187" s="1" t="s">
        <v>387</v>
      </c>
      <c r="F187">
        <v>1</v>
      </c>
      <c r="G187" s="3">
        <v>18000</v>
      </c>
      <c r="H187" s="1" t="s">
        <v>19</v>
      </c>
      <c r="I187" s="1" t="s">
        <v>20</v>
      </c>
      <c r="J187" s="1" t="s">
        <v>21</v>
      </c>
      <c r="K187" s="1"/>
      <c r="L187" s="1"/>
    </row>
    <row r="188" spans="1:12" x14ac:dyDescent="0.25">
      <c r="A188">
        <v>1187</v>
      </c>
      <c r="B188" s="2">
        <v>45714</v>
      </c>
      <c r="C188" s="1" t="s">
        <v>388</v>
      </c>
      <c r="D188" s="1" t="s">
        <v>23</v>
      </c>
      <c r="E188" s="1" t="s">
        <v>389</v>
      </c>
      <c r="F188">
        <v>1</v>
      </c>
      <c r="G188" s="3">
        <v>35000</v>
      </c>
      <c r="H188" s="1" t="s">
        <v>25</v>
      </c>
      <c r="I188" s="1" t="s">
        <v>26</v>
      </c>
      <c r="J188" s="1" t="s">
        <v>27</v>
      </c>
      <c r="K188" s="1"/>
      <c r="L188" s="1"/>
    </row>
    <row r="189" spans="1:12" x14ac:dyDescent="0.25">
      <c r="A189">
        <v>1188</v>
      </c>
      <c r="B189" s="2">
        <v>45715</v>
      </c>
      <c r="C189" s="1" t="s">
        <v>390</v>
      </c>
      <c r="D189" s="1" t="s">
        <v>11</v>
      </c>
      <c r="E189" s="1" t="s">
        <v>391</v>
      </c>
      <c r="F189">
        <v>2</v>
      </c>
      <c r="G189" s="3">
        <v>6000</v>
      </c>
      <c r="H189" s="1" t="s">
        <v>30</v>
      </c>
      <c r="I189" s="1" t="s">
        <v>31</v>
      </c>
      <c r="J189" s="1" t="s">
        <v>15</v>
      </c>
      <c r="K189" s="1"/>
      <c r="L189" s="1"/>
    </row>
    <row r="190" spans="1:12" x14ac:dyDescent="0.25">
      <c r="A190">
        <v>1189</v>
      </c>
      <c r="B190" s="2">
        <v>45716</v>
      </c>
      <c r="C190" s="1" t="s">
        <v>392</v>
      </c>
      <c r="D190" s="1" t="s">
        <v>17</v>
      </c>
      <c r="E190" s="1" t="s">
        <v>393</v>
      </c>
      <c r="F190">
        <v>2</v>
      </c>
      <c r="G190" s="3">
        <v>8000</v>
      </c>
      <c r="H190" s="1" t="s">
        <v>13</v>
      </c>
      <c r="I190" s="1" t="s">
        <v>14</v>
      </c>
      <c r="J190" s="1" t="s">
        <v>21</v>
      </c>
      <c r="K190" s="1"/>
      <c r="L190" s="1"/>
    </row>
    <row r="191" spans="1:12" x14ac:dyDescent="0.25">
      <c r="A191">
        <v>1190</v>
      </c>
      <c r="B191" s="2">
        <v>45717</v>
      </c>
      <c r="C191" s="1" t="s">
        <v>394</v>
      </c>
      <c r="D191" s="1" t="s">
        <v>23</v>
      </c>
      <c r="E191" s="1" t="s">
        <v>395</v>
      </c>
      <c r="F191">
        <v>1</v>
      </c>
      <c r="G191" s="3">
        <v>12000</v>
      </c>
      <c r="H191" s="1" t="s">
        <v>19</v>
      </c>
      <c r="I191" s="1" t="s">
        <v>20</v>
      </c>
      <c r="J191" s="1" t="s">
        <v>27</v>
      </c>
      <c r="K191" s="1"/>
      <c r="L191" s="1"/>
    </row>
    <row r="192" spans="1:12" x14ac:dyDescent="0.25">
      <c r="A192">
        <v>1191</v>
      </c>
      <c r="B192" s="2">
        <v>45718</v>
      </c>
      <c r="C192" s="1" t="s">
        <v>396</v>
      </c>
      <c r="D192" s="1" t="s">
        <v>11</v>
      </c>
      <c r="E192" s="1" t="s">
        <v>397</v>
      </c>
      <c r="F192">
        <v>1</v>
      </c>
      <c r="G192" s="3">
        <v>250000</v>
      </c>
      <c r="H192" s="1" t="s">
        <v>25</v>
      </c>
      <c r="I192" s="1" t="s">
        <v>26</v>
      </c>
      <c r="J192" s="1" t="s">
        <v>15</v>
      </c>
      <c r="K192" s="1"/>
      <c r="L192" s="1"/>
    </row>
    <row r="193" spans="1:12" x14ac:dyDescent="0.25">
      <c r="A193">
        <v>1192</v>
      </c>
      <c r="B193" s="2">
        <v>45719</v>
      </c>
      <c r="C193" s="1" t="s">
        <v>398</v>
      </c>
      <c r="D193" s="1" t="s">
        <v>17</v>
      </c>
      <c r="E193" s="1" t="s">
        <v>399</v>
      </c>
      <c r="F193">
        <v>3</v>
      </c>
      <c r="G193" s="3">
        <v>7000</v>
      </c>
      <c r="H193" s="1" t="s">
        <v>30</v>
      </c>
      <c r="I193" s="1" t="s">
        <v>31</v>
      </c>
      <c r="J193" s="1" t="s">
        <v>21</v>
      </c>
      <c r="K193" s="1"/>
      <c r="L193" s="1"/>
    </row>
    <row r="194" spans="1:12" x14ac:dyDescent="0.25">
      <c r="A194">
        <v>1193</v>
      </c>
      <c r="B194" s="2">
        <v>45720</v>
      </c>
      <c r="C194" s="1" t="s">
        <v>400</v>
      </c>
      <c r="D194" s="1" t="s">
        <v>23</v>
      </c>
      <c r="E194" s="1" t="s">
        <v>401</v>
      </c>
      <c r="F194">
        <v>6</v>
      </c>
      <c r="G194" s="3">
        <v>3000</v>
      </c>
      <c r="H194" s="1" t="s">
        <v>13</v>
      </c>
      <c r="I194" s="1" t="s">
        <v>14</v>
      </c>
      <c r="J194" s="1" t="s">
        <v>27</v>
      </c>
      <c r="K194" s="1"/>
      <c r="L194" s="1"/>
    </row>
    <row r="195" spans="1:12" x14ac:dyDescent="0.25">
      <c r="A195">
        <v>1194</v>
      </c>
      <c r="B195" s="2">
        <v>45721</v>
      </c>
      <c r="C195" s="1" t="s">
        <v>402</v>
      </c>
      <c r="D195" s="1" t="s">
        <v>11</v>
      </c>
      <c r="E195" s="1" t="s">
        <v>403</v>
      </c>
      <c r="F195">
        <v>1</v>
      </c>
      <c r="G195" s="3">
        <v>18000</v>
      </c>
      <c r="H195" s="1" t="s">
        <v>19</v>
      </c>
      <c r="I195" s="1" t="s">
        <v>20</v>
      </c>
      <c r="J195" s="1" t="s">
        <v>15</v>
      </c>
      <c r="K195" s="1"/>
      <c r="L195" s="1"/>
    </row>
    <row r="196" spans="1:12" x14ac:dyDescent="0.25">
      <c r="A196">
        <v>1195</v>
      </c>
      <c r="B196" s="2">
        <v>45682</v>
      </c>
      <c r="C196" s="1" t="s">
        <v>404</v>
      </c>
      <c r="D196" s="1" t="s">
        <v>17</v>
      </c>
      <c r="E196" s="1" t="s">
        <v>405</v>
      </c>
      <c r="F196">
        <v>1</v>
      </c>
      <c r="G196" s="3">
        <v>85000</v>
      </c>
      <c r="H196" s="1" t="s">
        <v>25</v>
      </c>
      <c r="I196" s="1" t="s">
        <v>26</v>
      </c>
      <c r="J196" s="1" t="s">
        <v>21</v>
      </c>
      <c r="K196" s="1"/>
      <c r="L196" s="1"/>
    </row>
    <row r="197" spans="1:12" x14ac:dyDescent="0.25">
      <c r="A197">
        <v>1196</v>
      </c>
      <c r="B197" s="2">
        <v>45683</v>
      </c>
      <c r="C197" s="1" t="s">
        <v>406</v>
      </c>
      <c r="D197" s="1" t="s">
        <v>23</v>
      </c>
      <c r="E197" s="1" t="s">
        <v>407</v>
      </c>
      <c r="F197">
        <v>2</v>
      </c>
      <c r="G197" s="3">
        <v>25000</v>
      </c>
      <c r="H197" s="1" t="s">
        <v>30</v>
      </c>
      <c r="I197" s="1" t="s">
        <v>31</v>
      </c>
      <c r="J197" s="1" t="s">
        <v>27</v>
      </c>
      <c r="K197" s="1"/>
      <c r="L197" s="1"/>
    </row>
    <row r="198" spans="1:12" x14ac:dyDescent="0.25">
      <c r="A198">
        <v>1197</v>
      </c>
      <c r="B198" s="2">
        <v>45684</v>
      </c>
      <c r="C198" s="1" t="s">
        <v>408</v>
      </c>
      <c r="D198" s="1" t="s">
        <v>11</v>
      </c>
      <c r="E198" s="1" t="s">
        <v>409</v>
      </c>
      <c r="F198">
        <v>1</v>
      </c>
      <c r="G198" s="3">
        <v>15000</v>
      </c>
      <c r="H198" s="1" t="s">
        <v>13</v>
      </c>
      <c r="I198" s="1" t="s">
        <v>14</v>
      </c>
      <c r="J198" s="1" t="s">
        <v>15</v>
      </c>
      <c r="K198" s="1"/>
      <c r="L198" s="1"/>
    </row>
    <row r="199" spans="1:12" x14ac:dyDescent="0.25">
      <c r="A199">
        <v>1198</v>
      </c>
      <c r="B199" s="2">
        <v>45685</v>
      </c>
      <c r="C199" s="1" t="s">
        <v>410</v>
      </c>
      <c r="D199" s="1" t="s">
        <v>17</v>
      </c>
      <c r="E199" s="1" t="s">
        <v>411</v>
      </c>
      <c r="F199">
        <v>3</v>
      </c>
      <c r="G199" s="3">
        <v>8000</v>
      </c>
      <c r="H199" s="1" t="s">
        <v>19</v>
      </c>
      <c r="I199" s="1" t="s">
        <v>20</v>
      </c>
      <c r="J199" s="1" t="s">
        <v>21</v>
      </c>
      <c r="K199" s="1"/>
      <c r="L199" s="1"/>
    </row>
    <row r="200" spans="1:12" x14ac:dyDescent="0.25">
      <c r="A200">
        <v>1199</v>
      </c>
      <c r="B200" s="2">
        <v>45686</v>
      </c>
      <c r="C200" s="1" t="s">
        <v>412</v>
      </c>
      <c r="D200" s="1" t="s">
        <v>23</v>
      </c>
      <c r="E200" s="1" t="s">
        <v>413</v>
      </c>
      <c r="F200">
        <v>2</v>
      </c>
      <c r="G200" s="3">
        <v>10000</v>
      </c>
      <c r="H200" s="1" t="s">
        <v>25</v>
      </c>
      <c r="I200" s="1" t="s">
        <v>26</v>
      </c>
      <c r="J200" s="1" t="s">
        <v>27</v>
      </c>
      <c r="K200" s="1"/>
      <c r="L200" s="1"/>
    </row>
    <row r="201" spans="1:12" x14ac:dyDescent="0.25">
      <c r="A201">
        <v>1200</v>
      </c>
      <c r="B201" s="2">
        <v>45687</v>
      </c>
      <c r="C201" s="1" t="s">
        <v>414</v>
      </c>
      <c r="D201" s="1" t="s">
        <v>11</v>
      </c>
      <c r="E201" s="1" t="s">
        <v>415</v>
      </c>
      <c r="F201">
        <v>1</v>
      </c>
      <c r="G201" s="3">
        <v>120000</v>
      </c>
      <c r="H201" s="1" t="s">
        <v>30</v>
      </c>
      <c r="I201" s="1" t="s">
        <v>31</v>
      </c>
      <c r="J201" s="1" t="s">
        <v>15</v>
      </c>
      <c r="K201" s="1"/>
      <c r="L201" s="1"/>
    </row>
    <row r="202" spans="1:12" x14ac:dyDescent="0.25">
      <c r="A202">
        <v>1201</v>
      </c>
      <c r="B202" s="2">
        <v>45688</v>
      </c>
      <c r="C202" s="1" t="s">
        <v>416</v>
      </c>
      <c r="D202" s="1" t="s">
        <v>17</v>
      </c>
      <c r="E202" s="1" t="s">
        <v>417</v>
      </c>
      <c r="F202">
        <v>2</v>
      </c>
      <c r="G202" s="3">
        <v>25000</v>
      </c>
      <c r="H202" s="1" t="s">
        <v>13</v>
      </c>
      <c r="I202" s="1" t="s">
        <v>14</v>
      </c>
      <c r="J202" s="1" t="s">
        <v>21</v>
      </c>
      <c r="K202" s="1"/>
      <c r="L202" s="1"/>
    </row>
    <row r="203" spans="1:12" x14ac:dyDescent="0.25">
      <c r="A203">
        <v>1202</v>
      </c>
      <c r="B203" s="2">
        <v>45689</v>
      </c>
      <c r="C203" s="1" t="s">
        <v>418</v>
      </c>
      <c r="D203" s="1" t="s">
        <v>23</v>
      </c>
      <c r="E203" s="1" t="s">
        <v>419</v>
      </c>
      <c r="F203">
        <v>4</v>
      </c>
      <c r="G203" s="3">
        <v>5000</v>
      </c>
      <c r="H203" s="1" t="s">
        <v>19</v>
      </c>
      <c r="I203" s="1" t="s">
        <v>20</v>
      </c>
      <c r="J203" s="1" t="s">
        <v>27</v>
      </c>
      <c r="K203" s="1"/>
      <c r="L203" s="1"/>
    </row>
    <row r="204" spans="1:12" x14ac:dyDescent="0.25">
      <c r="A204">
        <v>1203</v>
      </c>
      <c r="B204" s="2">
        <v>45690</v>
      </c>
      <c r="C204" s="1" t="s">
        <v>420</v>
      </c>
      <c r="D204" s="1" t="s">
        <v>11</v>
      </c>
      <c r="E204" s="1" t="s">
        <v>421</v>
      </c>
      <c r="F204">
        <v>1</v>
      </c>
      <c r="G204" s="3">
        <v>12000</v>
      </c>
      <c r="H204" s="1" t="s">
        <v>25</v>
      </c>
      <c r="I204" s="1" t="s">
        <v>26</v>
      </c>
      <c r="J204" s="1" t="s">
        <v>15</v>
      </c>
      <c r="K204" s="1"/>
      <c r="L204" s="1"/>
    </row>
    <row r="205" spans="1:12" x14ac:dyDescent="0.25">
      <c r="A205">
        <v>1204</v>
      </c>
      <c r="B205" s="2">
        <v>45691</v>
      </c>
      <c r="C205" s="1" t="s">
        <v>422</v>
      </c>
      <c r="D205" s="1" t="s">
        <v>17</v>
      </c>
      <c r="E205" s="1" t="s">
        <v>423</v>
      </c>
      <c r="F205">
        <v>1</v>
      </c>
      <c r="G205" s="3">
        <v>35000</v>
      </c>
      <c r="H205" s="1" t="s">
        <v>30</v>
      </c>
      <c r="I205" s="1" t="s">
        <v>31</v>
      </c>
      <c r="J205" s="1" t="s">
        <v>21</v>
      </c>
      <c r="K205" s="1"/>
      <c r="L205" s="1"/>
    </row>
    <row r="206" spans="1:12" x14ac:dyDescent="0.25">
      <c r="A206">
        <v>1205</v>
      </c>
      <c r="B206" s="2">
        <v>45692</v>
      </c>
      <c r="C206" s="1" t="s">
        <v>424</v>
      </c>
      <c r="D206" s="1" t="s">
        <v>23</v>
      </c>
      <c r="E206" s="1" t="s">
        <v>425</v>
      </c>
      <c r="F206">
        <v>1</v>
      </c>
      <c r="G206" s="3">
        <v>25000</v>
      </c>
      <c r="H206" s="1" t="s">
        <v>13</v>
      </c>
      <c r="I206" s="1" t="s">
        <v>14</v>
      </c>
      <c r="J206" s="1" t="s">
        <v>27</v>
      </c>
      <c r="K206" s="1"/>
      <c r="L206" s="1"/>
    </row>
    <row r="207" spans="1:12" x14ac:dyDescent="0.25">
      <c r="A207">
        <v>1206</v>
      </c>
      <c r="B207" s="2">
        <v>45693</v>
      </c>
      <c r="C207" s="1" t="s">
        <v>426</v>
      </c>
      <c r="D207" s="1" t="s">
        <v>11</v>
      </c>
      <c r="E207" s="1" t="s">
        <v>427</v>
      </c>
      <c r="F207">
        <v>1</v>
      </c>
      <c r="G207" s="3">
        <v>10000</v>
      </c>
      <c r="H207" s="1" t="s">
        <v>19</v>
      </c>
      <c r="I207" s="1" t="s">
        <v>20</v>
      </c>
      <c r="J207" s="1" t="s">
        <v>15</v>
      </c>
      <c r="K207" s="1"/>
      <c r="L207" s="1"/>
    </row>
    <row r="208" spans="1:12" x14ac:dyDescent="0.25">
      <c r="A208">
        <v>1207</v>
      </c>
      <c r="B208" s="2">
        <v>45694</v>
      </c>
      <c r="C208" s="1" t="s">
        <v>428</v>
      </c>
      <c r="D208" s="1" t="s">
        <v>17</v>
      </c>
      <c r="E208" s="1" t="s">
        <v>429</v>
      </c>
      <c r="F208">
        <v>2</v>
      </c>
      <c r="G208" s="3">
        <v>30000</v>
      </c>
      <c r="H208" s="1" t="s">
        <v>25</v>
      </c>
      <c r="I208" s="1" t="s">
        <v>26</v>
      </c>
      <c r="J208" s="1" t="s">
        <v>21</v>
      </c>
      <c r="K208" s="1"/>
      <c r="L208" s="1"/>
    </row>
    <row r="209" spans="1:12" x14ac:dyDescent="0.25">
      <c r="A209">
        <v>1208</v>
      </c>
      <c r="B209" s="2">
        <v>45695</v>
      </c>
      <c r="C209" s="1" t="s">
        <v>430</v>
      </c>
      <c r="D209" s="1" t="s">
        <v>23</v>
      </c>
      <c r="E209" s="1" t="s">
        <v>431</v>
      </c>
      <c r="F209">
        <v>3</v>
      </c>
      <c r="G209" s="3">
        <v>7000</v>
      </c>
      <c r="H209" s="1" t="s">
        <v>30</v>
      </c>
      <c r="I209" s="1" t="s">
        <v>31</v>
      </c>
      <c r="J209" s="1" t="s">
        <v>27</v>
      </c>
      <c r="K209" s="1"/>
      <c r="L209" s="1"/>
    </row>
    <row r="210" spans="1:12" x14ac:dyDescent="0.25">
      <c r="A210">
        <v>1209</v>
      </c>
      <c r="B210" s="2">
        <v>45696</v>
      </c>
      <c r="C210" s="1" t="s">
        <v>432</v>
      </c>
      <c r="D210" s="1" t="s">
        <v>11</v>
      </c>
      <c r="E210" s="1" t="s">
        <v>433</v>
      </c>
      <c r="F210">
        <v>1</v>
      </c>
      <c r="G210" s="3">
        <v>25000</v>
      </c>
      <c r="H210" s="1" t="s">
        <v>13</v>
      </c>
      <c r="I210" s="1" t="s">
        <v>14</v>
      </c>
      <c r="J210" s="1" t="s">
        <v>15</v>
      </c>
      <c r="K210" s="1"/>
      <c r="L210" s="1"/>
    </row>
    <row r="211" spans="1:12" x14ac:dyDescent="0.25">
      <c r="A211">
        <v>1210</v>
      </c>
      <c r="B211" s="2">
        <v>45697</v>
      </c>
      <c r="C211" s="1" t="s">
        <v>434</v>
      </c>
      <c r="D211" s="1" t="s">
        <v>17</v>
      </c>
      <c r="E211" s="1" t="s">
        <v>435</v>
      </c>
      <c r="F211">
        <v>2</v>
      </c>
      <c r="G211" s="3">
        <v>12000</v>
      </c>
      <c r="H211" s="1" t="s">
        <v>19</v>
      </c>
      <c r="I211" s="1" t="s">
        <v>20</v>
      </c>
      <c r="J211" s="1" t="s">
        <v>21</v>
      </c>
      <c r="K211" s="1"/>
      <c r="L211" s="1"/>
    </row>
    <row r="212" spans="1:12" x14ac:dyDescent="0.25">
      <c r="A212">
        <v>1211</v>
      </c>
      <c r="B212" s="2">
        <v>45698</v>
      </c>
      <c r="C212" s="1" t="s">
        <v>436</v>
      </c>
      <c r="D212" s="1" t="s">
        <v>23</v>
      </c>
      <c r="E212" s="1" t="s">
        <v>437</v>
      </c>
      <c r="F212">
        <v>3</v>
      </c>
      <c r="G212" s="3">
        <v>8000</v>
      </c>
      <c r="H212" s="1" t="s">
        <v>25</v>
      </c>
      <c r="I212" s="1" t="s">
        <v>26</v>
      </c>
      <c r="J212" s="1" t="s">
        <v>27</v>
      </c>
      <c r="K212" s="1"/>
      <c r="L212" s="1"/>
    </row>
    <row r="213" spans="1:12" x14ac:dyDescent="0.25">
      <c r="A213">
        <v>1212</v>
      </c>
      <c r="B213" s="2">
        <v>45699</v>
      </c>
      <c r="C213" s="1" t="s">
        <v>438</v>
      </c>
      <c r="D213" s="1" t="s">
        <v>11</v>
      </c>
      <c r="E213" s="1" t="s">
        <v>439</v>
      </c>
      <c r="F213">
        <v>1</v>
      </c>
      <c r="G213" s="3">
        <v>15000</v>
      </c>
      <c r="H213" s="1" t="s">
        <v>30</v>
      </c>
      <c r="I213" s="1" t="s">
        <v>31</v>
      </c>
      <c r="J213" s="1" t="s">
        <v>15</v>
      </c>
      <c r="K213" s="1"/>
      <c r="L213" s="1"/>
    </row>
    <row r="214" spans="1:12" x14ac:dyDescent="0.25">
      <c r="A214">
        <v>1213</v>
      </c>
      <c r="B214" s="2">
        <v>45700</v>
      </c>
      <c r="C214" s="1" t="s">
        <v>412</v>
      </c>
      <c r="D214" s="1" t="s">
        <v>17</v>
      </c>
      <c r="E214" s="1" t="s">
        <v>440</v>
      </c>
      <c r="F214">
        <v>4</v>
      </c>
      <c r="G214" s="3">
        <v>3000</v>
      </c>
      <c r="H214" s="1" t="s">
        <v>13</v>
      </c>
      <c r="I214" s="1" t="s">
        <v>14</v>
      </c>
      <c r="J214" s="1" t="s">
        <v>21</v>
      </c>
      <c r="K214" s="1"/>
      <c r="L214" s="1"/>
    </row>
    <row r="215" spans="1:12" x14ac:dyDescent="0.25">
      <c r="A215">
        <v>1214</v>
      </c>
      <c r="B215" s="2">
        <v>45701</v>
      </c>
      <c r="C215" s="1" t="s">
        <v>441</v>
      </c>
      <c r="D215" s="1" t="s">
        <v>23</v>
      </c>
      <c r="E215" s="1" t="s">
        <v>161</v>
      </c>
      <c r="F215">
        <v>2</v>
      </c>
      <c r="G215" s="3">
        <v>6000</v>
      </c>
      <c r="H215" s="1" t="s">
        <v>19</v>
      </c>
      <c r="I215" s="1" t="s">
        <v>20</v>
      </c>
      <c r="J215" s="1" t="s">
        <v>27</v>
      </c>
      <c r="K215" s="1"/>
      <c r="L215" s="1"/>
    </row>
    <row r="216" spans="1:12" x14ac:dyDescent="0.25">
      <c r="A216">
        <v>1215</v>
      </c>
      <c r="B216" s="2">
        <v>45702</v>
      </c>
      <c r="C216" s="1" t="s">
        <v>442</v>
      </c>
      <c r="D216" s="1" t="s">
        <v>11</v>
      </c>
      <c r="E216" s="1" t="s">
        <v>443</v>
      </c>
      <c r="F216">
        <v>1</v>
      </c>
      <c r="G216" s="3">
        <v>12000</v>
      </c>
      <c r="H216" s="1" t="s">
        <v>25</v>
      </c>
      <c r="I216" s="1" t="s">
        <v>26</v>
      </c>
      <c r="J216" s="1" t="s">
        <v>15</v>
      </c>
      <c r="K216" s="1"/>
      <c r="L216" s="1"/>
    </row>
    <row r="217" spans="1:12" x14ac:dyDescent="0.25">
      <c r="A217">
        <v>1216</v>
      </c>
      <c r="B217" s="2">
        <v>45703</v>
      </c>
      <c r="C217" s="1" t="s">
        <v>444</v>
      </c>
      <c r="D217" s="1" t="s">
        <v>17</v>
      </c>
      <c r="E217" s="1" t="s">
        <v>445</v>
      </c>
      <c r="F217">
        <v>3</v>
      </c>
      <c r="G217" s="3">
        <v>7000</v>
      </c>
      <c r="H217" s="1" t="s">
        <v>30</v>
      </c>
      <c r="I217" s="1" t="s">
        <v>31</v>
      </c>
      <c r="J217" s="1" t="s">
        <v>21</v>
      </c>
      <c r="K217" s="1"/>
      <c r="L217" s="1"/>
    </row>
    <row r="218" spans="1:12" x14ac:dyDescent="0.25">
      <c r="A218">
        <v>1217</v>
      </c>
      <c r="B218" s="2">
        <v>45704</v>
      </c>
      <c r="C218" s="1" t="s">
        <v>446</v>
      </c>
      <c r="D218" s="1" t="s">
        <v>23</v>
      </c>
      <c r="E218" s="1" t="s">
        <v>447</v>
      </c>
      <c r="F218">
        <v>1</v>
      </c>
      <c r="G218" s="3">
        <v>25000</v>
      </c>
      <c r="H218" s="1" t="s">
        <v>13</v>
      </c>
      <c r="I218" s="1" t="s">
        <v>14</v>
      </c>
      <c r="J218" s="1" t="s">
        <v>27</v>
      </c>
      <c r="K218" s="1"/>
      <c r="L218" s="1"/>
    </row>
    <row r="219" spans="1:12" x14ac:dyDescent="0.25">
      <c r="A219">
        <v>1218</v>
      </c>
      <c r="B219" s="2">
        <v>45705</v>
      </c>
      <c r="C219" s="1" t="s">
        <v>448</v>
      </c>
      <c r="D219" s="1" t="s">
        <v>11</v>
      </c>
      <c r="E219" s="1" t="s">
        <v>449</v>
      </c>
      <c r="F219">
        <v>1</v>
      </c>
      <c r="G219" s="3">
        <v>45000</v>
      </c>
      <c r="H219" s="1" t="s">
        <v>19</v>
      </c>
      <c r="I219" s="1" t="s">
        <v>20</v>
      </c>
      <c r="J219" s="1" t="s">
        <v>15</v>
      </c>
      <c r="K219" s="1"/>
      <c r="L219" s="1"/>
    </row>
    <row r="220" spans="1:12" x14ac:dyDescent="0.25">
      <c r="A220">
        <v>1219</v>
      </c>
      <c r="B220" s="2">
        <v>45706</v>
      </c>
      <c r="C220" s="1" t="s">
        <v>450</v>
      </c>
      <c r="D220" s="1" t="s">
        <v>17</v>
      </c>
      <c r="E220" s="1" t="s">
        <v>451</v>
      </c>
      <c r="F220">
        <v>1</v>
      </c>
      <c r="G220" s="3">
        <v>55000</v>
      </c>
      <c r="H220" s="1" t="s">
        <v>25</v>
      </c>
      <c r="I220" s="1" t="s">
        <v>26</v>
      </c>
      <c r="J220" s="1" t="s">
        <v>21</v>
      </c>
      <c r="K220" s="1"/>
      <c r="L220" s="1"/>
    </row>
    <row r="221" spans="1:12" x14ac:dyDescent="0.25">
      <c r="A221">
        <v>1220</v>
      </c>
      <c r="B221" s="2">
        <v>45707</v>
      </c>
      <c r="C221" s="1" t="s">
        <v>452</v>
      </c>
      <c r="D221" s="1" t="s">
        <v>23</v>
      </c>
      <c r="E221" s="1" t="s">
        <v>453</v>
      </c>
      <c r="F221">
        <v>3</v>
      </c>
      <c r="G221" s="3">
        <v>9000</v>
      </c>
      <c r="H221" s="1" t="s">
        <v>30</v>
      </c>
      <c r="I221" s="1" t="s">
        <v>31</v>
      </c>
      <c r="J221" s="1" t="s">
        <v>27</v>
      </c>
      <c r="K221" s="1"/>
      <c r="L221" s="1"/>
    </row>
    <row r="222" spans="1:12" x14ac:dyDescent="0.25">
      <c r="A222">
        <v>1221</v>
      </c>
      <c r="B222" s="2">
        <v>45708</v>
      </c>
      <c r="C222" s="1" t="s">
        <v>454</v>
      </c>
      <c r="D222" s="1" t="s">
        <v>11</v>
      </c>
      <c r="E222" s="1" t="s">
        <v>455</v>
      </c>
      <c r="F222">
        <v>1</v>
      </c>
      <c r="G222" s="3">
        <v>8000</v>
      </c>
      <c r="H222" s="1" t="s">
        <v>13</v>
      </c>
      <c r="I222" s="1" t="s">
        <v>14</v>
      </c>
      <c r="J222" s="1" t="s">
        <v>15</v>
      </c>
      <c r="K222" s="1"/>
      <c r="L222" s="1"/>
    </row>
    <row r="223" spans="1:12" x14ac:dyDescent="0.25">
      <c r="A223">
        <v>1222</v>
      </c>
      <c r="B223" s="2">
        <v>45709</v>
      </c>
      <c r="C223" s="1" t="s">
        <v>456</v>
      </c>
      <c r="D223" s="1" t="s">
        <v>17</v>
      </c>
      <c r="E223" s="1" t="s">
        <v>457</v>
      </c>
      <c r="F223">
        <v>1</v>
      </c>
      <c r="G223" s="3">
        <v>40000</v>
      </c>
      <c r="H223" s="1" t="s">
        <v>19</v>
      </c>
      <c r="I223" s="1" t="s">
        <v>20</v>
      </c>
      <c r="J223" s="1" t="s">
        <v>21</v>
      </c>
      <c r="K223" s="1"/>
      <c r="L223" s="1"/>
    </row>
    <row r="224" spans="1:12" x14ac:dyDescent="0.25">
      <c r="A224">
        <v>1223</v>
      </c>
      <c r="B224" s="2">
        <v>45710</v>
      </c>
      <c r="C224" s="1" t="s">
        <v>458</v>
      </c>
      <c r="D224" s="1" t="s">
        <v>23</v>
      </c>
      <c r="E224" s="1" t="s">
        <v>459</v>
      </c>
      <c r="F224">
        <v>1</v>
      </c>
      <c r="G224" s="3">
        <v>60000</v>
      </c>
      <c r="H224" s="1" t="s">
        <v>25</v>
      </c>
      <c r="I224" s="1" t="s">
        <v>26</v>
      </c>
      <c r="J224" s="1" t="s">
        <v>27</v>
      </c>
      <c r="K224" s="1"/>
      <c r="L224" s="1"/>
    </row>
    <row r="225" spans="1:12" x14ac:dyDescent="0.25">
      <c r="A225">
        <v>1224</v>
      </c>
      <c r="B225" s="2">
        <v>45711</v>
      </c>
      <c r="C225" s="1" t="s">
        <v>460</v>
      </c>
      <c r="D225" s="1" t="s">
        <v>11</v>
      </c>
      <c r="E225" s="1" t="s">
        <v>461</v>
      </c>
      <c r="F225">
        <v>1</v>
      </c>
      <c r="G225" s="3">
        <v>55000</v>
      </c>
      <c r="H225" s="1" t="s">
        <v>30</v>
      </c>
      <c r="I225" s="1" t="s">
        <v>31</v>
      </c>
      <c r="J225" s="1" t="s">
        <v>15</v>
      </c>
      <c r="K225" s="1"/>
      <c r="L225" s="1"/>
    </row>
    <row r="226" spans="1:12" x14ac:dyDescent="0.25">
      <c r="A226">
        <v>1225</v>
      </c>
      <c r="B226" s="2">
        <v>45712</v>
      </c>
      <c r="C226" s="1" t="s">
        <v>462</v>
      </c>
      <c r="D226" s="1" t="s">
        <v>17</v>
      </c>
      <c r="E226" s="1" t="s">
        <v>463</v>
      </c>
      <c r="F226">
        <v>2</v>
      </c>
      <c r="G226" s="3">
        <v>20000</v>
      </c>
      <c r="H226" s="1" t="s">
        <v>13</v>
      </c>
      <c r="I226" s="1" t="s">
        <v>20</v>
      </c>
      <c r="J226" s="1" t="s">
        <v>21</v>
      </c>
      <c r="K226" s="1"/>
      <c r="L226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B4955F-E24C-4017-A79A-7182012E47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Index+Match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2026-04-20T17:52:39Z</dcterms:created>
  <dcterms:modified xsi:type="dcterms:W3CDTF">2026-04-20T18:51:41Z</dcterms:modified>
</cp:coreProperties>
</file>