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A6F05471-B9F9-4847-B62F-C4A1D8330374}" xr6:coauthVersionLast="47" xr6:coauthVersionMax="47" xr10:uidLastSave="{00000000-0000-0000-0000-000000000000}"/>
  <bookViews>
    <workbookView xWindow="-120" yWindow="-120" windowWidth="20730" windowHeight="11160" firstSheet="1" activeTab="3" xr2:uid="{C0CF0E58-3EB2-4491-9B16-13C78D95EF2F}"/>
  </bookViews>
  <sheets>
    <sheet name="Sheet1" sheetId="1" state="hidden" r:id="rId1"/>
    <sheet name="Cleaned Data" sheetId="4" r:id="rId2"/>
    <sheet name="Pivot Table" sheetId="5" r:id="rId3"/>
    <sheet name="Dashboard" sheetId="6" r:id="rId4"/>
  </sheets>
  <definedNames>
    <definedName name="_xlcn.WorksheetConnection_PowerqUERY.xlsxTable1__21" hidden="1">Table1__2[]</definedName>
    <definedName name="_xlcn.WorksheetConnection_PowerqUERY.xlsxTable11" hidden="1">Table1[]</definedName>
    <definedName name="ExternalData_1" localSheetId="1" hidden="1">'Cleaned Data'!$A$1:$F$21</definedName>
    <definedName name="Slicer_Product">#N/A</definedName>
  </definedNames>
  <calcPr calcId="191029"/>
  <pivotCaches>
    <pivotCache cacheId="54" r:id="rId5"/>
    <pivotCache cacheId="57" r:id="rId6"/>
    <pivotCache cacheId="60" r:id="rId7"/>
    <pivotCache cacheId="67" r:id="rId8"/>
  </pivotCaches>
  <extLst>
    <ext xmlns:x14="http://schemas.microsoft.com/office/spreadsheetml/2009/9/main" uri="{876F7934-8845-4945-9796-88D515C7AA90}">
      <x14:pivotCaches>
        <pivotCache cacheId="19"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2_ee10b677-f3cc-4584-aff0-87e8508ebae6" name="Table1  2" connection="Query - Table1 (2)"/>
          <x15:modelTable id="Table1 1" name="Table1 1" connection="WorksheetConnection_Power qUERY.xlsx!Table1"/>
          <x15:modelTable id="Table1__2" name="Table1__2" connection="WorksheetConnection_Power qUERY.xlsx!Table1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G2" i="4"/>
  <c r="G3" i="4"/>
  <c r="G4" i="4"/>
  <c r="G5" i="4"/>
  <c r="G6" i="4"/>
  <c r="G7" i="4"/>
  <c r="G8" i="4"/>
  <c r="G9" i="4"/>
  <c r="G10" i="4"/>
  <c r="G11" i="4"/>
  <c r="G12" i="4"/>
  <c r="G13" i="4"/>
  <c r="G14" i="4"/>
  <c r="G15" i="4"/>
  <c r="G16" i="4"/>
  <c r="G17" i="4"/>
  <c r="G18" i="4"/>
  <c r="G19" i="4"/>
  <c r="G20" i="4"/>
  <c r="G2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7D187-DF32-444D-9697-D088B790A606}" keepAlive="1" name="ModelConnection_ExternalData_1" description="Data Model" type="5" refreshedVersion="7" minRefreshableVersion="5" saveData="1">
    <dbPr connection="Data Model Connection" command="Table1  2" commandType="3"/>
    <extLst>
      <ext xmlns:x15="http://schemas.microsoft.com/office/spreadsheetml/2010/11/main" uri="{DE250136-89BD-433C-8126-D09CA5730AF9}">
        <x15:connection id="" model="1"/>
      </ext>
    </extLst>
  </connection>
  <connection id="2" xr16:uid="{35452B2A-201B-4EEB-9110-E63C4862E6CA}" name="Query - Table1 (2)" description="Connection to the 'Table1 (2)' query in the workbook." type="100" refreshedVersion="7" minRefreshableVersion="5">
    <extLst>
      <ext xmlns:x15="http://schemas.microsoft.com/office/spreadsheetml/2010/11/main" uri="{DE250136-89BD-433C-8126-D09CA5730AF9}">
        <x15:connection id="c32946ee-209a-4b57-9f89-ab25c2a325e0"/>
      </ext>
    </extLst>
  </connection>
  <connection id="3" xr16:uid="{F9AB9CE4-2B30-4669-9507-8579BCE8698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3FDBDF9-3E14-4042-90D8-4591F1523D3C}" name="WorksheetConnection_Power qUERY.xlsx!Table1" type="102" refreshedVersion="7" minRefreshableVersion="5">
    <extLst>
      <ext xmlns:x15="http://schemas.microsoft.com/office/spreadsheetml/2010/11/main" uri="{DE250136-89BD-433C-8126-D09CA5730AF9}">
        <x15:connection id="Table1 1">
          <x15:rangePr sourceName="_xlcn.WorksheetConnection_PowerqUERY.xlsxTable11"/>
        </x15:connection>
      </ext>
    </extLst>
  </connection>
  <connection id="5" xr16:uid="{800E91FE-92F2-4349-B771-10BE0D531885}" name="WorksheetConnection_Power qUERY.xlsx!Table1__2" type="102" refreshedVersion="7" minRefreshableVersion="5">
    <extLst>
      <ext xmlns:x15="http://schemas.microsoft.com/office/spreadsheetml/2010/11/main" uri="{DE250136-89BD-433C-8126-D09CA5730AF9}">
        <x15:connection id="Table1__2">
          <x15:rangePr sourceName="_xlcn.WorksheetConnection_PowerqUERY.xlsxTable1__21"/>
        </x15:connection>
      </ext>
    </extLst>
  </connection>
</connections>
</file>

<file path=xl/sharedStrings.xml><?xml version="1.0" encoding="utf-8"?>
<sst xmlns="http://schemas.openxmlformats.org/spreadsheetml/2006/main" count="184" uniqueCount="48">
  <si>
    <t>Order ID</t>
  </si>
  <si>
    <t>Customer Name</t>
  </si>
  <si>
    <t>Product</t>
  </si>
  <si>
    <t>Price (₦)</t>
  </si>
  <si>
    <t>Date</t>
  </si>
  <si>
    <t>Region</t>
  </si>
  <si>
    <t>Laptops</t>
  </si>
  <si>
    <t>Jan 15 2026</t>
  </si>
  <si>
    <t>North</t>
  </si>
  <si>
    <t>Phones</t>
  </si>
  <si>
    <t>South</t>
  </si>
  <si>
    <t>Chioma Eze</t>
  </si>
  <si>
    <t>Accessories</t>
  </si>
  <si>
    <t>East</t>
  </si>
  <si>
    <t>Jan 30 2026</t>
  </si>
  <si>
    <t>West</t>
  </si>
  <si>
    <t>Esther Yusuf</t>
  </si>
  <si>
    <t>Femi Adebayo</t>
  </si>
  <si>
    <t>Grace Okafor</t>
  </si>
  <si>
    <t>Feb 15 2026</t>
  </si>
  <si>
    <t>Henry Nnamdi</t>
  </si>
  <si>
    <t>Ijeoma Umeh</t>
  </si>
  <si>
    <t>John Attah</t>
  </si>
  <si>
    <t>Adeola Ogunlesi</t>
  </si>
  <si>
    <t>Babatunde Lawal</t>
  </si>
  <si>
    <t>Mar 15 2026</t>
  </si>
  <si>
    <t>David Okonkwo</t>
  </si>
  <si>
    <t>Jan 12 2026</t>
  </si>
  <si>
    <t>Jan 28 2026</t>
  </si>
  <si>
    <t>Adebayo Esther</t>
  </si>
  <si>
    <t>Babatunde Adeola</t>
  </si>
  <si>
    <t>Grand Total</t>
  </si>
  <si>
    <t>Month</t>
  </si>
  <si>
    <t>Day</t>
  </si>
  <si>
    <t>February</t>
  </si>
  <si>
    <t>January</t>
  </si>
  <si>
    <t>March</t>
  </si>
  <si>
    <t>Sum of Price (₦)</t>
  </si>
  <si>
    <t>Month/Region</t>
  </si>
  <si>
    <t>Month/Product</t>
  </si>
  <si>
    <t>Sunday</t>
  </si>
  <si>
    <t>Tuesday</t>
  </si>
  <si>
    <t>Wednesday</t>
  </si>
  <si>
    <t>Friday</t>
  </si>
  <si>
    <t>Saturday</t>
  </si>
  <si>
    <t>Thursday</t>
  </si>
  <si>
    <t>Monday</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</si>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</sst>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66]\ #,##0"/>
    <numFmt numFmtId="166" formatCode="d/mm/yyyy;@"/>
  </numFmts>
  <fonts count="1" x14ac:knownFonts="1">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14" fontId="0" fillId="0" borderId="0" xfId="0" applyNumberFormat="1" applyAlignment="1">
      <alignment vertical="center"/>
    </xf>
    <xf numFmtId="164" fontId="0" fillId="0" borderId="0" xfId="0" applyNumberFormat="1" applyAlignment="1">
      <alignment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left" indent="1"/>
    </xf>
    <xf numFmtId="0" fontId="0" fillId="2" borderId="0" xfId="0" applyFill="1"/>
  </cellXfs>
  <cellStyles count="1">
    <cellStyle name="Normal" xfId="0" builtinId="0"/>
  </cellStyles>
  <dxfs count="20">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0" formatCode="General"/>
    </dxf>
    <dxf>
      <numFmt numFmtId="0" formatCode="General"/>
    </dxf>
    <dxf>
      <numFmt numFmtId="166" formatCode="d/mm/yyyy;@"/>
    </dxf>
    <dxf>
      <numFmt numFmtId="0" formatCode="General"/>
    </dxf>
    <dxf>
      <numFmt numFmtId="0" formatCode="General"/>
    </dxf>
    <dxf>
      <numFmt numFmtId="0" formatCode="General"/>
    </dxf>
    <dxf>
      <numFmt numFmtId="19" formatCode="m/d/yyyy"/>
      <alignment horizontal="general" vertical="center" textRotation="0" wrapText="0" indent="0" justifyLastLine="0" shrinkToFit="0" readingOrder="0"/>
    </dxf>
    <dxf>
      <numFmt numFmtId="164" formatCode="[$₦-466]\ #,##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none"/>
        </c:marker>
        <c:dLbl>
          <c:idx val="0"/>
          <c:layout>
            <c:manualLayout>
              <c:x val="-7.5625109361329865E-2"/>
              <c:y val="-0.11339129483814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layout>
            <c:manualLayout>
              <c:x val="-5.340288713910761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6">
                  <a:lumMod val="75000"/>
                </a:schemeClr>
              </a:solidFill>
              <a:round/>
            </a:ln>
            <a:effectLst/>
          </c:spPr>
          <c:marker>
            <c:symbol val="none"/>
          </c:marker>
          <c:dLbls>
            <c:dLbl>
              <c:idx val="1"/>
              <c:layout>
                <c:manualLayout>
                  <c:x val="-7.5625109361329865E-2"/>
                  <c:y val="-0.11339129483814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DF-46AB-8BBA-F005C1A99E26}"/>
                </c:ext>
              </c:extLst>
            </c:dLbl>
            <c:dLbl>
              <c:idx val="10"/>
              <c:layout>
                <c:manualLayout>
                  <c:x val="-5.340288713910761E-2"/>
                  <c:y val="-0.201354257801108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DF-46AB-8BBA-F005C1A99E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Table'!$A$4:$A$19</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February</c:v>
                  </c:pt>
                  <c:pt idx="4">
                    <c:v>January</c:v>
                  </c:pt>
                  <c:pt idx="8">
                    <c:v>March</c:v>
                  </c:pt>
                </c:lvl>
              </c:multiLvlStrCache>
            </c:multiLvlStrRef>
          </c:cat>
          <c:val>
            <c:numRef>
              <c:f>'Pivot Table'!$B$4:$B$19</c:f>
              <c:numCache>
                <c:formatCode>[$₦-466]\ #,##0</c:formatCode>
                <c:ptCount val="12"/>
                <c:pt idx="0">
                  <c:v>220000</c:v>
                </c:pt>
                <c:pt idx="1">
                  <c:v>460000</c:v>
                </c:pt>
                <c:pt idx="2">
                  <c:v>350000</c:v>
                </c:pt>
                <c:pt idx="3">
                  <c:v>90000</c:v>
                </c:pt>
                <c:pt idx="4">
                  <c:v>280000</c:v>
                </c:pt>
                <c:pt idx="5">
                  <c:v>750000</c:v>
                </c:pt>
                <c:pt idx="6">
                  <c:v>1040000</c:v>
                </c:pt>
                <c:pt idx="7">
                  <c:v>380000</c:v>
                </c:pt>
                <c:pt idx="8">
                  <c:v>120000</c:v>
                </c:pt>
                <c:pt idx="9">
                  <c:v>500000</c:v>
                </c:pt>
                <c:pt idx="10">
                  <c:v>500000</c:v>
                </c:pt>
                <c:pt idx="11">
                  <c:v>310000</c:v>
                </c:pt>
              </c:numCache>
            </c:numRef>
          </c:val>
          <c:smooth val="0"/>
          <c:extLst>
            <c:ext xmlns:c16="http://schemas.microsoft.com/office/drawing/2014/chart" uri="{C3380CC4-5D6E-409C-BE32-E72D297353CC}">
              <c16:uniqueId val="{00000000-E6DF-46AB-8BBA-F005C1A99E26}"/>
            </c:ext>
          </c:extLst>
        </c:ser>
        <c:dLbls>
          <c:dLblPos val="t"/>
          <c:showLegendKey val="0"/>
          <c:showVal val="1"/>
          <c:showCatName val="0"/>
          <c:showSerName val="0"/>
          <c:showPercent val="0"/>
          <c:showBubbleSize val="0"/>
        </c:dLbls>
        <c:smooth val="0"/>
        <c:axId val="1905836880"/>
        <c:axId val="1905825648"/>
      </c:lineChart>
      <c:catAx>
        <c:axId val="190583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5825648"/>
        <c:crosses val="autoZero"/>
        <c:auto val="1"/>
        <c:lblAlgn val="ctr"/>
        <c:lblOffset val="100"/>
        <c:noMultiLvlLbl val="0"/>
      </c:catAx>
      <c:valAx>
        <c:axId val="1905825648"/>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583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tx1"/>
            </a:solidFill>
          </a:ln>
          <a:effectLst/>
        </c:spPr>
        <c:dLbl>
          <c:idx val="0"/>
          <c:layout>
            <c:manualLayout>
              <c:x val="-5.0925337632079971E-17"/>
              <c:y val="-9.7222222222222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6">
                <a:lumMod val="75000"/>
              </a:schemeClr>
            </a:solidFill>
            <a:ln w="19050">
              <a:solidFill>
                <a:schemeClr val="tx1"/>
              </a:solidFill>
            </a:ln>
            <a:effectLst/>
          </c:spPr>
          <c:invertIfNegative val="0"/>
          <c:dLbls>
            <c:dLbl>
              <c:idx val="2"/>
              <c:layout>
                <c:manualLayout>
                  <c:x val="-5.0925337632079971E-17"/>
                  <c:y val="-9.72222222222221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09-4265-9028-D8A4A6A19B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Table'!$A$25:$A$37</c:f>
              <c:multiLvlStrCache>
                <c:ptCount val="9"/>
                <c:lvl>
                  <c:pt idx="0">
                    <c:v>Accessories</c:v>
                  </c:pt>
                  <c:pt idx="1">
                    <c:v>Laptops</c:v>
                  </c:pt>
                  <c:pt idx="2">
                    <c:v>Phones</c:v>
                  </c:pt>
                  <c:pt idx="3">
                    <c:v>Accessories</c:v>
                  </c:pt>
                  <c:pt idx="4">
                    <c:v>Laptops</c:v>
                  </c:pt>
                  <c:pt idx="5">
                    <c:v>Phones</c:v>
                  </c:pt>
                  <c:pt idx="6">
                    <c:v>Accessories</c:v>
                  </c:pt>
                  <c:pt idx="7">
                    <c:v>Laptops</c:v>
                  </c:pt>
                  <c:pt idx="8">
                    <c:v>Phones</c:v>
                  </c:pt>
                </c:lvl>
                <c:lvl>
                  <c:pt idx="0">
                    <c:v>February</c:v>
                  </c:pt>
                  <c:pt idx="3">
                    <c:v>January</c:v>
                  </c:pt>
                  <c:pt idx="6">
                    <c:v>March</c:v>
                  </c:pt>
                </c:lvl>
              </c:multiLvlStrCache>
            </c:multiLvlStrRef>
          </c:cat>
          <c:val>
            <c:numRef>
              <c:f>'Pivot Table'!$B$25:$B$37</c:f>
              <c:numCache>
                <c:formatCode>[$₦-466]\ #,##0</c:formatCode>
                <c:ptCount val="9"/>
                <c:pt idx="0">
                  <c:v>630000</c:v>
                </c:pt>
                <c:pt idx="1">
                  <c:v>220000</c:v>
                </c:pt>
                <c:pt idx="2">
                  <c:v>270000</c:v>
                </c:pt>
                <c:pt idx="3">
                  <c:v>180000</c:v>
                </c:pt>
                <c:pt idx="4">
                  <c:v>1500000</c:v>
                </c:pt>
                <c:pt idx="5">
                  <c:v>770000</c:v>
                </c:pt>
                <c:pt idx="6">
                  <c:v>550000</c:v>
                </c:pt>
                <c:pt idx="7">
                  <c:v>270000</c:v>
                </c:pt>
                <c:pt idx="8">
                  <c:v>610000</c:v>
                </c:pt>
              </c:numCache>
            </c:numRef>
          </c:val>
          <c:extLst>
            <c:ext xmlns:c16="http://schemas.microsoft.com/office/drawing/2014/chart" uri="{C3380CC4-5D6E-409C-BE32-E72D297353CC}">
              <c16:uniqueId val="{00000000-1209-4265-9028-D8A4A6A19B7B}"/>
            </c:ext>
          </c:extLst>
        </c:ser>
        <c:dLbls>
          <c:showLegendKey val="0"/>
          <c:showVal val="0"/>
          <c:showCatName val="0"/>
          <c:showSerName val="0"/>
          <c:showPercent val="0"/>
          <c:showBubbleSize val="0"/>
        </c:dLbls>
        <c:gapWidth val="150"/>
        <c:axId val="639505952"/>
        <c:axId val="639505536"/>
      </c:barChart>
      <c:catAx>
        <c:axId val="63950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505536"/>
        <c:auto val="1"/>
        <c:lblAlgn val="ctr"/>
        <c:lblOffset val="100"/>
        <c:noMultiLvlLbl val="0"/>
      </c:catAx>
      <c:valAx>
        <c:axId val="639505536"/>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50595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Table'!$B$41</c:f>
              <c:strCache>
                <c:ptCount val="1"/>
                <c:pt idx="0">
                  <c:v>Total</c:v>
                </c:pt>
              </c:strCache>
            </c:strRef>
          </c:tx>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Table'!$A$42:$A$49</c:f>
              <c:strCache>
                <c:ptCount val="7"/>
                <c:pt idx="0">
                  <c:v>Friday</c:v>
                </c:pt>
                <c:pt idx="1">
                  <c:v>Monday</c:v>
                </c:pt>
                <c:pt idx="2">
                  <c:v>Saturday</c:v>
                </c:pt>
                <c:pt idx="3">
                  <c:v>Sunday</c:v>
                </c:pt>
                <c:pt idx="4">
                  <c:v>Thursday</c:v>
                </c:pt>
                <c:pt idx="5">
                  <c:v>Tuesday</c:v>
                </c:pt>
                <c:pt idx="6">
                  <c:v>Wednesday</c:v>
                </c:pt>
              </c:strCache>
            </c:strRef>
          </c:cat>
          <c:val>
            <c:numRef>
              <c:f>'Pivot Table'!$B$42:$B$49</c:f>
              <c:numCache>
                <c:formatCode>[$₦-466]\ #,##0</c:formatCode>
                <c:ptCount val="7"/>
                <c:pt idx="0">
                  <c:v>700000</c:v>
                </c:pt>
                <c:pt idx="1">
                  <c:v>180000</c:v>
                </c:pt>
                <c:pt idx="2">
                  <c:v>450000</c:v>
                </c:pt>
                <c:pt idx="3">
                  <c:v>670000</c:v>
                </c:pt>
                <c:pt idx="4">
                  <c:v>1230000</c:v>
                </c:pt>
                <c:pt idx="5">
                  <c:v>1100000</c:v>
                </c:pt>
                <c:pt idx="6">
                  <c:v>670000</c:v>
                </c:pt>
              </c:numCache>
            </c:numRef>
          </c:val>
          <c:extLst>
            <c:ext xmlns:c16="http://schemas.microsoft.com/office/drawing/2014/chart" uri="{C3380CC4-5D6E-409C-BE32-E72D297353CC}">
              <c16:uniqueId val="{00000000-AD8C-48C5-8C62-BE4531CBA174}"/>
            </c:ext>
          </c:extLst>
        </c:ser>
        <c:dLbls>
          <c:showLegendKey val="0"/>
          <c:showVal val="0"/>
          <c:showCatName val="0"/>
          <c:showSerName val="0"/>
          <c:showPercent val="0"/>
          <c:showBubbleSize val="0"/>
        </c:dLbls>
        <c:gapWidth val="182"/>
        <c:axId val="729255872"/>
        <c:axId val="729252960"/>
      </c:barChart>
      <c:catAx>
        <c:axId val="72925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52960"/>
        <c:crosses val="autoZero"/>
        <c:auto val="1"/>
        <c:lblAlgn val="ctr"/>
        <c:lblOffset val="100"/>
        <c:noMultiLvlLbl val="0"/>
      </c:catAx>
      <c:valAx>
        <c:axId val="729252960"/>
        <c:scaling>
          <c:orientation val="minMax"/>
        </c:scaling>
        <c:delete val="0"/>
        <c:axPos val="b"/>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5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by Region</a:t>
            </a:r>
            <a:endParaRPr lang="en-US" b="1"/>
          </a:p>
        </c:rich>
      </c:tx>
      <c:layout>
        <c:manualLayout>
          <c:xMode val="edge"/>
          <c:yMode val="edge"/>
          <c:x val="0.28134739008587756"/>
          <c:y val="8.9592248273244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layout>
            <c:manualLayout>
              <c:x val="-7.5625109361329865E-2"/>
              <c:y val="-0.11339129483814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layout>
            <c:manualLayout>
              <c:x val="-5.340288713910761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dLbl>
          <c:idx val="0"/>
          <c:layout>
            <c:manualLayout>
              <c:x val="-7.5625109361329865E-2"/>
              <c:y val="-0.11339129483814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none"/>
        </c:marker>
        <c:dLbl>
          <c:idx val="0"/>
          <c:layout>
            <c:manualLayout>
              <c:x val="-5.340288713910761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solidFill>
              <a:schemeClr val="tx1"/>
            </a:solidFill>
          </a:ln>
          <a:effectLst/>
        </c:spPr>
      </c:pivotFmt>
      <c:pivotFmt>
        <c:idx val="8"/>
        <c:spPr>
          <a:solidFill>
            <a:schemeClr val="accent6">
              <a:lumMod val="75000"/>
            </a:schemeClr>
          </a:solidFill>
          <a:ln>
            <a:solidFill>
              <a:schemeClr val="tx1"/>
            </a:solidFill>
          </a:ln>
          <a:effectLst/>
        </c:spPr>
      </c:pivotFmt>
    </c:pivotFmts>
    <c:plotArea>
      <c:layout/>
      <c:barChart>
        <c:barDir val="bar"/>
        <c:grouping val="clustered"/>
        <c:varyColors val="0"/>
        <c:ser>
          <c:idx val="0"/>
          <c:order val="0"/>
          <c:tx>
            <c:strRef>
              <c:f>'Pivot Table'!$B$3</c:f>
              <c:strCache>
                <c:ptCount val="1"/>
                <c:pt idx="0">
                  <c:v>Total</c:v>
                </c:pt>
              </c:strCache>
            </c:strRef>
          </c:tx>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Table'!$A$4:$A$19</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February</c:v>
                  </c:pt>
                  <c:pt idx="4">
                    <c:v>January</c:v>
                  </c:pt>
                  <c:pt idx="8">
                    <c:v>March</c:v>
                  </c:pt>
                </c:lvl>
              </c:multiLvlStrCache>
            </c:multiLvlStrRef>
          </c:cat>
          <c:val>
            <c:numRef>
              <c:f>'Pivot Table'!$B$4:$B$19</c:f>
              <c:numCache>
                <c:formatCode>[$₦-466]\ #,##0</c:formatCode>
                <c:ptCount val="12"/>
                <c:pt idx="0">
                  <c:v>220000</c:v>
                </c:pt>
                <c:pt idx="1">
                  <c:v>460000</c:v>
                </c:pt>
                <c:pt idx="2">
                  <c:v>350000</c:v>
                </c:pt>
                <c:pt idx="3">
                  <c:v>90000</c:v>
                </c:pt>
                <c:pt idx="4">
                  <c:v>280000</c:v>
                </c:pt>
                <c:pt idx="5">
                  <c:v>750000</c:v>
                </c:pt>
                <c:pt idx="6">
                  <c:v>1040000</c:v>
                </c:pt>
                <c:pt idx="7">
                  <c:v>380000</c:v>
                </c:pt>
                <c:pt idx="8">
                  <c:v>120000</c:v>
                </c:pt>
                <c:pt idx="9">
                  <c:v>500000</c:v>
                </c:pt>
                <c:pt idx="10">
                  <c:v>500000</c:v>
                </c:pt>
                <c:pt idx="11">
                  <c:v>310000</c:v>
                </c:pt>
              </c:numCache>
            </c:numRef>
          </c:val>
          <c:extLst>
            <c:ext xmlns:c16="http://schemas.microsoft.com/office/drawing/2014/chart" uri="{C3380CC4-5D6E-409C-BE32-E72D297353CC}">
              <c16:uniqueId val="{00000002-6270-45C9-890B-4CF13487F812}"/>
            </c:ext>
          </c:extLst>
        </c:ser>
        <c:dLbls>
          <c:dLblPos val="outEnd"/>
          <c:showLegendKey val="0"/>
          <c:showVal val="1"/>
          <c:showCatName val="0"/>
          <c:showSerName val="0"/>
          <c:showPercent val="0"/>
          <c:showBubbleSize val="0"/>
        </c:dLbls>
        <c:gapWidth val="150"/>
        <c:axId val="1905836880"/>
        <c:axId val="1905825648"/>
      </c:barChart>
      <c:catAx>
        <c:axId val="190583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5825648"/>
        <c:crosses val="autoZero"/>
        <c:auto val="1"/>
        <c:lblAlgn val="ctr"/>
        <c:lblOffset val="100"/>
        <c:noMultiLvlLbl val="0"/>
      </c:catAx>
      <c:valAx>
        <c:axId val="1905825648"/>
        <c:scaling>
          <c:orientation val="minMax"/>
        </c:scaling>
        <c:delete val="0"/>
        <c:axPos val="b"/>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583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By Product</a:t>
            </a:r>
            <a:endParaRPr lang="en-US" b="1"/>
          </a:p>
        </c:rich>
      </c:tx>
      <c:layout>
        <c:manualLayout>
          <c:xMode val="edge"/>
          <c:yMode val="edge"/>
          <c:x val="0.25926959192827626"/>
          <c:y val="2.59100643312322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tx1"/>
            </a:solidFill>
          </a:ln>
          <a:effectLst/>
        </c:spPr>
        <c:dLbl>
          <c:idx val="0"/>
          <c:layout>
            <c:manualLayout>
              <c:x val="-5.0925337632079971E-17"/>
              <c:y val="-9.7222222222222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tx1"/>
            </a:solidFill>
          </a:ln>
          <a:effectLst/>
        </c:spPr>
        <c:dLbl>
          <c:idx val="0"/>
          <c:layout>
            <c:manualLayout>
              <c:x val="-5.0925337632079971E-17"/>
              <c:y val="-9.7222222222222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tx1"/>
            </a:solidFill>
          </a:ln>
          <a:effectLst/>
        </c:spPr>
        <c:dLbl>
          <c:idx val="0"/>
          <c:layout>
            <c:manualLayout>
              <c:x val="1.6460905349794202E-2"/>
              <c:y val="-0.18250462659282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tx1"/>
            </a:solidFill>
          </a:ln>
          <a:effectLst/>
        </c:spPr>
        <c:dLbl>
          <c:idx val="0"/>
          <c:layout>
            <c:manualLayout>
              <c:x val="6.584362139917696E-2"/>
              <c:y val="-0.135676761485747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tx1"/>
            </a:solidFill>
          </a:ln>
          <a:effectLst/>
        </c:spPr>
        <c:dLbl>
          <c:idx val="0"/>
          <c:layout>
            <c:manualLayout>
              <c:x val="0.11522633744855952"/>
              <c:y val="-0.251971128473531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tx1"/>
            </a:solidFill>
          </a:ln>
          <a:effectLst/>
        </c:spPr>
        <c:dLbl>
          <c:idx val="0"/>
          <c:layout>
            <c:manualLayout>
              <c:x val="2.4691358024691284E-2"/>
              <c:y val="-8.140605689144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tx1"/>
            </a:solidFill>
          </a:ln>
          <a:effectLst/>
        </c:spPr>
        <c:dLbl>
          <c:idx val="0"/>
          <c:layout>
            <c:manualLayout>
              <c:x val="0.15226337448559671"/>
              <c:y val="-0.189947466080046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tx1"/>
            </a:solidFill>
          </a:ln>
          <a:effectLst/>
        </c:spPr>
        <c:dLbl>
          <c:idx val="0"/>
          <c:layout>
            <c:manualLayout>
              <c:x val="3.7037037037037035E-2"/>
              <c:y val="-0.166688592682489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tx1"/>
            </a:solidFill>
          </a:ln>
          <a:effectLst/>
        </c:spPr>
        <c:dLbl>
          <c:idx val="0"/>
          <c:layout>
            <c:manualLayout>
              <c:x val="-3.292181069958848E-2"/>
              <c:y val="-0.143429719284933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tx1"/>
            </a:solidFill>
          </a:ln>
          <a:effectLst/>
        </c:spPr>
        <c:dLbl>
          <c:idx val="0"/>
          <c:layout>
            <c:manualLayout>
              <c:x val="-5.3497942386831317E-2"/>
              <c:y val="-8.14060568914485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6">
                <a:lumMod val="75000"/>
              </a:schemeClr>
            </a:solidFill>
            <a:ln w="19050">
              <a:solidFill>
                <a:schemeClr val="tx1"/>
              </a:solidFill>
            </a:ln>
            <a:effectLst/>
          </c:spPr>
          <c:invertIfNegative val="0"/>
          <c:dLbls>
            <c:dLbl>
              <c:idx val="0"/>
              <c:layout>
                <c:manualLayout>
                  <c:x val="3.7037037037037035E-2"/>
                  <c:y val="-0.1666885926824898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8D-4D76-ABE7-46C42E96FC9C}"/>
                </c:ext>
              </c:extLst>
            </c:dLbl>
            <c:dLbl>
              <c:idx val="1"/>
              <c:layout>
                <c:manualLayout>
                  <c:x val="-3.292181069958848E-2"/>
                  <c:y val="-0.143429719284933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8D-4D76-ABE7-46C42E96FC9C}"/>
                </c:ext>
              </c:extLst>
            </c:dLbl>
            <c:dLbl>
              <c:idx val="2"/>
              <c:layout>
                <c:manualLayout>
                  <c:x val="1.6460905349794202E-2"/>
                  <c:y val="-0.182504626592828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8D-4D76-ABE7-46C42E96FC9C}"/>
                </c:ext>
              </c:extLst>
            </c:dLbl>
            <c:dLbl>
              <c:idx val="3"/>
              <c:layout>
                <c:manualLayout>
                  <c:x val="-5.3497942386831317E-2"/>
                  <c:y val="-8.14060568914485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8D-4D76-ABE7-46C42E96FC9C}"/>
                </c:ext>
              </c:extLst>
            </c:dLbl>
            <c:dLbl>
              <c:idx val="5"/>
              <c:layout>
                <c:manualLayout>
                  <c:x val="6.584362139917696E-2"/>
                  <c:y val="-0.1356767614857475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8D-4D76-ABE7-46C42E96FC9C}"/>
                </c:ext>
              </c:extLst>
            </c:dLbl>
            <c:dLbl>
              <c:idx val="6"/>
              <c:layout>
                <c:manualLayout>
                  <c:x val="2.4691358024691284E-2"/>
                  <c:y val="-8.140605689144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8D-4D76-ABE7-46C42E96FC9C}"/>
                </c:ext>
              </c:extLst>
            </c:dLbl>
            <c:dLbl>
              <c:idx val="7"/>
              <c:layout>
                <c:manualLayout>
                  <c:x val="0.15226337448559671"/>
                  <c:y val="-0.189947466080046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8D-4D76-ABE7-46C42E96FC9C}"/>
                </c:ext>
              </c:extLst>
            </c:dLbl>
            <c:dLbl>
              <c:idx val="8"/>
              <c:layout>
                <c:manualLayout>
                  <c:x val="0.11522633744855952"/>
                  <c:y val="-0.2519711284735311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8D-4D76-ABE7-46C42E96FC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Table'!$A$25:$A$37</c:f>
              <c:multiLvlStrCache>
                <c:ptCount val="9"/>
                <c:lvl>
                  <c:pt idx="0">
                    <c:v>Accessories</c:v>
                  </c:pt>
                  <c:pt idx="1">
                    <c:v>Laptops</c:v>
                  </c:pt>
                  <c:pt idx="2">
                    <c:v>Phones</c:v>
                  </c:pt>
                  <c:pt idx="3">
                    <c:v>Accessories</c:v>
                  </c:pt>
                  <c:pt idx="4">
                    <c:v>Laptops</c:v>
                  </c:pt>
                  <c:pt idx="5">
                    <c:v>Phones</c:v>
                  </c:pt>
                  <c:pt idx="6">
                    <c:v>Accessories</c:v>
                  </c:pt>
                  <c:pt idx="7">
                    <c:v>Laptops</c:v>
                  </c:pt>
                  <c:pt idx="8">
                    <c:v>Phones</c:v>
                  </c:pt>
                </c:lvl>
                <c:lvl>
                  <c:pt idx="0">
                    <c:v>February</c:v>
                  </c:pt>
                  <c:pt idx="3">
                    <c:v>January</c:v>
                  </c:pt>
                  <c:pt idx="6">
                    <c:v>March</c:v>
                  </c:pt>
                </c:lvl>
              </c:multiLvlStrCache>
            </c:multiLvlStrRef>
          </c:cat>
          <c:val>
            <c:numRef>
              <c:f>'Pivot Table'!$B$25:$B$37</c:f>
              <c:numCache>
                <c:formatCode>[$₦-466]\ #,##0</c:formatCode>
                <c:ptCount val="9"/>
                <c:pt idx="0">
                  <c:v>630000</c:v>
                </c:pt>
                <c:pt idx="1">
                  <c:v>220000</c:v>
                </c:pt>
                <c:pt idx="2">
                  <c:v>270000</c:v>
                </c:pt>
                <c:pt idx="3">
                  <c:v>180000</c:v>
                </c:pt>
                <c:pt idx="4">
                  <c:v>1500000</c:v>
                </c:pt>
                <c:pt idx="5">
                  <c:v>770000</c:v>
                </c:pt>
                <c:pt idx="6">
                  <c:v>550000</c:v>
                </c:pt>
                <c:pt idx="7">
                  <c:v>270000</c:v>
                </c:pt>
                <c:pt idx="8">
                  <c:v>610000</c:v>
                </c:pt>
              </c:numCache>
            </c:numRef>
          </c:val>
          <c:extLst>
            <c:ext xmlns:c16="http://schemas.microsoft.com/office/drawing/2014/chart" uri="{C3380CC4-5D6E-409C-BE32-E72D297353CC}">
              <c16:uniqueId val="{00000001-2C8D-4D76-ABE7-46C42E96FC9C}"/>
            </c:ext>
          </c:extLst>
        </c:ser>
        <c:dLbls>
          <c:showLegendKey val="0"/>
          <c:showVal val="0"/>
          <c:showCatName val="0"/>
          <c:showSerName val="0"/>
          <c:showPercent val="0"/>
          <c:showBubbleSize val="0"/>
        </c:dLbls>
        <c:gapWidth val="150"/>
        <c:axId val="639505952"/>
        <c:axId val="639505536"/>
      </c:barChart>
      <c:catAx>
        <c:axId val="63950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505536"/>
        <c:crosses val="autoZero"/>
        <c:auto val="1"/>
        <c:lblAlgn val="ctr"/>
        <c:lblOffset val="100"/>
        <c:noMultiLvlLbl val="0"/>
      </c:catAx>
      <c:valAx>
        <c:axId val="639505536"/>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50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tx1"/>
            </a:solidFill>
          </a:ln>
          <a:effectLst/>
        </c:spPr>
        <c:dLbl>
          <c:idx val="0"/>
          <c:layout>
            <c:manualLayout>
              <c:x val="0.10281923714759536"/>
              <c:y val="-7.41748774946413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solidFill>
              <a:schemeClr val="accent6">
                <a:lumMod val="75000"/>
              </a:schemeClr>
            </a:solidFill>
            <a:ln>
              <a:solidFill>
                <a:schemeClr val="tx1"/>
              </a:solidFill>
            </a:ln>
            <a:effectLst/>
          </c:spPr>
          <c:invertIfNegative val="0"/>
          <c:dLbls>
            <c:dLbl>
              <c:idx val="5"/>
              <c:layout>
                <c:manualLayout>
                  <c:x val="0.10281923714759536"/>
                  <c:y val="-7.41748774946413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E9-422F-9F46-CDB677D07B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Table'!$A$42:$A$49</c:f>
              <c:strCache>
                <c:ptCount val="7"/>
                <c:pt idx="0">
                  <c:v>Friday</c:v>
                </c:pt>
                <c:pt idx="1">
                  <c:v>Monday</c:v>
                </c:pt>
                <c:pt idx="2">
                  <c:v>Saturday</c:v>
                </c:pt>
                <c:pt idx="3">
                  <c:v>Sunday</c:v>
                </c:pt>
                <c:pt idx="4">
                  <c:v>Thursday</c:v>
                </c:pt>
                <c:pt idx="5">
                  <c:v>Tuesday</c:v>
                </c:pt>
                <c:pt idx="6">
                  <c:v>Wednesday</c:v>
                </c:pt>
              </c:strCache>
            </c:strRef>
          </c:cat>
          <c:val>
            <c:numRef>
              <c:f>'Pivot Table'!$B$42:$B$49</c:f>
              <c:numCache>
                <c:formatCode>[$₦-466]\ #,##0</c:formatCode>
                <c:ptCount val="7"/>
                <c:pt idx="0">
                  <c:v>700000</c:v>
                </c:pt>
                <c:pt idx="1">
                  <c:v>180000</c:v>
                </c:pt>
                <c:pt idx="2">
                  <c:v>450000</c:v>
                </c:pt>
                <c:pt idx="3">
                  <c:v>670000</c:v>
                </c:pt>
                <c:pt idx="4">
                  <c:v>1230000</c:v>
                </c:pt>
                <c:pt idx="5">
                  <c:v>1100000</c:v>
                </c:pt>
                <c:pt idx="6">
                  <c:v>670000</c:v>
                </c:pt>
              </c:numCache>
            </c:numRef>
          </c:val>
          <c:extLst>
            <c:ext xmlns:c16="http://schemas.microsoft.com/office/drawing/2014/chart" uri="{C3380CC4-5D6E-409C-BE32-E72D297353CC}">
              <c16:uniqueId val="{00000000-88E9-422F-9F46-CDB677D07B48}"/>
            </c:ext>
          </c:extLst>
        </c:ser>
        <c:dLbls>
          <c:showLegendKey val="0"/>
          <c:showVal val="0"/>
          <c:showCatName val="0"/>
          <c:showSerName val="0"/>
          <c:showPercent val="0"/>
          <c:showBubbleSize val="0"/>
        </c:dLbls>
        <c:gapWidth val="182"/>
        <c:axId val="729255872"/>
        <c:axId val="729252960"/>
      </c:barChart>
      <c:catAx>
        <c:axId val="72925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9252960"/>
        <c:crosses val="autoZero"/>
        <c:auto val="1"/>
        <c:lblAlgn val="ctr"/>
        <c:lblOffset val="100"/>
        <c:noMultiLvlLbl val="0"/>
      </c:catAx>
      <c:valAx>
        <c:axId val="729252960"/>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5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152400</xdr:colOff>
      <xdr:row>2</xdr:row>
      <xdr:rowOff>14287</xdr:rowOff>
    </xdr:from>
    <xdr:to>
      <xdr:col>9</xdr:col>
      <xdr:colOff>457200</xdr:colOff>
      <xdr:row>16</xdr:row>
      <xdr:rowOff>90487</xdr:rowOff>
    </xdr:to>
    <xdr:graphicFrame macro="">
      <xdr:nvGraphicFramePr>
        <xdr:cNvPr id="2" name="Chart 1">
          <a:extLst>
            <a:ext uri="{FF2B5EF4-FFF2-40B4-BE49-F238E27FC236}">
              <a16:creationId xmlns:a16="http://schemas.microsoft.com/office/drawing/2014/main" id="{32E7A4E8-C675-455F-A2DF-F0A85BEDB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561975</xdr:colOff>
      <xdr:row>1</xdr:row>
      <xdr:rowOff>161926</xdr:rowOff>
    </xdr:from>
    <xdr:to>
      <xdr:col>12</xdr:col>
      <xdr:colOff>561975</xdr:colOff>
      <xdr:row>8</xdr:row>
      <xdr:rowOff>9526</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0328DE0-8B02-495B-AD0A-F79DB0FD435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746517" y="349743"/>
              <a:ext cx="1811092" cy="1162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428625</xdr:colOff>
      <xdr:row>22</xdr:row>
      <xdr:rowOff>157162</xdr:rowOff>
    </xdr:from>
    <xdr:to>
      <xdr:col>10</xdr:col>
      <xdr:colOff>123825</xdr:colOff>
      <xdr:row>37</xdr:row>
      <xdr:rowOff>42862</xdr:rowOff>
    </xdr:to>
    <xdr:graphicFrame macro="">
      <xdr:nvGraphicFramePr>
        <xdr:cNvPr id="4" name="Chart 3">
          <a:extLst>
            <a:ext uri="{FF2B5EF4-FFF2-40B4-BE49-F238E27FC236}">
              <a16:creationId xmlns:a16="http://schemas.microsoft.com/office/drawing/2014/main" id="{75EE3CBC-0367-4678-B2E9-2058A6632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257175</xdr:colOff>
      <xdr:row>38</xdr:row>
      <xdr:rowOff>33337</xdr:rowOff>
    </xdr:from>
    <xdr:to>
      <xdr:col>9</xdr:col>
      <xdr:colOff>561975</xdr:colOff>
      <xdr:row>52</xdr:row>
      <xdr:rowOff>109537</xdr:rowOff>
    </xdr:to>
    <xdr:graphicFrame macro="">
      <xdr:nvGraphicFramePr>
        <xdr:cNvPr id="5" name="Chart 4">
          <a:extLst>
            <a:ext uri="{FF2B5EF4-FFF2-40B4-BE49-F238E27FC236}">
              <a16:creationId xmlns:a16="http://schemas.microsoft.com/office/drawing/2014/main" id="{75B439C0-0457-45BF-BEEE-D9AD4330E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325581</xdr:colOff>
      <xdr:row>18</xdr:row>
      <xdr:rowOff>32904</xdr:rowOff>
    </xdr:from>
    <xdr:to>
      <xdr:col>7</xdr:col>
      <xdr:colOff>548986</xdr:colOff>
      <xdr:row>22</xdr:row>
      <xdr:rowOff>42430</xdr:rowOff>
    </xdr:to>
    <xdr:grpSp>
      <xdr:nvGrpSpPr>
        <xdr:cNvPr id="8" name="Group 7">
          <a:extLst>
            <a:ext uri="{FF2B5EF4-FFF2-40B4-BE49-F238E27FC236}">
              <a16:creationId xmlns:a16="http://schemas.microsoft.com/office/drawing/2014/main" id="{87FDCABD-C000-4CDA-806D-0CC862C7E2D4}"/>
            </a:ext>
          </a:extLst>
        </xdr:cNvPr>
        <xdr:cNvGrpSpPr/>
      </xdr:nvGrpSpPr>
      <xdr:grpSpPr>
        <a:xfrm>
          <a:off x="3491637" y="3413608"/>
          <a:ext cx="2034497" cy="760794"/>
          <a:chOff x="1552575" y="10553700"/>
          <a:chExt cx="2038350" cy="771526"/>
        </a:xfrm>
      </xdr:grpSpPr>
      <xdr:sp macro="" textlink="$A$57">
        <xdr:nvSpPr>
          <xdr:cNvPr id="6" name="Rectangle: Rounded Corners 5">
            <a:extLst>
              <a:ext uri="{FF2B5EF4-FFF2-40B4-BE49-F238E27FC236}">
                <a16:creationId xmlns:a16="http://schemas.microsoft.com/office/drawing/2014/main" id="{63DBC372-45D8-4DE6-A54A-C9136943D369}"/>
              </a:ext>
            </a:extLst>
          </xdr:cNvPr>
          <xdr:cNvSpPr/>
        </xdr:nvSpPr>
        <xdr:spPr>
          <a:xfrm>
            <a:off x="1552575" y="10553700"/>
            <a:ext cx="2038350" cy="619125"/>
          </a:xfrm>
          <a:prstGeom prst="roundRect">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E1EE47A-984A-47FF-8E7B-8954C802C936}" type="TxLink">
              <a:rPr lang="en-US" sz="1100" b="1" i="0" u="none" strike="noStrike">
                <a:solidFill>
                  <a:srgbClr val="000000"/>
                </a:solidFill>
                <a:latin typeface="Calibri"/>
                <a:cs typeface="Calibri"/>
              </a:rPr>
              <a:pPr algn="ctr"/>
              <a:t>₦ 5,000,000</a:t>
            </a:fld>
            <a:endParaRPr lang="en-US" sz="1100" b="1"/>
          </a:p>
        </xdr:txBody>
      </xdr:sp>
      <xdr:sp macro="" textlink="">
        <xdr:nvSpPr>
          <xdr:cNvPr id="7" name="TextBox 6">
            <a:extLst>
              <a:ext uri="{FF2B5EF4-FFF2-40B4-BE49-F238E27FC236}">
                <a16:creationId xmlns:a16="http://schemas.microsoft.com/office/drawing/2014/main" id="{03CF903A-B599-4F91-805D-90F62A953C2E}"/>
              </a:ext>
            </a:extLst>
          </xdr:cNvPr>
          <xdr:cNvSpPr txBox="1"/>
        </xdr:nvSpPr>
        <xdr:spPr>
          <a:xfrm>
            <a:off x="1866899" y="11087100"/>
            <a:ext cx="1381125"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Revenue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66676</xdr:colOff>
      <xdr:row>2</xdr:row>
      <xdr:rowOff>47625</xdr:rowOff>
    </xdr:from>
    <xdr:to>
      <xdr:col>13</xdr:col>
      <xdr:colOff>171450</xdr:colOff>
      <xdr:row>31</xdr:row>
      <xdr:rowOff>76200</xdr:rowOff>
    </xdr:to>
    <xdr:sp macro="" textlink="">
      <xdr:nvSpPr>
        <xdr:cNvPr id="9" name="Rectangle: Rounded Corners 8">
          <a:extLst>
            <a:ext uri="{FF2B5EF4-FFF2-40B4-BE49-F238E27FC236}">
              <a16:creationId xmlns:a16="http://schemas.microsoft.com/office/drawing/2014/main" id="{7FC6CA9D-7430-41CD-A99A-9F200DB4B9CE}"/>
            </a:ext>
          </a:extLst>
        </xdr:cNvPr>
        <xdr:cNvSpPr/>
      </xdr:nvSpPr>
      <xdr:spPr>
        <a:xfrm>
          <a:off x="66676" y="428625"/>
          <a:ext cx="8029574" cy="5553075"/>
        </a:xfrm>
        <a:prstGeom prst="roundRect">
          <a:avLst/>
        </a:prstGeom>
        <a:solidFill>
          <a:schemeClr val="accent6">
            <a:lumMod val="50000"/>
          </a:schemeClr>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285750</xdr:colOff>
      <xdr:row>7</xdr:row>
      <xdr:rowOff>161926</xdr:rowOff>
    </xdr:from>
    <xdr:to>
      <xdr:col>12</xdr:col>
      <xdr:colOff>209549</xdr:colOff>
      <xdr:row>29</xdr:row>
      <xdr:rowOff>180976</xdr:rowOff>
    </xdr:to>
    <xdr:graphicFrame macro="">
      <xdr:nvGraphicFramePr>
        <xdr:cNvPr id="2" name="Chart 1">
          <a:extLst>
            <a:ext uri="{FF2B5EF4-FFF2-40B4-BE49-F238E27FC236}">
              <a16:creationId xmlns:a16="http://schemas.microsoft.com/office/drawing/2014/main" id="{341BBA6D-2758-4ECF-B323-78FC99F44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466725</xdr:colOff>
      <xdr:row>3</xdr:row>
      <xdr:rowOff>28575</xdr:rowOff>
    </xdr:from>
    <xdr:to>
      <xdr:col>6</xdr:col>
      <xdr:colOff>219075</xdr:colOff>
      <xdr:row>7</xdr:row>
      <xdr:rowOff>28575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456C905F-A2CB-4316-A9D7-5C0FEBFD3F3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66725" y="600075"/>
              <a:ext cx="340995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523875</xdr:colOff>
      <xdr:row>7</xdr:row>
      <xdr:rowOff>152831</xdr:rowOff>
    </xdr:from>
    <xdr:to>
      <xdr:col>6</xdr:col>
      <xdr:colOff>257174</xdr:colOff>
      <xdr:row>20</xdr:row>
      <xdr:rowOff>19050</xdr:rowOff>
    </xdr:to>
    <xdr:graphicFrame macro="">
      <xdr:nvGraphicFramePr>
        <xdr:cNvPr id="4" name="Chart 3">
          <a:extLst>
            <a:ext uri="{FF2B5EF4-FFF2-40B4-BE49-F238E27FC236}">
              <a16:creationId xmlns:a16="http://schemas.microsoft.com/office/drawing/2014/main" id="{FDA5E1EE-C0A1-43E4-B7CF-7FE23782C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485777</xdr:colOff>
      <xdr:row>20</xdr:row>
      <xdr:rowOff>60179</xdr:rowOff>
    </xdr:from>
    <xdr:to>
      <xdr:col>6</xdr:col>
      <xdr:colOff>257175</xdr:colOff>
      <xdr:row>30</xdr:row>
      <xdr:rowOff>38101</xdr:rowOff>
    </xdr:to>
    <xdr:graphicFrame macro="">
      <xdr:nvGraphicFramePr>
        <xdr:cNvPr id="5" name="Chart 4">
          <a:extLst>
            <a:ext uri="{FF2B5EF4-FFF2-40B4-BE49-F238E27FC236}">
              <a16:creationId xmlns:a16="http://schemas.microsoft.com/office/drawing/2014/main" id="{1FDEC661-8850-4472-A09A-1F645DFDA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295274</xdr:colOff>
      <xdr:row>3</xdr:row>
      <xdr:rowOff>20780</xdr:rowOff>
    </xdr:from>
    <xdr:to>
      <xdr:col>12</xdr:col>
      <xdr:colOff>152399</xdr:colOff>
      <xdr:row>7</xdr:row>
      <xdr:rowOff>47624</xdr:rowOff>
    </xdr:to>
    <xdr:grpSp>
      <xdr:nvGrpSpPr>
        <xdr:cNvPr id="6" name="Group 5">
          <a:extLst>
            <a:ext uri="{FF2B5EF4-FFF2-40B4-BE49-F238E27FC236}">
              <a16:creationId xmlns:a16="http://schemas.microsoft.com/office/drawing/2014/main" id="{CCA5D4E7-2B20-4B7E-92DA-673DB1BE7150}"/>
            </a:ext>
          </a:extLst>
        </xdr:cNvPr>
        <xdr:cNvGrpSpPr/>
      </xdr:nvGrpSpPr>
      <xdr:grpSpPr>
        <a:xfrm>
          <a:off x="3952874" y="592280"/>
          <a:ext cx="3514725" cy="788844"/>
          <a:chOff x="1552575" y="10553700"/>
          <a:chExt cx="2038350" cy="771526"/>
        </a:xfrm>
      </xdr:grpSpPr>
      <xdr:sp macro="" textlink="'Pivot Table'!$A$57">
        <xdr:nvSpPr>
          <xdr:cNvPr id="7" name="Rectangle: Rounded Corners 6">
            <a:extLst>
              <a:ext uri="{FF2B5EF4-FFF2-40B4-BE49-F238E27FC236}">
                <a16:creationId xmlns:a16="http://schemas.microsoft.com/office/drawing/2014/main" id="{89A7F72F-9865-48C9-8687-566A8E3AA8EA}"/>
              </a:ext>
            </a:extLst>
          </xdr:cNvPr>
          <xdr:cNvSpPr/>
        </xdr:nvSpPr>
        <xdr:spPr>
          <a:xfrm>
            <a:off x="1552575" y="10553700"/>
            <a:ext cx="2038350" cy="619125"/>
          </a:xfrm>
          <a:prstGeom prst="roundRect">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F585610-C85A-4414-94E9-316E5384DD69}" type="TxLink">
              <a:rPr lang="en-US" sz="1100" b="1" i="0" u="none" strike="noStrike">
                <a:solidFill>
                  <a:srgbClr val="000000"/>
                </a:solidFill>
                <a:latin typeface="Calibri"/>
                <a:cs typeface="Calibri"/>
              </a:rPr>
              <a:t>₦ 5,000,000</a:t>
            </a:fld>
            <a:endParaRPr lang="en-US" sz="1100" b="1"/>
          </a:p>
        </xdr:txBody>
      </xdr:sp>
      <xdr:sp macro="" textlink="">
        <xdr:nvSpPr>
          <xdr:cNvPr id="8" name="TextBox 7">
            <a:extLst>
              <a:ext uri="{FF2B5EF4-FFF2-40B4-BE49-F238E27FC236}">
                <a16:creationId xmlns:a16="http://schemas.microsoft.com/office/drawing/2014/main" id="{F2FD6D28-676A-4D7D-8175-37F3D49E8A72}"/>
              </a:ext>
            </a:extLst>
          </xdr:cNvPr>
          <xdr:cNvSpPr txBox="1"/>
        </xdr:nvSpPr>
        <xdr:spPr>
          <a:xfrm>
            <a:off x="1866899" y="11087100"/>
            <a:ext cx="1381125"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Revenue</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9.924214583334" backgroundQuery="1" createdVersion="7" refreshedVersion="7" minRefreshableVersion="3" recordCount="0" supportSubquery="1" supportAdvancedDrill="1" xr:uid="{A71C4FBF-D722-4F5E-858C-130BD10EDEA8}">
  <cacheSource type="external" connectionId="3"/>
  <cacheFields count="4">
    <cacheField name="[Table1__2].[Month].[Month]" caption="Month" numFmtId="0" hierarchy="18" level="1">
      <sharedItems count="3">
        <s v="February"/>
        <s v="January"/>
        <s v="March"/>
      </sharedItems>
    </cacheField>
    <cacheField name="[Table1__2].[Region].[Region]" caption="Region" numFmtId="0" hierarchy="17" level="1">
      <sharedItems count="4">
        <s v="East"/>
        <s v="North"/>
        <s v="South"/>
        <s v="West"/>
      </sharedItems>
    </cacheField>
    <cacheField name="[Measures].[Sum of Price (₦)]" caption="Sum of Price (₦)" numFmtId="0" hierarchy="24" level="32767"/>
    <cacheField name="[Table1__2].[Product].[Product]" caption="Product" numFmtId="0" hierarchy="14" level="1">
      <sharedItems containsSemiMixedTypes="0" containsNonDate="0" containsString="0"/>
    </cacheField>
  </cacheFields>
  <cacheHierarchies count="25">
    <cacheHierarchy uniqueName="[Table1  2].[Order ID]" caption="Order ID" attribute="1" defaultMemberUniqueName="[Table1  2].[Order ID].[All]" allUniqueName="[Table1  2].[Order ID].[All]" dimensionUniqueName="[Table1  2]" displayFolder="" count="2" memberValueDatatype="20" unbalanced="0"/>
    <cacheHierarchy uniqueName="[Table1  2].[Customer Name]" caption="Customer Name" attribute="1" defaultMemberUniqueName="[Table1  2].[Customer Name].[All]" allUniqueName="[Table1  2].[Customer Name].[All]" dimensionUniqueName="[Table1  2]" displayFolder="" count="2" memberValueDatatype="130" unbalanced="0"/>
    <cacheHierarchy uniqueName="[Table1  2].[Product]" caption="Product" attribute="1" defaultMemberUniqueName="[Table1  2].[Product].[All]" allUniqueName="[Table1  2].[Product].[All]" dimensionUniqueName="[Table1  2]" displayFolder="" count="2" memberValueDatatype="130" unbalanced="0"/>
    <cacheHierarchy uniqueName="[Table1  2].[Price (₦)]" caption="Price (₦)" attribute="1" defaultMemberUniqueName="[Table1  2].[Price (₦)].[All]" allUniqueName="[Table1  2].[Price (₦)].[All]" dimensionUniqueName="[Table1  2]" displayFolder="" count="2" memberValueDatatype="20" unbalanced="0"/>
    <cacheHierarchy uniqueName="[Table1  2].[Date]" caption="Date" attribute="1" time="1" defaultMemberUniqueName="[Table1  2].[Date].[All]" allUniqueName="[Table1  2].[Date].[All]" dimensionUniqueName="[Table1  2]" displayFolder="" count="2" memberValueDatatype="7" unbalanced="0"/>
    <cacheHierarchy uniqueName="[Table1  2].[Region]" caption="Region" attribute="1" defaultMemberUniqueName="[Table1  2].[Region].[All]" allUniqueName="[Table1  2].[Region].[All]" dimensionUniqueName="[Table1  2]" displayFolder="" count="2" memberValueDatatype="130" unbalanced="0"/>
    <cacheHierarchy uniqueName="[Table1 1].[Order ID]" caption="Order ID" attribute="1" defaultMemberUniqueName="[Table1 1].[Order ID].[All]" allUniqueName="[Table1 1].[Order ID].[All]" dimensionUniqueName="[Table1 1]" displayFolder="" count="2" memberValueDatatype="20" unbalanced="0"/>
    <cacheHierarchy uniqueName="[Table1 1].[Customer Name]" caption="Customer Name" attribute="1" defaultMemberUniqueName="[Table1 1].[Customer Name].[All]" allUniqueName="[Table1 1].[Customer Name].[All]" dimensionUniqueName="[Table1 1]" displayFolder="" count="2" memberValueDatatype="130" unbalanced="0"/>
    <cacheHierarchy uniqueName="[Table1 1].[Product]" caption="Product" attribute="1" defaultMemberUniqueName="[Table1 1].[Product].[All]" allUniqueName="[Table1 1].[Product].[All]" dimensionUniqueName="[Table1 1]" displayFolder="" count="2" memberValueDatatype="130" unbalanced="0"/>
    <cacheHierarchy uniqueName="[Table1 1].[Price (₦)]" caption="Price (₦)" attribute="1" defaultMemberUniqueName="[Table1 1].[Price (₦)].[All]" allUniqueName="[Table1 1].[Price (₦)].[All]" dimensionUniqueName="[Table1 1]" displayFolder="" count="2" memberValueDatatype="20" unbalanced="0"/>
    <cacheHierarchy uniqueName="[Table1 1].[Date]" caption="Date" attribute="1" defaultMemberUniqueName="[Table1 1].[Date].[All]" allUniqueName="[Table1 1].[Date].[All]" dimensionUniqueName="[Table1 1]" displayFolder="" count="2" memberValueDatatype="130" unbalanced="0"/>
    <cacheHierarchy uniqueName="[Table1 1].[Region]" caption="Region" attribute="1" defaultMemberUniqueName="[Table1 1].[Region].[All]" allUniqueName="[Table1 1].[Region].[All]" dimensionUniqueName="[Table1 1]" displayFolder="" count="2" memberValueDatatype="130" unbalanced="0"/>
    <cacheHierarchy uniqueName="[Table1__2].[Order ID]" caption="Order ID" attribute="1" defaultMemberUniqueName="[Table1__2].[Order ID].[All]" allUniqueName="[Table1__2].[Order ID].[All]" dimensionUniqueName="[Table1__2]" displayFolder="" count="2" memberValueDatatype="20" unbalanced="0"/>
    <cacheHierarchy uniqueName="[Table1__2].[Customer Name]" caption="Customer Name" attribute="1" defaultMemberUniqueName="[Table1__2].[Customer Name].[All]" allUniqueName="[Table1__2].[Customer Name].[All]" dimensionUniqueName="[Table1__2]" displayFolder="" count="2" memberValueDatatype="130" unbalanced="0"/>
    <cacheHierarchy uniqueName="[Table1__2].[Product]" caption="Product" attribute="1" defaultMemberUniqueName="[Table1__2].[Product].[All]" allUniqueName="[Table1__2].[Product].[All]" dimensionUniqueName="[Table1__2]" displayFolder="" count="2" memberValueDatatype="130" unbalanced="0">
      <fieldsUsage count="2">
        <fieldUsage x="-1"/>
        <fieldUsage x="3"/>
      </fieldsUsage>
    </cacheHierarchy>
    <cacheHierarchy uniqueName="[Table1__2].[Price (₦)]" caption="Price (₦)" attribute="1" defaultMemberUniqueName="[Table1__2].[Price (₦)].[All]" allUniqueName="[Table1__2].[Price (₦)].[All]" dimensionUniqueName="[Table1__2]" displayFolder="" count="2" memberValueDatatype="20" unbalanced="0"/>
    <cacheHierarchy uniqueName="[Table1__2].[Date]" caption="Date" attribute="1" time="1" defaultMemberUniqueName="[Table1__2].[Date].[All]" allUniqueName="[Table1__2].[Date].[All]" dimensionUniqueName="[Table1__2]" displayFolder="" count="2" memberValueDatatype="7" unbalanced="0"/>
    <cacheHierarchy uniqueName="[Table1__2].[Region]" caption="Region" attribute="1" defaultMemberUniqueName="[Table1__2].[Region].[All]" allUniqueName="[Table1__2].[Region].[All]" dimensionUniqueName="[Table1__2]" displayFolder="" count="2" memberValueDatatype="130" unbalanced="0">
      <fieldsUsage count="2">
        <fieldUsage x="-1"/>
        <fieldUsage x="1"/>
      </fieldsUsage>
    </cacheHierarchy>
    <cacheHierarchy uniqueName="[Table1__2].[Month]" caption="Month" attribute="1" defaultMemberUniqueName="[Table1__2].[Month].[All]" allUniqueName="[Table1__2].[Month].[All]" dimensionUniqueName="[Table1__2]" displayFolder="" count="2" memberValueDatatype="130" unbalanced="0">
      <fieldsUsage count="2">
        <fieldUsage x="-1"/>
        <fieldUsage x="0"/>
      </fieldsUsage>
    </cacheHierarchy>
    <cacheHierarchy uniqueName="[Table1__2].[Day]" caption="Day" attribute="1" defaultMemberUniqueName="[Table1__2].[Day].[All]" allUniqueName="[Table1__2].[Day].[All]" dimensionUniqueName="[Table1__2]" displayFolder="" count="2" memberValueDatatype="130" unbalanced="0"/>
    <cacheHierarchy uniqueName="[Measures].[__XL_Count Table1 1]" caption="__XL_Count Table1 1" measure="1" displayFolder="" measureGroup="Table1 1" count="0" hidden="1"/>
    <cacheHierarchy uniqueName="[Measures].[__XL_Count Table1  2]" caption="__XL_Count Table1  2" measure="1" displayFolder="" measureGroup="Table1  2" count="0" hidden="1"/>
    <cacheHierarchy uniqueName="[Measures].[__XL_Count Table1__2]" caption="__XL_Count Table1__2" measure="1" displayFolder="" measureGroup="Table1__2" count="0" hidden="1"/>
    <cacheHierarchy uniqueName="[Measures].[__No measures defined]" caption="__No measures defined" measure="1" displayFolder="" count="0" hidden="1"/>
    <cacheHierarchy uniqueName="[Measures].[Sum of Price (₦)]" caption="Sum of Price (₦)" measure="1" displayFolder="" measureGroup="Table1__2"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Table1  2" uniqueName="[Table1  2]" caption="Table1  2"/>
    <dimension name="Table1 1" uniqueName="[Table1 1]" caption="Table1 1"/>
    <dimension name="Table1__2" uniqueName="[Table1__2]" caption="Table1__2"/>
  </dimensions>
  <measureGroups count="3">
    <measureGroup name="Table1  2" caption="Table1  2"/>
    <measureGroup name="Table1 1" caption="Table1 1"/>
    <measureGroup name="Table1__2" caption="Table1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9.924216087966" backgroundQuery="1" createdVersion="7" refreshedVersion="7" minRefreshableVersion="3" recordCount="0" supportSubquery="1" supportAdvancedDrill="1" xr:uid="{C02341B9-001B-412A-B3A4-97E6400DDDCC}">
  <cacheSource type="external" connectionId="3"/>
  <cacheFields count="3">
    <cacheField name="[Table1__2].[Month].[Month]" caption="Month" numFmtId="0" hierarchy="18" level="1">
      <sharedItems count="3">
        <s v="February"/>
        <s v="January"/>
        <s v="March"/>
      </sharedItems>
    </cacheField>
    <cacheField name="[Measures].[Sum of Price (₦)]" caption="Sum of Price (₦)" numFmtId="0" hierarchy="24" level="32767"/>
    <cacheField name="[Table1__2].[Product].[Product]" caption="Product" numFmtId="0" hierarchy="14" level="1">
      <sharedItems count="3">
        <s v="Accessories"/>
        <s v="Laptops"/>
        <s v="Phones"/>
      </sharedItems>
    </cacheField>
  </cacheFields>
  <cacheHierarchies count="25">
    <cacheHierarchy uniqueName="[Table1  2].[Order ID]" caption="Order ID" attribute="1" defaultMemberUniqueName="[Table1  2].[Order ID].[All]" allUniqueName="[Table1  2].[Order ID].[All]" dimensionUniqueName="[Table1  2]" displayFolder="" count="2" memberValueDatatype="20" unbalanced="0"/>
    <cacheHierarchy uniqueName="[Table1  2].[Customer Name]" caption="Customer Name" attribute="1" defaultMemberUniqueName="[Table1  2].[Customer Name].[All]" allUniqueName="[Table1  2].[Customer Name].[All]" dimensionUniqueName="[Table1  2]" displayFolder="" count="2" memberValueDatatype="130" unbalanced="0"/>
    <cacheHierarchy uniqueName="[Table1  2].[Product]" caption="Product" attribute="1" defaultMemberUniqueName="[Table1  2].[Product].[All]" allUniqueName="[Table1  2].[Product].[All]" dimensionUniqueName="[Table1  2]" displayFolder="" count="2" memberValueDatatype="130" unbalanced="0"/>
    <cacheHierarchy uniqueName="[Table1  2].[Price (₦)]" caption="Price (₦)" attribute="1" defaultMemberUniqueName="[Table1  2].[Price (₦)].[All]" allUniqueName="[Table1  2].[Price (₦)].[All]" dimensionUniqueName="[Table1  2]" displayFolder="" count="2" memberValueDatatype="20" unbalanced="0"/>
    <cacheHierarchy uniqueName="[Table1  2].[Date]" caption="Date" attribute="1" time="1" defaultMemberUniqueName="[Table1  2].[Date].[All]" allUniqueName="[Table1  2].[Date].[All]" dimensionUniqueName="[Table1  2]" displayFolder="" count="2" memberValueDatatype="7" unbalanced="0"/>
    <cacheHierarchy uniqueName="[Table1  2].[Region]" caption="Region" attribute="1" defaultMemberUniqueName="[Table1  2].[Region].[All]" allUniqueName="[Table1  2].[Region].[All]" dimensionUniqueName="[Table1  2]" displayFolder="" count="2" memberValueDatatype="130" unbalanced="0"/>
    <cacheHierarchy uniqueName="[Table1 1].[Order ID]" caption="Order ID" attribute="1" defaultMemberUniqueName="[Table1 1].[Order ID].[All]" allUniqueName="[Table1 1].[Order ID].[All]" dimensionUniqueName="[Table1 1]" displayFolder="" count="2" memberValueDatatype="20" unbalanced="0"/>
    <cacheHierarchy uniqueName="[Table1 1].[Customer Name]" caption="Customer Name" attribute="1" defaultMemberUniqueName="[Table1 1].[Customer Name].[All]" allUniqueName="[Table1 1].[Customer Name].[All]" dimensionUniqueName="[Table1 1]" displayFolder="" count="2" memberValueDatatype="130" unbalanced="0"/>
    <cacheHierarchy uniqueName="[Table1 1].[Product]" caption="Product" attribute="1" defaultMemberUniqueName="[Table1 1].[Product].[All]" allUniqueName="[Table1 1].[Product].[All]" dimensionUniqueName="[Table1 1]" displayFolder="" count="2" memberValueDatatype="130" unbalanced="0"/>
    <cacheHierarchy uniqueName="[Table1 1].[Price (₦)]" caption="Price (₦)" attribute="1" defaultMemberUniqueName="[Table1 1].[Price (₦)].[All]" allUniqueName="[Table1 1].[Price (₦)].[All]" dimensionUniqueName="[Table1 1]" displayFolder="" count="2" memberValueDatatype="20" unbalanced="0"/>
    <cacheHierarchy uniqueName="[Table1 1].[Date]" caption="Date" attribute="1" defaultMemberUniqueName="[Table1 1].[Date].[All]" allUniqueName="[Table1 1].[Date].[All]" dimensionUniqueName="[Table1 1]" displayFolder="" count="2" memberValueDatatype="130" unbalanced="0"/>
    <cacheHierarchy uniqueName="[Table1 1].[Region]" caption="Region" attribute="1" defaultMemberUniqueName="[Table1 1].[Region].[All]" allUniqueName="[Table1 1].[Region].[All]" dimensionUniqueName="[Table1 1]" displayFolder="" count="2" memberValueDatatype="130" unbalanced="0"/>
    <cacheHierarchy uniqueName="[Table1__2].[Order ID]" caption="Order ID" attribute="1" defaultMemberUniqueName="[Table1__2].[Order ID].[All]" allUniqueName="[Table1__2].[Order ID].[All]" dimensionUniqueName="[Table1__2]" displayFolder="" count="2" memberValueDatatype="20" unbalanced="0"/>
    <cacheHierarchy uniqueName="[Table1__2].[Customer Name]" caption="Customer Name" attribute="1" defaultMemberUniqueName="[Table1__2].[Customer Name].[All]" allUniqueName="[Table1__2].[Customer Name].[All]" dimensionUniqueName="[Table1__2]" displayFolder="" count="2" memberValueDatatype="130" unbalanced="0"/>
    <cacheHierarchy uniqueName="[Table1__2].[Product]" caption="Product" attribute="1" defaultMemberUniqueName="[Table1__2].[Product].[All]" allUniqueName="[Table1__2].[Product].[All]" dimensionUniqueName="[Table1__2]" displayFolder="" count="2" memberValueDatatype="130" unbalanced="0">
      <fieldsUsage count="2">
        <fieldUsage x="-1"/>
        <fieldUsage x="2"/>
      </fieldsUsage>
    </cacheHierarchy>
    <cacheHierarchy uniqueName="[Table1__2].[Price (₦)]" caption="Price (₦)" attribute="1" defaultMemberUniqueName="[Table1__2].[Price (₦)].[All]" allUniqueName="[Table1__2].[Price (₦)].[All]" dimensionUniqueName="[Table1__2]" displayFolder="" count="2" memberValueDatatype="20" unbalanced="0"/>
    <cacheHierarchy uniqueName="[Table1__2].[Date]" caption="Date" attribute="1" time="1" defaultMemberUniqueName="[Table1__2].[Date].[All]" allUniqueName="[Table1__2].[Date].[All]" dimensionUniqueName="[Table1__2]" displayFolder="" count="2" memberValueDatatype="7" unbalanced="0"/>
    <cacheHierarchy uniqueName="[Table1__2].[Region]" caption="Region" attribute="1" defaultMemberUniqueName="[Table1__2].[Region].[All]" allUniqueName="[Table1__2].[Region].[All]" dimensionUniqueName="[Table1__2]" displayFolder="" count="2" memberValueDatatype="130" unbalanced="0"/>
    <cacheHierarchy uniqueName="[Table1__2].[Month]" caption="Month" attribute="1" defaultMemberUniqueName="[Table1__2].[Month].[All]" allUniqueName="[Table1__2].[Month].[All]" dimensionUniqueName="[Table1__2]" displayFolder="" count="2" memberValueDatatype="130" unbalanced="0">
      <fieldsUsage count="2">
        <fieldUsage x="-1"/>
        <fieldUsage x="0"/>
      </fieldsUsage>
    </cacheHierarchy>
    <cacheHierarchy uniqueName="[Table1__2].[Day]" caption="Day" attribute="1" defaultMemberUniqueName="[Table1__2].[Day].[All]" allUniqueName="[Table1__2].[Day].[All]" dimensionUniqueName="[Table1__2]" displayFolder="" count="2" memberValueDatatype="130" unbalanced="0"/>
    <cacheHierarchy uniqueName="[Measures].[__XL_Count Table1 1]" caption="__XL_Count Table1 1" measure="1" displayFolder="" measureGroup="Table1 1" count="0" hidden="1"/>
    <cacheHierarchy uniqueName="[Measures].[__XL_Count Table1  2]" caption="__XL_Count Table1  2" measure="1" displayFolder="" measureGroup="Table1  2" count="0" hidden="1"/>
    <cacheHierarchy uniqueName="[Measures].[__XL_Count Table1__2]" caption="__XL_Count Table1__2" measure="1" displayFolder="" measureGroup="Table1__2" count="0" hidden="1"/>
    <cacheHierarchy uniqueName="[Measures].[__No measures defined]" caption="__No measures defined" measure="1" displayFolder="" count="0" hidden="1"/>
    <cacheHierarchy uniqueName="[Measures].[Sum of Price (₦)]" caption="Sum of Price (₦)" measure="1" displayFolder="" measureGroup="Table1__2"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Table1  2" uniqueName="[Table1  2]" caption="Table1  2"/>
    <dimension name="Table1 1" uniqueName="[Table1 1]" caption="Table1 1"/>
    <dimension name="Table1__2" uniqueName="[Table1__2]" caption="Table1__2"/>
  </dimensions>
  <measureGroups count="3">
    <measureGroup name="Table1  2" caption="Table1  2"/>
    <measureGroup name="Table1 1" caption="Table1 1"/>
    <measureGroup name="Table1__2" caption="Table1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9.924217129628" backgroundQuery="1" createdVersion="7" refreshedVersion="7" minRefreshableVersion="3" recordCount="0" supportSubquery="1" supportAdvancedDrill="1" xr:uid="{32F9B45D-36CC-45E0-B014-A500E263AD4B}">
  <cacheSource type="external" connectionId="3"/>
  <cacheFields count="2">
    <cacheField name="[Measures].[Sum of Price (₦)]" caption="Sum of Price (₦)" numFmtId="0" hierarchy="24" level="32767"/>
    <cacheField name="[Table1__2].[Day].[Day]" caption="Day" numFmtId="0" hierarchy="19" level="1">
      <sharedItems count="7">
        <s v="Friday"/>
        <s v="Monday"/>
        <s v="Saturday"/>
        <s v="Sunday"/>
        <s v="Thursday"/>
        <s v="Tuesday"/>
        <s v="Wednesday"/>
      </sharedItems>
    </cacheField>
  </cacheFields>
  <cacheHierarchies count="25">
    <cacheHierarchy uniqueName="[Table1  2].[Order ID]" caption="Order ID" attribute="1" defaultMemberUniqueName="[Table1  2].[Order ID].[All]" allUniqueName="[Table1  2].[Order ID].[All]" dimensionUniqueName="[Table1  2]" displayFolder="" count="2" memberValueDatatype="20" unbalanced="0"/>
    <cacheHierarchy uniqueName="[Table1  2].[Customer Name]" caption="Customer Name" attribute="1" defaultMemberUniqueName="[Table1  2].[Customer Name].[All]" allUniqueName="[Table1  2].[Customer Name].[All]" dimensionUniqueName="[Table1  2]" displayFolder="" count="2" memberValueDatatype="130" unbalanced="0"/>
    <cacheHierarchy uniqueName="[Table1  2].[Product]" caption="Product" attribute="1" defaultMemberUniqueName="[Table1  2].[Product].[All]" allUniqueName="[Table1  2].[Product].[All]" dimensionUniqueName="[Table1  2]" displayFolder="" count="2" memberValueDatatype="130" unbalanced="0"/>
    <cacheHierarchy uniqueName="[Table1  2].[Price (₦)]" caption="Price (₦)" attribute="1" defaultMemberUniqueName="[Table1  2].[Price (₦)].[All]" allUniqueName="[Table1  2].[Price (₦)].[All]" dimensionUniqueName="[Table1  2]" displayFolder="" count="2" memberValueDatatype="20" unbalanced="0"/>
    <cacheHierarchy uniqueName="[Table1  2].[Date]" caption="Date" attribute="1" time="1" defaultMemberUniqueName="[Table1  2].[Date].[All]" allUniqueName="[Table1  2].[Date].[All]" dimensionUniqueName="[Table1  2]" displayFolder="" count="2" memberValueDatatype="7" unbalanced="0"/>
    <cacheHierarchy uniqueName="[Table1  2].[Region]" caption="Region" attribute="1" defaultMemberUniqueName="[Table1  2].[Region].[All]" allUniqueName="[Table1  2].[Region].[All]" dimensionUniqueName="[Table1  2]" displayFolder="" count="2" memberValueDatatype="130" unbalanced="0"/>
    <cacheHierarchy uniqueName="[Table1 1].[Order ID]" caption="Order ID" attribute="1" defaultMemberUniqueName="[Table1 1].[Order ID].[All]" allUniqueName="[Table1 1].[Order ID].[All]" dimensionUniqueName="[Table1 1]" displayFolder="" count="2" memberValueDatatype="20" unbalanced="0"/>
    <cacheHierarchy uniqueName="[Table1 1].[Customer Name]" caption="Customer Name" attribute="1" defaultMemberUniqueName="[Table1 1].[Customer Name].[All]" allUniqueName="[Table1 1].[Customer Name].[All]" dimensionUniqueName="[Table1 1]" displayFolder="" count="2" memberValueDatatype="130" unbalanced="0"/>
    <cacheHierarchy uniqueName="[Table1 1].[Product]" caption="Product" attribute="1" defaultMemberUniqueName="[Table1 1].[Product].[All]" allUniqueName="[Table1 1].[Product].[All]" dimensionUniqueName="[Table1 1]" displayFolder="" count="2" memberValueDatatype="130" unbalanced="0"/>
    <cacheHierarchy uniqueName="[Table1 1].[Price (₦)]" caption="Price (₦)" attribute="1" defaultMemberUniqueName="[Table1 1].[Price (₦)].[All]" allUniqueName="[Table1 1].[Price (₦)].[All]" dimensionUniqueName="[Table1 1]" displayFolder="" count="2" memberValueDatatype="20" unbalanced="0"/>
    <cacheHierarchy uniqueName="[Table1 1].[Date]" caption="Date" attribute="1" defaultMemberUniqueName="[Table1 1].[Date].[All]" allUniqueName="[Table1 1].[Date].[All]" dimensionUniqueName="[Table1 1]" displayFolder="" count="2" memberValueDatatype="130" unbalanced="0"/>
    <cacheHierarchy uniqueName="[Table1 1].[Region]" caption="Region" attribute="1" defaultMemberUniqueName="[Table1 1].[Region].[All]" allUniqueName="[Table1 1].[Region].[All]" dimensionUniqueName="[Table1 1]" displayFolder="" count="2" memberValueDatatype="130" unbalanced="0"/>
    <cacheHierarchy uniqueName="[Table1__2].[Order ID]" caption="Order ID" attribute="1" defaultMemberUniqueName="[Table1__2].[Order ID].[All]" allUniqueName="[Table1__2].[Order ID].[All]" dimensionUniqueName="[Table1__2]" displayFolder="" count="2" memberValueDatatype="20" unbalanced="0"/>
    <cacheHierarchy uniqueName="[Table1__2].[Customer Name]" caption="Customer Name" attribute="1" defaultMemberUniqueName="[Table1__2].[Customer Name].[All]" allUniqueName="[Table1__2].[Customer Name].[All]" dimensionUniqueName="[Table1__2]" displayFolder="" count="2" memberValueDatatype="130" unbalanced="0"/>
    <cacheHierarchy uniqueName="[Table1__2].[Product]" caption="Product" attribute="1" defaultMemberUniqueName="[Table1__2].[Product].[All]" allUniqueName="[Table1__2].[Product].[All]" dimensionUniqueName="[Table1__2]" displayFolder="" count="2" memberValueDatatype="130" unbalanced="0"/>
    <cacheHierarchy uniqueName="[Table1__2].[Price (₦)]" caption="Price (₦)" attribute="1" defaultMemberUniqueName="[Table1__2].[Price (₦)].[All]" allUniqueName="[Table1__2].[Price (₦)].[All]" dimensionUniqueName="[Table1__2]" displayFolder="" count="2" memberValueDatatype="20" unbalanced="0"/>
    <cacheHierarchy uniqueName="[Table1__2].[Date]" caption="Date" attribute="1" time="1" defaultMemberUniqueName="[Table1__2].[Date].[All]" allUniqueName="[Table1__2].[Date].[All]" dimensionUniqueName="[Table1__2]" displayFolder="" count="2" memberValueDatatype="7" unbalanced="0"/>
    <cacheHierarchy uniqueName="[Table1__2].[Region]" caption="Region" attribute="1" defaultMemberUniqueName="[Table1__2].[Region].[All]" allUniqueName="[Table1__2].[Region].[All]" dimensionUniqueName="[Table1__2]" displayFolder="" count="2" memberValueDatatype="130" unbalanced="0"/>
    <cacheHierarchy uniqueName="[Table1__2].[Month]" caption="Month" attribute="1" defaultMemberUniqueName="[Table1__2].[Month].[All]" allUniqueName="[Table1__2].[Month].[All]" dimensionUniqueName="[Table1__2]" displayFolder="" count="2" memberValueDatatype="130" unbalanced="0"/>
    <cacheHierarchy uniqueName="[Table1__2].[Day]" caption="Day" attribute="1" defaultMemberUniqueName="[Table1__2].[Day].[All]" allUniqueName="[Table1__2].[Day].[All]" dimensionUniqueName="[Table1__2]" displayFolder="" count="2" memberValueDatatype="130" unbalanced="0">
      <fieldsUsage count="2">
        <fieldUsage x="-1"/>
        <fieldUsage x="1"/>
      </fieldsUsage>
    </cacheHierarchy>
    <cacheHierarchy uniqueName="[Measures].[__XL_Count Table1 1]" caption="__XL_Count Table1 1" measure="1" displayFolder="" measureGroup="Table1 1" count="0" hidden="1"/>
    <cacheHierarchy uniqueName="[Measures].[__XL_Count Table1  2]" caption="__XL_Count Table1  2" measure="1" displayFolder="" measureGroup="Table1  2" count="0" hidden="1"/>
    <cacheHierarchy uniqueName="[Measures].[__XL_Count Table1__2]" caption="__XL_Count Table1__2" measure="1" displayFolder="" measureGroup="Table1__2" count="0" hidden="1"/>
    <cacheHierarchy uniqueName="[Measures].[__No measures defined]" caption="__No measures defined" measure="1" displayFolder="" count="0" hidden="1"/>
    <cacheHierarchy uniqueName="[Measures].[Sum of Price (₦)]" caption="Sum of Price (₦)" measure="1" displayFolder="" measureGroup="Table1__2"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Table1  2" uniqueName="[Table1  2]" caption="Table1  2"/>
    <dimension name="Table1 1" uniqueName="[Table1 1]" caption="Table1 1"/>
    <dimension name="Table1__2" uniqueName="[Table1__2]" caption="Table1__2"/>
  </dimensions>
  <measureGroups count="3">
    <measureGroup name="Table1  2" caption="Table1  2"/>
    <measureGroup name="Table1 1" caption="Table1 1"/>
    <measureGroup name="Table1__2" caption="Table1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9.925584143515" backgroundQuery="1" createdVersion="7" refreshedVersion="7" minRefreshableVersion="3" recordCount="0" supportSubquery="1" supportAdvancedDrill="1" xr:uid="{2D9BA037-82C1-435E-9D77-DB0629FEADCF}">
  <cacheSource type="external" connectionId="3"/>
  <cacheFields count="1">
    <cacheField name="[Measures].[Sum of Price (₦)]" caption="Sum of Price (₦)" numFmtId="0" hierarchy="24" level="32767"/>
  </cacheFields>
  <cacheHierarchies count="25">
    <cacheHierarchy uniqueName="[Table1  2].[Order ID]" caption="Order ID" attribute="1" defaultMemberUniqueName="[Table1  2].[Order ID].[All]" allUniqueName="[Table1  2].[Order ID].[All]" dimensionUniqueName="[Table1  2]" displayFolder="" count="2" memberValueDatatype="20" unbalanced="0"/>
    <cacheHierarchy uniqueName="[Table1  2].[Customer Name]" caption="Customer Name" attribute="1" defaultMemberUniqueName="[Table1  2].[Customer Name].[All]" allUniqueName="[Table1  2].[Customer Name].[All]" dimensionUniqueName="[Table1  2]" displayFolder="" count="2" memberValueDatatype="130" unbalanced="0"/>
    <cacheHierarchy uniqueName="[Table1  2].[Product]" caption="Product" attribute="1" defaultMemberUniqueName="[Table1  2].[Product].[All]" allUniqueName="[Table1  2].[Product].[All]" dimensionUniqueName="[Table1  2]" displayFolder="" count="2" memberValueDatatype="130" unbalanced="0"/>
    <cacheHierarchy uniqueName="[Table1  2].[Price (₦)]" caption="Price (₦)" attribute="1" defaultMemberUniqueName="[Table1  2].[Price (₦)].[All]" allUniqueName="[Table1  2].[Price (₦)].[All]" dimensionUniqueName="[Table1  2]" displayFolder="" count="2" memberValueDatatype="20" unbalanced="0"/>
    <cacheHierarchy uniqueName="[Table1  2].[Date]" caption="Date" attribute="1" time="1" defaultMemberUniqueName="[Table1  2].[Date].[All]" allUniqueName="[Table1  2].[Date].[All]" dimensionUniqueName="[Table1  2]" displayFolder="" count="2" memberValueDatatype="7" unbalanced="0"/>
    <cacheHierarchy uniqueName="[Table1  2].[Region]" caption="Region" attribute="1" defaultMemberUniqueName="[Table1  2].[Region].[All]" allUniqueName="[Table1  2].[Region].[All]" dimensionUniqueName="[Table1  2]" displayFolder="" count="2" memberValueDatatype="130" unbalanced="0"/>
    <cacheHierarchy uniqueName="[Table1 1].[Order ID]" caption="Order ID" attribute="1" defaultMemberUniqueName="[Table1 1].[Order ID].[All]" allUniqueName="[Table1 1].[Order ID].[All]" dimensionUniqueName="[Table1 1]" displayFolder="" count="2" memberValueDatatype="20" unbalanced="0"/>
    <cacheHierarchy uniqueName="[Table1 1].[Customer Name]" caption="Customer Name" attribute="1" defaultMemberUniqueName="[Table1 1].[Customer Name].[All]" allUniqueName="[Table1 1].[Customer Name].[All]" dimensionUniqueName="[Table1 1]" displayFolder="" count="2" memberValueDatatype="130" unbalanced="0"/>
    <cacheHierarchy uniqueName="[Table1 1].[Product]" caption="Product" attribute="1" defaultMemberUniqueName="[Table1 1].[Product].[All]" allUniqueName="[Table1 1].[Product].[All]" dimensionUniqueName="[Table1 1]" displayFolder="" count="2" memberValueDatatype="130" unbalanced="0"/>
    <cacheHierarchy uniqueName="[Table1 1].[Price (₦)]" caption="Price (₦)" attribute="1" defaultMemberUniqueName="[Table1 1].[Price (₦)].[All]" allUniqueName="[Table1 1].[Price (₦)].[All]" dimensionUniqueName="[Table1 1]" displayFolder="" count="2" memberValueDatatype="20" unbalanced="0"/>
    <cacheHierarchy uniqueName="[Table1 1].[Date]" caption="Date" attribute="1" defaultMemberUniqueName="[Table1 1].[Date].[All]" allUniqueName="[Table1 1].[Date].[All]" dimensionUniqueName="[Table1 1]" displayFolder="" count="2" memberValueDatatype="130" unbalanced="0"/>
    <cacheHierarchy uniqueName="[Table1 1].[Region]" caption="Region" attribute="1" defaultMemberUniqueName="[Table1 1].[Region].[All]" allUniqueName="[Table1 1].[Region].[All]" dimensionUniqueName="[Table1 1]" displayFolder="" count="2" memberValueDatatype="130" unbalanced="0"/>
    <cacheHierarchy uniqueName="[Table1__2].[Order ID]" caption="Order ID" attribute="1" defaultMemberUniqueName="[Table1__2].[Order ID].[All]" allUniqueName="[Table1__2].[Order ID].[All]" dimensionUniqueName="[Table1__2]" displayFolder="" count="2" memberValueDatatype="20" unbalanced="0"/>
    <cacheHierarchy uniqueName="[Table1__2].[Customer Name]" caption="Customer Name" attribute="1" defaultMemberUniqueName="[Table1__2].[Customer Name].[All]" allUniqueName="[Table1__2].[Customer Name].[All]" dimensionUniqueName="[Table1__2]" displayFolder="" count="2" memberValueDatatype="130" unbalanced="0"/>
    <cacheHierarchy uniqueName="[Table1__2].[Product]" caption="Product" attribute="1" defaultMemberUniqueName="[Table1__2].[Product].[All]" allUniqueName="[Table1__2].[Product].[All]" dimensionUniqueName="[Table1__2]" displayFolder="" count="2" memberValueDatatype="130" unbalanced="0"/>
    <cacheHierarchy uniqueName="[Table1__2].[Price (₦)]" caption="Price (₦)" attribute="1" defaultMemberUniqueName="[Table1__2].[Price (₦)].[All]" allUniqueName="[Table1__2].[Price (₦)].[All]" dimensionUniqueName="[Table1__2]" displayFolder="" count="2" memberValueDatatype="20" unbalanced="0"/>
    <cacheHierarchy uniqueName="[Table1__2].[Date]" caption="Date" attribute="1" time="1" defaultMemberUniqueName="[Table1__2].[Date].[All]" allUniqueName="[Table1__2].[Date].[All]" dimensionUniqueName="[Table1__2]" displayFolder="" count="2" memberValueDatatype="7" unbalanced="0"/>
    <cacheHierarchy uniqueName="[Table1__2].[Region]" caption="Region" attribute="1" defaultMemberUniqueName="[Table1__2].[Region].[All]" allUniqueName="[Table1__2].[Region].[All]" dimensionUniqueName="[Table1__2]" displayFolder="" count="2" memberValueDatatype="130" unbalanced="0"/>
    <cacheHierarchy uniqueName="[Table1__2].[Month]" caption="Month" attribute="1" defaultMemberUniqueName="[Table1__2].[Month].[All]" allUniqueName="[Table1__2].[Month].[All]" dimensionUniqueName="[Table1__2]" displayFolder="" count="2" memberValueDatatype="130" unbalanced="0"/>
    <cacheHierarchy uniqueName="[Table1__2].[Day]" caption="Day" attribute="1" defaultMemberUniqueName="[Table1__2].[Day].[All]" allUniqueName="[Table1__2].[Day].[All]" dimensionUniqueName="[Table1__2]" displayFolder="" count="2" memberValueDatatype="130" unbalanced="0"/>
    <cacheHierarchy uniqueName="[Measures].[__XL_Count Table1 1]" caption="__XL_Count Table1 1" measure="1" displayFolder="" measureGroup="Table1 1" count="0" hidden="1"/>
    <cacheHierarchy uniqueName="[Measures].[__XL_Count Table1  2]" caption="__XL_Count Table1  2" measure="1" displayFolder="" measureGroup="Table1  2" count="0" hidden="1"/>
    <cacheHierarchy uniqueName="[Measures].[__XL_Count Table1__2]" caption="__XL_Count Table1__2" measure="1" displayFolder="" measureGroup="Table1__2" count="0" hidden="1"/>
    <cacheHierarchy uniqueName="[Measures].[__No measures defined]" caption="__No measures defined" measure="1" displayFolder="" count="0" hidden="1"/>
    <cacheHierarchy uniqueName="[Measures].[Sum of Price (₦)]" caption="Sum of Price (₦)" measure="1" displayFolder="" measureGroup="Table1__2"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Table1  2" uniqueName="[Table1  2]" caption="Table1  2"/>
    <dimension name="Table1 1" uniqueName="[Table1 1]" caption="Table1 1"/>
    <dimension name="Table1__2" uniqueName="[Table1__2]" caption="Table1__2"/>
  </dimensions>
  <measureGroups count="3">
    <measureGroup name="Table1  2" caption="Table1  2"/>
    <measureGroup name="Table1 1" caption="Table1 1"/>
    <measureGroup name="Table1__2" caption="Table1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9.919450462963" backgroundQuery="1" createdVersion="3" refreshedVersion="7" minRefreshableVersion="3" recordCount="0" supportSubquery="1" supportAdvancedDrill="1" xr:uid="{B79BE499-986A-4398-8A38-6019E0C3D26A}">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Table1  2].[Order ID]" caption="Order ID" attribute="1" defaultMemberUniqueName="[Table1  2].[Order ID].[All]" allUniqueName="[Table1  2].[Order ID].[All]" dimensionUniqueName="[Table1  2]" displayFolder="" count="0" memberValueDatatype="20" unbalanced="0"/>
    <cacheHierarchy uniqueName="[Table1  2].[Customer Name]" caption="Customer Name" attribute="1" defaultMemberUniqueName="[Table1  2].[Customer Name].[All]" allUniqueName="[Table1  2].[Customer Name].[All]" dimensionUniqueName="[Table1  2]" displayFolder="" count="0" memberValueDatatype="130" unbalanced="0"/>
    <cacheHierarchy uniqueName="[Table1  2].[Product]" caption="Product" attribute="1" defaultMemberUniqueName="[Table1  2].[Product].[All]" allUniqueName="[Table1  2].[Product].[All]" dimensionUniqueName="[Table1  2]" displayFolder="" count="0" memberValueDatatype="130" unbalanced="0"/>
    <cacheHierarchy uniqueName="[Table1  2].[Price (₦)]" caption="Price (₦)" attribute="1" defaultMemberUniqueName="[Table1  2].[Price (₦)].[All]" allUniqueName="[Table1  2].[Price (₦)].[All]" dimensionUniqueName="[Table1  2]" displayFolder="" count="0" memberValueDatatype="20" unbalanced="0"/>
    <cacheHierarchy uniqueName="[Table1  2].[Date]" caption="Date" attribute="1" time="1" defaultMemberUniqueName="[Table1  2].[Date].[All]" allUniqueName="[Table1  2].[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1].[Order ID]" caption="Order ID" attribute="1" defaultMemberUniqueName="[Table1 1].[Order ID].[All]" allUniqueName="[Table1 1].[Order ID].[All]" dimensionUniqueName="[Table1 1]" displayFolder="" count="0" memberValueDatatype="20" unbalanced="0"/>
    <cacheHierarchy uniqueName="[Table1 1].[Customer Name]" caption="Customer Name" attribute="1" defaultMemberUniqueName="[Table1 1].[Customer Name].[All]" allUniqueName="[Table1 1].[Customer Name].[All]" dimensionUniqueName="[Table1 1]" displayFolder="" count="0" memberValueDatatype="130" unbalanced="0"/>
    <cacheHierarchy uniqueName="[Table1 1].[Product]" caption="Product" attribute="1" defaultMemberUniqueName="[Table1 1].[Product].[All]" allUniqueName="[Table1 1].[Product].[All]" dimensionUniqueName="[Table1 1]" displayFolder="" count="0" memberValueDatatype="130" unbalanced="0"/>
    <cacheHierarchy uniqueName="[Table1 1].[Price (₦)]" caption="Price (₦)" attribute="1" defaultMemberUniqueName="[Table1 1].[Price (₦)].[All]" allUniqueName="[Table1 1].[Price (₦)].[All]" dimensionUniqueName="[Table1 1]" displayFolder="" count="0" memberValueDatatype="20" unbalanced="0"/>
    <cacheHierarchy uniqueName="[Table1 1].[Date]" caption="Date" attribute="1" defaultMemberUniqueName="[Table1 1].[Date].[All]" allUniqueName="[Table1 1].[Date].[All]" dimensionUniqueName="[Table1 1]" displayFolder="" count="0" memberValueDatatype="130" unbalanced="0"/>
    <cacheHierarchy uniqueName="[Table1 1].[Region]" caption="Region" attribute="1" defaultMemberUniqueName="[Table1 1].[Region].[All]" allUniqueName="[Table1 1].[Region].[All]" dimensionUniqueName="[Table1 1]" displayFolder="" count="0" memberValueDatatype="130" unbalanced="0"/>
    <cacheHierarchy uniqueName="[Table1__2].[Order ID]" caption="Order ID" attribute="1" defaultMemberUniqueName="[Table1__2].[Order ID].[All]" allUniqueName="[Table1__2].[Order ID].[All]" dimensionUniqueName="[Table1__2]" displayFolder="" count="0" memberValueDatatype="20" unbalanced="0"/>
    <cacheHierarchy uniqueName="[Table1__2].[Customer Name]" caption="Customer Name" attribute="1" defaultMemberUniqueName="[Table1__2].[Customer Name].[All]" allUniqueName="[Table1__2].[Customer Name].[All]" dimensionUniqueName="[Table1__2]" displayFolder="" count="0" memberValueDatatype="130" unbalanced="0"/>
    <cacheHierarchy uniqueName="[Table1__2].[Product]" caption="Product" attribute="1" defaultMemberUniqueName="[Table1__2].[Product].[All]" allUniqueName="[Table1__2].[Product].[All]" dimensionUniqueName="[Table1__2]" displayFolder="" count="2" memberValueDatatype="130" unbalanced="0"/>
    <cacheHierarchy uniqueName="[Table1__2].[Price (₦)]" caption="Price (₦)" attribute="1" defaultMemberUniqueName="[Table1__2].[Price (₦)].[All]" allUniqueName="[Table1__2].[Price (₦)].[All]" dimensionUniqueName="[Table1__2]" displayFolder="" count="0" memberValueDatatype="20" unbalanced="0"/>
    <cacheHierarchy uniqueName="[Table1__2].[Date]" caption="Date" attribute="1" time="1" defaultMemberUniqueName="[Table1__2].[Date].[All]" allUniqueName="[Table1__2].[Date].[All]" dimensionUniqueName="[Table1__2]" displayFolder="" count="0" memberValueDatatype="7" unbalanced="0"/>
    <cacheHierarchy uniqueName="[Table1__2].[Region]" caption="Region" attribute="1" defaultMemberUniqueName="[Table1__2].[Region].[All]" allUniqueName="[Table1__2].[Region].[All]" dimensionUniqueName="[Table1__2]" displayFolder="" count="0" memberValueDatatype="130" unbalanced="0"/>
    <cacheHierarchy uniqueName="[Table1__2].[Month]" caption="Month" attribute="1" defaultMemberUniqueName="[Table1__2].[Month].[All]" allUniqueName="[Table1__2].[Month].[All]" dimensionUniqueName="[Table1__2]" displayFolder="" count="0" memberValueDatatype="130" unbalanced="0"/>
    <cacheHierarchy uniqueName="[Table1__2].[Day]" caption="Day" attribute="1" defaultMemberUniqueName="[Table1__2].[Day].[All]" allUniqueName="[Table1__2].[Day].[All]" dimensionUniqueName="[Table1__2]" displayFolder="" count="0" memberValueDatatype="130" unbalanced="0"/>
    <cacheHierarchy uniqueName="[Measures].[__XL_Count Table1 1]" caption="__XL_Count Table1 1" measure="1" displayFolder="" measureGroup="Table1 1" count="0" hidden="1"/>
    <cacheHierarchy uniqueName="[Measures].[__XL_Count Table1  2]" caption="__XL_Count Table1  2" measure="1" displayFolder="" measureGroup="Table1  2" count="0" hidden="1"/>
    <cacheHierarchy uniqueName="[Measures].[__XL_Count Table1__2]" caption="__XL_Count Table1__2" measure="1" displayFolder="" measureGroup="Table1__2" count="0" hidden="1"/>
    <cacheHierarchy uniqueName="[Measures].[__No measures defined]" caption="__No measures defined" measure="1" displayFolder="" count="0" hidden="1"/>
    <cacheHierarchy uniqueName="[Measures].[Sum of Price (₦)]" caption="Sum of Price (₦)" measure="1" displayFolder="" measureGroup="Table1__2"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612522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24D20C-E608-44A6-944D-5B13393CE026}" name="PivotTable5" cacheId="6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Product">
  <location ref="A56:A57" firstHeaderRow="1" firstDataRow="1" firstDataCol="0"/>
  <pivotFields count="1">
    <pivotField dataField="1" subtotalTop="0" showAll="0" defaultSubtotal="0"/>
  </pivotFields>
  <rowItems count="1">
    <i/>
  </rowItems>
  <colItems count="1">
    <i/>
  </colItems>
  <dataFields count="1">
    <dataField name="Total Revenue" fld="0" baseField="0" baseItem="627664984" numFmtId="164"/>
  </dataFields>
  <formats count="2">
    <format dxfId="0">
      <pivotArea outline="0" collapsedLevelsAreSubtotals="1" fieldPosition="0"/>
    </format>
    <format dxfId="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66D37-03E7-4F94-A227-1814ED9FBDCF}" name="PivotTable4"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Month/Product">
  <location ref="A41:B4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Price (₦)" fld="0" baseField="0" baseItem="0" numFmtId="164"/>
  </dataFields>
  <formats count="2">
    <format dxfId="2">
      <pivotArea outline="0" collapsedLevelsAreSubtotals="1" fieldPosition="0"/>
    </format>
    <format dxfId="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5"/>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7B0BD-D3EE-46F8-AE13-6DB3CE7AE391}" name="PivotTable3"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Product">
  <location ref="A24:B3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13">
    <i>
      <x/>
    </i>
    <i r="1">
      <x/>
    </i>
    <i r="1">
      <x v="1"/>
    </i>
    <i r="1">
      <x v="2"/>
    </i>
    <i>
      <x v="1"/>
    </i>
    <i r="1">
      <x/>
    </i>
    <i r="1">
      <x v="1"/>
    </i>
    <i r="1">
      <x v="2"/>
    </i>
    <i>
      <x v="2"/>
    </i>
    <i r="1">
      <x/>
    </i>
    <i r="1">
      <x v="1"/>
    </i>
    <i r="1">
      <x v="2"/>
    </i>
    <i t="grand">
      <x/>
    </i>
  </rowItems>
  <colItems count="1">
    <i/>
  </colItems>
  <dataFields count="1">
    <dataField name="Sum of Price (₦)" fld="1" baseField="0" baseItem="0" numFmtId="164"/>
  </dataFields>
  <formats count="2">
    <format dxfId="4">
      <pivotArea outline="0" collapsedLevelsAreSubtotals="1" fieldPosition="0"/>
    </format>
    <format dxfId="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0" count="1" selected="0">
            <x v="0"/>
          </reference>
          <reference field="2" count="1" selected="0">
            <x v="2"/>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0" count="1" selected="0">
            <x v="0"/>
          </reference>
          <reference field="2"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3">
          <reference field="4294967294" count="1" selected="0">
            <x v="0"/>
          </reference>
          <reference field="0" count="1" selected="0">
            <x v="0"/>
          </reference>
          <reference field="2" count="1" selected="0">
            <x v="2"/>
          </reference>
        </references>
      </pivotArea>
    </chartFormat>
    <chartFormat chart="3" format="6">
      <pivotArea type="data" outline="0" fieldPosition="0">
        <references count="3">
          <reference field="4294967294" count="1" selected="0">
            <x v="0"/>
          </reference>
          <reference field="0" count="1" selected="0">
            <x v="1"/>
          </reference>
          <reference field="2" count="1" selected="0">
            <x v="2"/>
          </reference>
        </references>
      </pivotArea>
    </chartFormat>
    <chartFormat chart="3" format="7">
      <pivotArea type="data" outline="0" fieldPosition="0">
        <references count="3">
          <reference field="4294967294" count="1" selected="0">
            <x v="0"/>
          </reference>
          <reference field="0" count="1" selected="0">
            <x v="2"/>
          </reference>
          <reference field="2" count="1" selected="0">
            <x v="2"/>
          </reference>
        </references>
      </pivotArea>
    </chartFormat>
    <chartFormat chart="3" format="8">
      <pivotArea type="data" outline="0" fieldPosition="0">
        <references count="3">
          <reference field="4294967294" count="1" selected="0">
            <x v="0"/>
          </reference>
          <reference field="0" count="1" selected="0">
            <x v="2"/>
          </reference>
          <reference field="2" count="1" selected="0">
            <x v="0"/>
          </reference>
        </references>
      </pivotArea>
    </chartFormat>
    <chartFormat chart="3" format="9">
      <pivotArea type="data" outline="0" fieldPosition="0">
        <references count="3">
          <reference field="4294967294" count="1" selected="0">
            <x v="0"/>
          </reference>
          <reference field="0" count="1" selected="0">
            <x v="2"/>
          </reference>
          <reference field="2" count="1" selected="0">
            <x v="1"/>
          </reference>
        </references>
      </pivotArea>
    </chartFormat>
    <chartFormat chart="3" format="10">
      <pivotArea type="data" outline="0" fieldPosition="0">
        <references count="3">
          <reference field="4294967294" count="1" selected="0">
            <x v="0"/>
          </reference>
          <reference field="0" count="1" selected="0">
            <x v="0"/>
          </reference>
          <reference field="2" count="1" selected="0">
            <x v="0"/>
          </reference>
        </references>
      </pivotArea>
    </chartFormat>
    <chartFormat chart="3" format="11">
      <pivotArea type="data" outline="0" fieldPosition="0">
        <references count="3">
          <reference field="4294967294" count="1" selected="0">
            <x v="0"/>
          </reference>
          <reference field="0" count="1" selected="0">
            <x v="0"/>
          </reference>
          <reference field="2" count="1" selected="0">
            <x v="1"/>
          </reference>
        </references>
      </pivotArea>
    </chartFormat>
    <chartFormat chart="3" format="12">
      <pivotArea type="data" outline="0" fieldPosition="0">
        <references count="3">
          <reference field="4294967294" count="1" selected="0">
            <x v="0"/>
          </reference>
          <reference field="0" count="1" selected="0">
            <x v="1"/>
          </reference>
          <reference field="2"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8"/>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FDC2FD-4050-44B9-870A-2F9A2ED1C579}" name="PivotTable2" cacheId="5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Region">
  <location ref="A3:B19"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16">
    <i>
      <x/>
    </i>
    <i r="1">
      <x/>
    </i>
    <i r="1">
      <x v="1"/>
    </i>
    <i r="1">
      <x v="2"/>
    </i>
    <i r="1">
      <x v="3"/>
    </i>
    <i>
      <x v="1"/>
    </i>
    <i r="1">
      <x/>
    </i>
    <i r="1">
      <x v="1"/>
    </i>
    <i r="1">
      <x v="2"/>
    </i>
    <i r="1">
      <x v="3"/>
    </i>
    <i>
      <x v="2"/>
    </i>
    <i r="1">
      <x/>
    </i>
    <i r="1">
      <x v="1"/>
    </i>
    <i r="1">
      <x v="2"/>
    </i>
    <i r="1">
      <x v="3"/>
    </i>
    <i t="grand">
      <x/>
    </i>
  </rowItems>
  <colItems count="1">
    <i/>
  </colItems>
  <dataFields count="1">
    <dataField name="Sum of Price (₦)" fld="2" baseField="0" baseItem="0" numFmtId="164"/>
  </dataFields>
  <formats count="2">
    <format dxfId="7">
      <pivotArea outline="0" collapsedLevelsAreSubtotals="1" fieldPosition="0"/>
    </format>
    <format dxfId="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2"/>
          </reference>
          <reference field="1"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3">
          <reference field="4294967294" count="1" selected="0">
            <x v="0"/>
          </reference>
          <reference field="0" count="1" selected="0">
            <x v="0"/>
          </reference>
          <reference field="1" count="1" selected="0">
            <x v="1"/>
          </reference>
        </references>
      </pivotArea>
    </chartFormat>
    <chartFormat chart="1" format="5">
      <pivotArea type="data" outline="0" fieldPosition="0">
        <references count="3">
          <reference field="4294967294" count="1" selected="0">
            <x v="0"/>
          </reference>
          <reference field="0" count="1" selected="0">
            <x v="2"/>
          </reference>
          <reference field="1"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3">
          <reference field="4294967294" count="1" selected="0">
            <x v="0"/>
          </reference>
          <reference field="0" count="1" selected="0">
            <x v="0"/>
          </reference>
          <reference field="1" count="1" selected="0">
            <x v="1"/>
          </reference>
        </references>
      </pivotArea>
    </chartFormat>
    <chartFormat chart="2" format="8">
      <pivotArea type="data" outline="0" fieldPosition="0">
        <references count="3">
          <reference field="4294967294" count="1" selected="0">
            <x v="0"/>
          </reference>
          <reference field="0" count="1" selected="0">
            <x v="2"/>
          </reference>
          <reference field="1" count="1" selected="0">
            <x v="2"/>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8"/>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0CF9146-B9BA-4C25-B7E4-3E1D8924420D}" autoFormatId="16" applyNumberFormats="0" applyBorderFormats="0" applyFontFormats="0" applyPatternFormats="0" applyAlignmentFormats="0" applyWidthHeightFormats="0">
  <queryTableRefresh nextId="9" unboundColumnsRight="2">
    <queryTableFields count="8">
      <queryTableField id="1" name="Order ID" tableColumnId="1"/>
      <queryTableField id="2" name="Customer Name" tableColumnId="2"/>
      <queryTableField id="3" name="Product" tableColumnId="3"/>
      <queryTableField id="4" name="Price (₦)" tableColumnId="4"/>
      <queryTableField id="5" name="Date" tableColumnId="5"/>
      <queryTableField id="6" name="Region" tableColumnId="6"/>
      <queryTableField id="7" dataBound="0" tableColumnId="7"/>
      <queryTableField id="8" dataBound="0" tableColumnId="8"/>
    </queryTableFields>
  </queryTableRefresh>
  <extLst>
    <ext xmlns:x15="http://schemas.microsoft.com/office/spreadsheetml/2010/11/main" uri="{883FBD77-0823-4a55-B5E3-86C4891E6966}">
      <x15:queryTable sourceDataName="Query - Table1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E0238A6-E877-43AC-B470-DE0C8AA64004}" sourceName="[Table1__2].[Product]">
  <pivotTables>
    <pivotTable tabId="5" name="PivotTable2"/>
    <pivotTable tabId="5" name="PivotTable3"/>
    <pivotTable tabId="5" name="PivotTable4"/>
    <pivotTable tabId="5" name="PivotTable5"/>
  </pivotTables>
  <data>
    <olap pivotCacheId="1061252295">
      <levels count="2">
        <level uniqueName="[Table1__2].[Product].[(All)]" sourceCaption="(All)" count="0"/>
        <level uniqueName="[Table1__2].[Product].[Product]" sourceCaption="Product" count="3">
          <ranges>
            <range startItem="0">
              <i n="[Table1__2].[Product].&amp;[Accessories]" c="Accessories"/>
              <i n="[Table1__2].[Product].&amp;[Laptops]" c="Laptops"/>
              <i n="[Table1__2].[Product].&amp;[Phones]" c="Phones"/>
            </range>
          </ranges>
        </level>
      </levels>
      <selections count="1">
        <selection n="[Table1__2].[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76DB5F4-F067-48E4-AF06-D4D9EC94FFFF}" cache="Slicer_Product" caption="Product"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1226C87-32DC-4B7A-AE75-AE3779D91909}" cache="Slicer_Product" caption="Product" columnCount="3" level="1" style="SlicerStyleLight6"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70AFE4-9412-4C59-8CE0-D9F164F379C3}" name="Table1" displayName="Table1" ref="A1:F21" totalsRowShown="0" headerRowDxfId="19">
  <autoFilter ref="A1:F21" xr:uid="{4670AFE4-9412-4C59-8CE0-D9F164F379C3}"/>
  <tableColumns count="6">
    <tableColumn id="1" xr3:uid="{82B36BDD-5850-4CB7-AA6B-338BCB56C7FE}" name="Order ID" dataDxfId="18"/>
    <tableColumn id="2" xr3:uid="{6B9FB603-84BA-4C79-B85D-90E1EAE5B494}" name="Customer Name" dataDxfId="17"/>
    <tableColumn id="3" xr3:uid="{ACB2A7E5-D289-4C51-A4C6-B51E33E9B3E9}" name="Product" dataDxfId="16"/>
    <tableColumn id="4" xr3:uid="{CA9FD513-730B-457D-8CBC-BE9AB767C5E3}" name="Price (₦)" dataDxfId="15"/>
    <tableColumn id="5" xr3:uid="{06E34A7D-78F3-48C6-A6E9-AD81019EE7B4}" name="Date" dataDxfId="14"/>
    <tableColumn id="6" xr3:uid="{C10E1CE6-C958-40BE-90A0-F8BC9F89DC7B}" name="Reg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026D09-779E-400D-B9A7-DEEC4BEAC3D9}" name="Table1__2" displayName="Table1__2" ref="A1:H21" tableType="queryTable" totalsRowShown="0">
  <autoFilter ref="A1:H21" xr:uid="{5D026D09-779E-400D-B9A7-DEEC4BEAC3D9}"/>
  <tableColumns count="8">
    <tableColumn id="1" xr3:uid="{842EA641-3253-4F8F-8711-404C3E668446}" uniqueName="1" name="Order ID" queryTableFieldId="1"/>
    <tableColumn id="2" xr3:uid="{2D5960C1-195F-4743-BEC9-A45FF586474E}" uniqueName="2" name="Customer Name" queryTableFieldId="2" dataDxfId="13"/>
    <tableColumn id="3" xr3:uid="{79286D37-2C5F-45F4-81F5-DBC10AE6F54D}" uniqueName="3" name="Product" queryTableFieldId="3" dataDxfId="12"/>
    <tableColumn id="4" xr3:uid="{4B5B8B06-D213-4164-9688-0D01FF8B2715}" uniqueName="4" name="Price (₦)" queryTableFieldId="4"/>
    <tableColumn id="5" xr3:uid="{3AC24C9B-0E1E-4978-A339-D1A0EF77845F}" uniqueName="5" name="Date" queryTableFieldId="5" dataDxfId="10"/>
    <tableColumn id="6" xr3:uid="{B1E5FAD9-4C70-4130-BBCB-C4A70A686F45}" uniqueName="6" name="Region" queryTableFieldId="6" dataDxfId="11"/>
    <tableColumn id="7" xr3:uid="{A65BFC56-871C-455A-B093-5AA57AC5704A}" uniqueName="7" name="Month" queryTableFieldId="7" dataDxfId="9">
      <calculatedColumnFormula>TEXT(Table1__2[[#This Row],[Date]], "mmmm")</calculatedColumnFormula>
    </tableColumn>
    <tableColumn id="8" xr3:uid="{66B1C83E-9009-4A8F-BF86-6362A1AA3E09}" uniqueName="8" name="Day" queryTableFieldId="8" dataDxfId="8">
      <calculatedColumnFormula>TEXT(Table1__2[[#This Row],[Date]], "dddd")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93109-B145-41D6-9722-4BADAB3FD313}">
  <dimension ref="A1:F21"/>
  <sheetViews>
    <sheetView workbookViewId="0">
      <selection activeCell="E8" sqref="A2:F21"/>
    </sheetView>
  </sheetViews>
  <sheetFormatPr defaultRowHeight="15" x14ac:dyDescent="0.25"/>
  <cols>
    <col min="1" max="1" width="10.5703125" customWidth="1"/>
    <col min="2" max="2" width="17.7109375" customWidth="1"/>
    <col min="3" max="3" width="11.28515625" customWidth="1"/>
    <col min="4" max="4" width="10.85546875" customWidth="1"/>
    <col min="5" max="5" width="11.28515625" bestFit="1" customWidth="1"/>
    <col min="6" max="6" width="9.28515625" customWidth="1"/>
  </cols>
  <sheetData>
    <row r="1" spans="1:6" x14ac:dyDescent="0.25">
      <c r="A1" s="1" t="s">
        <v>0</v>
      </c>
      <c r="B1" s="1" t="s">
        <v>1</v>
      </c>
      <c r="C1" s="1" t="s">
        <v>2</v>
      </c>
      <c r="D1" s="3" t="s">
        <v>3</v>
      </c>
      <c r="E1" s="1" t="s">
        <v>4</v>
      </c>
      <c r="F1" s="1" t="s">
        <v>5</v>
      </c>
    </row>
    <row r="2" spans="1:6" x14ac:dyDescent="0.25">
      <c r="A2" s="1">
        <v>1001</v>
      </c>
      <c r="B2" s="1" t="s">
        <v>23</v>
      </c>
      <c r="C2" s="1" t="s">
        <v>6</v>
      </c>
      <c r="D2" s="3">
        <v>250000</v>
      </c>
      <c r="E2" s="1" t="s">
        <v>7</v>
      </c>
      <c r="F2" t="s">
        <v>8</v>
      </c>
    </row>
    <row r="3" spans="1:6" x14ac:dyDescent="0.25">
      <c r="A3" s="1">
        <v>1002</v>
      </c>
      <c r="B3" s="1" t="s">
        <v>24</v>
      </c>
      <c r="C3" s="1" t="s">
        <v>9</v>
      </c>
      <c r="D3" s="3">
        <v>400000</v>
      </c>
      <c r="E3" s="2">
        <v>46042</v>
      </c>
      <c r="F3" t="s">
        <v>10</v>
      </c>
    </row>
    <row r="4" spans="1:6" x14ac:dyDescent="0.25">
      <c r="A4" s="1">
        <v>1003</v>
      </c>
      <c r="B4" s="1" t="s">
        <v>11</v>
      </c>
      <c r="C4" s="1" t="s">
        <v>12</v>
      </c>
      <c r="D4" s="3">
        <v>100000</v>
      </c>
      <c r="E4" s="2">
        <v>46047</v>
      </c>
      <c r="F4" t="s">
        <v>13</v>
      </c>
    </row>
    <row r="5" spans="1:6" x14ac:dyDescent="0.25">
      <c r="A5" s="1">
        <v>1004</v>
      </c>
      <c r="B5" s="1" t="s">
        <v>29</v>
      </c>
      <c r="C5" s="1" t="s">
        <v>6</v>
      </c>
      <c r="D5" s="3">
        <v>300000</v>
      </c>
      <c r="E5" s="1" t="s">
        <v>14</v>
      </c>
      <c r="F5" t="s">
        <v>15</v>
      </c>
    </row>
    <row r="6" spans="1:6" x14ac:dyDescent="0.25">
      <c r="A6" s="1">
        <v>1005</v>
      </c>
      <c r="B6" s="1" t="s">
        <v>16</v>
      </c>
      <c r="C6" s="1" t="s">
        <v>9</v>
      </c>
      <c r="D6" s="3">
        <v>180000</v>
      </c>
      <c r="E6" s="2">
        <v>46058</v>
      </c>
      <c r="F6" t="s">
        <v>8</v>
      </c>
    </row>
    <row r="7" spans="1:6" x14ac:dyDescent="0.25">
      <c r="A7" s="1">
        <v>1006</v>
      </c>
      <c r="B7" s="1" t="s">
        <v>17</v>
      </c>
      <c r="C7" s="1" t="s">
        <v>12</v>
      </c>
      <c r="D7" s="3">
        <v>350000</v>
      </c>
      <c r="E7" s="2">
        <v>46063</v>
      </c>
      <c r="F7" t="s">
        <v>10</v>
      </c>
    </row>
    <row r="8" spans="1:6" x14ac:dyDescent="0.25">
      <c r="A8" s="1">
        <v>1007</v>
      </c>
      <c r="B8" s="1" t="s">
        <v>18</v>
      </c>
      <c r="C8" s="1" t="s">
        <v>6</v>
      </c>
      <c r="D8" s="3">
        <v>220000</v>
      </c>
      <c r="E8" s="1" t="s">
        <v>19</v>
      </c>
      <c r="F8" t="s">
        <v>13</v>
      </c>
    </row>
    <row r="9" spans="1:6" x14ac:dyDescent="0.25">
      <c r="A9" s="1">
        <v>1008</v>
      </c>
      <c r="B9" s="1" t="s">
        <v>20</v>
      </c>
      <c r="C9" s="1" t="s">
        <v>9</v>
      </c>
      <c r="D9" s="3">
        <v>90000</v>
      </c>
      <c r="E9" s="2">
        <v>46073</v>
      </c>
      <c r="F9" t="s">
        <v>15</v>
      </c>
    </row>
    <row r="10" spans="1:6" x14ac:dyDescent="0.25">
      <c r="A10" s="1">
        <v>1009</v>
      </c>
      <c r="B10" s="1" t="s">
        <v>21</v>
      </c>
      <c r="C10" s="1" t="s">
        <v>12</v>
      </c>
      <c r="D10" s="3">
        <v>280000</v>
      </c>
      <c r="E10" s="2">
        <v>46078</v>
      </c>
      <c r="F10" t="s">
        <v>8</v>
      </c>
    </row>
    <row r="11" spans="1:6" x14ac:dyDescent="0.25">
      <c r="A11" s="1">
        <v>1010</v>
      </c>
      <c r="B11" s="1" t="s">
        <v>22</v>
      </c>
      <c r="C11" s="1" t="s">
        <v>6</v>
      </c>
      <c r="D11" s="3">
        <v>150000</v>
      </c>
      <c r="E11" s="2">
        <v>46082</v>
      </c>
      <c r="F11" t="s">
        <v>10</v>
      </c>
    </row>
    <row r="12" spans="1:6" x14ac:dyDescent="0.25">
      <c r="A12" s="1">
        <v>1011</v>
      </c>
      <c r="B12" s="1" t="s">
        <v>23</v>
      </c>
      <c r="C12" s="1" t="s">
        <v>9</v>
      </c>
      <c r="D12" s="3">
        <v>300000</v>
      </c>
      <c r="E12" s="2">
        <v>46086</v>
      </c>
      <c r="F12" t="s">
        <v>8</v>
      </c>
    </row>
    <row r="13" spans="1:6" x14ac:dyDescent="0.25">
      <c r="A13" s="1">
        <v>1012</v>
      </c>
      <c r="B13" s="1" t="s">
        <v>24</v>
      </c>
      <c r="C13" s="1" t="s">
        <v>12</v>
      </c>
      <c r="D13" s="3">
        <v>350000</v>
      </c>
      <c r="E13" s="2">
        <v>46091</v>
      </c>
      <c r="F13" t="s">
        <v>10</v>
      </c>
    </row>
    <row r="14" spans="1:6" x14ac:dyDescent="0.25">
      <c r="A14" s="1">
        <v>1013</v>
      </c>
      <c r="B14" s="1" t="s">
        <v>30</v>
      </c>
      <c r="C14" s="1" t="s">
        <v>6</v>
      </c>
      <c r="D14" s="3">
        <v>120000</v>
      </c>
      <c r="E14" s="1" t="s">
        <v>25</v>
      </c>
      <c r="F14" t="s">
        <v>13</v>
      </c>
    </row>
    <row r="15" spans="1:6" x14ac:dyDescent="0.25">
      <c r="A15" s="1">
        <v>1014</v>
      </c>
      <c r="B15" s="1" t="s">
        <v>26</v>
      </c>
      <c r="C15" s="1" t="s">
        <v>9</v>
      </c>
      <c r="D15" s="3">
        <v>310000</v>
      </c>
      <c r="E15" s="2">
        <v>46101</v>
      </c>
      <c r="F15" t="s">
        <v>15</v>
      </c>
    </row>
    <row r="16" spans="1:6" x14ac:dyDescent="0.25">
      <c r="A16" s="1">
        <v>1015</v>
      </c>
      <c r="B16" s="1" t="s">
        <v>16</v>
      </c>
      <c r="C16" s="1" t="s">
        <v>12</v>
      </c>
      <c r="D16" s="3">
        <v>200000</v>
      </c>
      <c r="E16" s="2">
        <v>46106</v>
      </c>
      <c r="F16" t="s">
        <v>8</v>
      </c>
    </row>
    <row r="17" spans="1:6" x14ac:dyDescent="0.25">
      <c r="A17" s="1">
        <v>1016</v>
      </c>
      <c r="B17" s="1" t="s">
        <v>17</v>
      </c>
      <c r="C17" s="1" t="s">
        <v>6</v>
      </c>
      <c r="D17" s="3">
        <v>450000</v>
      </c>
      <c r="E17" s="2">
        <v>46032</v>
      </c>
      <c r="F17" t="s">
        <v>10</v>
      </c>
    </row>
    <row r="18" spans="1:6" x14ac:dyDescent="0.25">
      <c r="A18" s="1">
        <v>1017</v>
      </c>
      <c r="B18" s="1" t="s">
        <v>18</v>
      </c>
      <c r="C18" s="1" t="s">
        <v>9</v>
      </c>
      <c r="D18" s="3">
        <v>180000</v>
      </c>
      <c r="E18" s="1" t="s">
        <v>27</v>
      </c>
      <c r="F18" t="s">
        <v>13</v>
      </c>
    </row>
    <row r="19" spans="1:6" x14ac:dyDescent="0.25">
      <c r="A19" s="1">
        <v>1018</v>
      </c>
      <c r="B19" s="1" t="s">
        <v>20</v>
      </c>
      <c r="C19" s="1" t="s">
        <v>12</v>
      </c>
      <c r="D19" s="3">
        <v>80000</v>
      </c>
      <c r="E19" s="2">
        <v>46040</v>
      </c>
      <c r="F19" t="s">
        <v>15</v>
      </c>
    </row>
    <row r="20" spans="1:6" x14ac:dyDescent="0.25">
      <c r="A20" s="1">
        <v>1019</v>
      </c>
      <c r="B20" s="1" t="s">
        <v>21</v>
      </c>
      <c r="C20" s="1" t="s">
        <v>6</v>
      </c>
      <c r="D20" s="3">
        <v>500000</v>
      </c>
      <c r="E20" s="2">
        <v>46044</v>
      </c>
      <c r="F20" t="s">
        <v>8</v>
      </c>
    </row>
    <row r="21" spans="1:6" x14ac:dyDescent="0.25">
      <c r="A21" s="1">
        <v>1020</v>
      </c>
      <c r="B21" s="1" t="s">
        <v>22</v>
      </c>
      <c r="C21" s="1" t="s">
        <v>9</v>
      </c>
      <c r="D21" s="3">
        <v>190000</v>
      </c>
      <c r="E21" s="1" t="s">
        <v>28</v>
      </c>
      <c r="F21" t="s">
        <v>10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5DC5-17C7-4B1F-9D4B-057376BB6931}">
  <dimension ref="A1:H21"/>
  <sheetViews>
    <sheetView workbookViewId="0">
      <selection activeCell="G11" sqref="A2:H21"/>
    </sheetView>
  </sheetViews>
  <sheetFormatPr defaultRowHeight="15" x14ac:dyDescent="0.25"/>
  <cols>
    <col min="1" max="1" width="10.7109375" bestFit="1" customWidth="1"/>
    <col min="2" max="2" width="17.7109375" bestFit="1" customWidth="1"/>
    <col min="3" max="3" width="11.28515625" bestFit="1" customWidth="1"/>
    <col min="4" max="4" width="11" bestFit="1" customWidth="1"/>
    <col min="5" max="5" width="10.7109375" bestFit="1" customWidth="1"/>
    <col min="6" max="6" width="9.42578125" bestFit="1" customWidth="1"/>
  </cols>
  <sheetData>
    <row r="1" spans="1:8" x14ac:dyDescent="0.25">
      <c r="A1" t="s">
        <v>0</v>
      </c>
      <c r="B1" t="s">
        <v>1</v>
      </c>
      <c r="C1" t="s">
        <v>2</v>
      </c>
      <c r="D1" t="s">
        <v>3</v>
      </c>
      <c r="E1" s="8" t="s">
        <v>4</v>
      </c>
      <c r="F1" t="s">
        <v>5</v>
      </c>
      <c r="G1" t="s">
        <v>32</v>
      </c>
      <c r="H1" t="s">
        <v>33</v>
      </c>
    </row>
    <row r="2" spans="1:8" x14ac:dyDescent="0.25">
      <c r="A2">
        <v>1001</v>
      </c>
      <c r="B2" s="7" t="s">
        <v>23</v>
      </c>
      <c r="C2" s="7" t="s">
        <v>6</v>
      </c>
      <c r="D2">
        <v>250000</v>
      </c>
      <c r="E2" s="8">
        <v>46037</v>
      </c>
      <c r="F2" s="7" t="s">
        <v>8</v>
      </c>
      <c r="G2" s="7" t="str">
        <f>TEXT(Table1__2[[#This Row],[Date]], "mmmm")</f>
        <v>January</v>
      </c>
      <c r="H2" s="7" t="str">
        <f>TEXT(Table1__2[[#This Row],[Date]], "dddd")</f>
        <v>Thursday</v>
      </c>
    </row>
    <row r="3" spans="1:8" x14ac:dyDescent="0.25">
      <c r="A3">
        <v>1002</v>
      </c>
      <c r="B3" s="7" t="s">
        <v>24</v>
      </c>
      <c r="C3" s="7" t="s">
        <v>9</v>
      </c>
      <c r="D3">
        <v>400000</v>
      </c>
      <c r="E3" s="8">
        <v>46042</v>
      </c>
      <c r="F3" s="7" t="s">
        <v>10</v>
      </c>
      <c r="G3" s="7" t="str">
        <f>TEXT(Table1__2[[#This Row],[Date]], "mmmm")</f>
        <v>January</v>
      </c>
      <c r="H3" s="7" t="str">
        <f>TEXT(Table1__2[[#This Row],[Date]], "dddd")</f>
        <v>Tuesday</v>
      </c>
    </row>
    <row r="4" spans="1:8" x14ac:dyDescent="0.25">
      <c r="A4">
        <v>1003</v>
      </c>
      <c r="B4" s="7" t="s">
        <v>11</v>
      </c>
      <c r="C4" s="7" t="s">
        <v>12</v>
      </c>
      <c r="D4">
        <v>100000</v>
      </c>
      <c r="E4" s="8">
        <v>46047</v>
      </c>
      <c r="F4" s="7" t="s">
        <v>13</v>
      </c>
      <c r="G4" s="7" t="str">
        <f>TEXT(Table1__2[[#This Row],[Date]], "mmmm")</f>
        <v>January</v>
      </c>
      <c r="H4" s="7" t="str">
        <f>TEXT(Table1__2[[#This Row],[Date]], "dddd")</f>
        <v>Sunday</v>
      </c>
    </row>
    <row r="5" spans="1:8" x14ac:dyDescent="0.25">
      <c r="A5">
        <v>1004</v>
      </c>
      <c r="B5" s="7" t="s">
        <v>29</v>
      </c>
      <c r="C5" s="7" t="s">
        <v>6</v>
      </c>
      <c r="D5">
        <v>300000</v>
      </c>
      <c r="E5" s="8">
        <v>46052</v>
      </c>
      <c r="F5" s="7" t="s">
        <v>15</v>
      </c>
      <c r="G5" s="7" t="str">
        <f>TEXT(Table1__2[[#This Row],[Date]], "mmmm")</f>
        <v>January</v>
      </c>
      <c r="H5" s="7" t="str">
        <f>TEXT(Table1__2[[#This Row],[Date]], "dddd")</f>
        <v>Friday</v>
      </c>
    </row>
    <row r="6" spans="1:8" x14ac:dyDescent="0.25">
      <c r="A6">
        <v>1005</v>
      </c>
      <c r="B6" s="7" t="s">
        <v>16</v>
      </c>
      <c r="C6" s="7" t="s">
        <v>9</v>
      </c>
      <c r="D6">
        <v>180000</v>
      </c>
      <c r="E6" s="8">
        <v>46058</v>
      </c>
      <c r="F6" s="7" t="s">
        <v>8</v>
      </c>
      <c r="G6" s="7" t="str">
        <f>TEXT(Table1__2[[#This Row],[Date]], "mmmm")</f>
        <v>February</v>
      </c>
      <c r="H6" s="7" t="str">
        <f>TEXT(Table1__2[[#This Row],[Date]], "dddd")</f>
        <v>Thursday</v>
      </c>
    </row>
    <row r="7" spans="1:8" x14ac:dyDescent="0.25">
      <c r="A7">
        <v>1006</v>
      </c>
      <c r="B7" s="7" t="s">
        <v>17</v>
      </c>
      <c r="C7" s="7" t="s">
        <v>12</v>
      </c>
      <c r="D7">
        <v>350000</v>
      </c>
      <c r="E7" s="8">
        <v>46063</v>
      </c>
      <c r="F7" s="7" t="s">
        <v>10</v>
      </c>
      <c r="G7" s="7" t="str">
        <f>TEXT(Table1__2[[#This Row],[Date]], "mmmm")</f>
        <v>February</v>
      </c>
      <c r="H7" s="7" t="str">
        <f>TEXT(Table1__2[[#This Row],[Date]], "dddd")</f>
        <v>Tuesday</v>
      </c>
    </row>
    <row r="8" spans="1:8" x14ac:dyDescent="0.25">
      <c r="A8">
        <v>1007</v>
      </c>
      <c r="B8" s="7" t="s">
        <v>18</v>
      </c>
      <c r="C8" s="7" t="s">
        <v>6</v>
      </c>
      <c r="D8">
        <v>220000</v>
      </c>
      <c r="E8" s="8">
        <v>46068</v>
      </c>
      <c r="F8" s="7" t="s">
        <v>13</v>
      </c>
      <c r="G8" s="7" t="str">
        <f>TEXT(Table1__2[[#This Row],[Date]], "mmmm")</f>
        <v>February</v>
      </c>
      <c r="H8" s="7" t="str">
        <f>TEXT(Table1__2[[#This Row],[Date]], "dddd")</f>
        <v>Sunday</v>
      </c>
    </row>
    <row r="9" spans="1:8" x14ac:dyDescent="0.25">
      <c r="A9">
        <v>1008</v>
      </c>
      <c r="B9" s="7" t="s">
        <v>20</v>
      </c>
      <c r="C9" s="7" t="s">
        <v>9</v>
      </c>
      <c r="D9">
        <v>90000</v>
      </c>
      <c r="E9" s="8">
        <v>46073</v>
      </c>
      <c r="F9" s="7" t="s">
        <v>15</v>
      </c>
      <c r="G9" s="7" t="str">
        <f>TEXT(Table1__2[[#This Row],[Date]], "mmmm")</f>
        <v>February</v>
      </c>
      <c r="H9" s="7" t="str">
        <f>TEXT(Table1__2[[#This Row],[Date]], "dddd")</f>
        <v>Friday</v>
      </c>
    </row>
    <row r="10" spans="1:8" x14ac:dyDescent="0.25">
      <c r="A10">
        <v>1009</v>
      </c>
      <c r="B10" s="7" t="s">
        <v>21</v>
      </c>
      <c r="C10" s="7" t="s">
        <v>12</v>
      </c>
      <c r="D10">
        <v>280000</v>
      </c>
      <c r="E10" s="8">
        <v>46078</v>
      </c>
      <c r="F10" s="7" t="s">
        <v>8</v>
      </c>
      <c r="G10" s="7" t="str">
        <f>TEXT(Table1__2[[#This Row],[Date]], "mmmm")</f>
        <v>February</v>
      </c>
      <c r="H10" s="7" t="str">
        <f>TEXT(Table1__2[[#This Row],[Date]], "dddd")</f>
        <v>Wednesday</v>
      </c>
    </row>
    <row r="11" spans="1:8" x14ac:dyDescent="0.25">
      <c r="A11">
        <v>1010</v>
      </c>
      <c r="B11" s="7" t="s">
        <v>22</v>
      </c>
      <c r="C11" s="7" t="s">
        <v>6</v>
      </c>
      <c r="D11">
        <v>150000</v>
      </c>
      <c r="E11" s="8">
        <v>46082</v>
      </c>
      <c r="F11" s="7" t="s">
        <v>10</v>
      </c>
      <c r="G11" s="7" t="str">
        <f>TEXT(Table1__2[[#This Row],[Date]], "mmmm")</f>
        <v>March</v>
      </c>
      <c r="H11" s="7" t="str">
        <f>TEXT(Table1__2[[#This Row],[Date]], "dddd")</f>
        <v>Sunday</v>
      </c>
    </row>
    <row r="12" spans="1:8" x14ac:dyDescent="0.25">
      <c r="A12">
        <v>1011</v>
      </c>
      <c r="B12" s="7" t="s">
        <v>23</v>
      </c>
      <c r="C12" s="7" t="s">
        <v>9</v>
      </c>
      <c r="D12">
        <v>300000</v>
      </c>
      <c r="E12" s="8">
        <v>46086</v>
      </c>
      <c r="F12" s="7" t="s">
        <v>8</v>
      </c>
      <c r="G12" s="7" t="str">
        <f>TEXT(Table1__2[[#This Row],[Date]], "mmmm")</f>
        <v>March</v>
      </c>
      <c r="H12" s="7" t="str">
        <f>TEXT(Table1__2[[#This Row],[Date]], "dddd")</f>
        <v>Thursday</v>
      </c>
    </row>
    <row r="13" spans="1:8" x14ac:dyDescent="0.25">
      <c r="A13">
        <v>1012</v>
      </c>
      <c r="B13" s="7" t="s">
        <v>24</v>
      </c>
      <c r="C13" s="7" t="s">
        <v>12</v>
      </c>
      <c r="D13">
        <v>350000</v>
      </c>
      <c r="E13" s="8">
        <v>46091</v>
      </c>
      <c r="F13" s="7" t="s">
        <v>10</v>
      </c>
      <c r="G13" s="7" t="str">
        <f>TEXT(Table1__2[[#This Row],[Date]], "mmmm")</f>
        <v>March</v>
      </c>
      <c r="H13" s="7" t="str">
        <f>TEXT(Table1__2[[#This Row],[Date]], "dddd")</f>
        <v>Tuesday</v>
      </c>
    </row>
    <row r="14" spans="1:8" x14ac:dyDescent="0.25">
      <c r="A14">
        <v>1013</v>
      </c>
      <c r="B14" s="7" t="s">
        <v>30</v>
      </c>
      <c r="C14" s="7" t="s">
        <v>6</v>
      </c>
      <c r="D14">
        <v>120000</v>
      </c>
      <c r="E14" s="8">
        <v>46096</v>
      </c>
      <c r="F14" s="7" t="s">
        <v>13</v>
      </c>
      <c r="G14" s="7" t="str">
        <f>TEXT(Table1__2[[#This Row],[Date]], "mmmm")</f>
        <v>March</v>
      </c>
      <c r="H14" s="7" t="str">
        <f>TEXT(Table1__2[[#This Row],[Date]], "dddd")</f>
        <v>Sunday</v>
      </c>
    </row>
    <row r="15" spans="1:8" x14ac:dyDescent="0.25">
      <c r="A15">
        <v>1014</v>
      </c>
      <c r="B15" s="7" t="s">
        <v>26</v>
      </c>
      <c r="C15" s="7" t="s">
        <v>9</v>
      </c>
      <c r="D15">
        <v>310000</v>
      </c>
      <c r="E15" s="8">
        <v>46101</v>
      </c>
      <c r="F15" s="7" t="s">
        <v>15</v>
      </c>
      <c r="G15" s="7" t="str">
        <f>TEXT(Table1__2[[#This Row],[Date]], "mmmm")</f>
        <v>March</v>
      </c>
      <c r="H15" s="7" t="str">
        <f>TEXT(Table1__2[[#This Row],[Date]], "dddd")</f>
        <v>Friday</v>
      </c>
    </row>
    <row r="16" spans="1:8" x14ac:dyDescent="0.25">
      <c r="A16">
        <v>1015</v>
      </c>
      <c r="B16" s="7" t="s">
        <v>16</v>
      </c>
      <c r="C16" s="7" t="s">
        <v>12</v>
      </c>
      <c r="D16">
        <v>200000</v>
      </c>
      <c r="E16" s="8">
        <v>46106</v>
      </c>
      <c r="F16" s="7" t="s">
        <v>8</v>
      </c>
      <c r="G16" s="7" t="str">
        <f>TEXT(Table1__2[[#This Row],[Date]], "mmmm")</f>
        <v>March</v>
      </c>
      <c r="H16" s="7" t="str">
        <f>TEXT(Table1__2[[#This Row],[Date]], "dddd")</f>
        <v>Wednesday</v>
      </c>
    </row>
    <row r="17" spans="1:8" x14ac:dyDescent="0.25">
      <c r="A17">
        <v>1016</v>
      </c>
      <c r="B17" s="7" t="s">
        <v>17</v>
      </c>
      <c r="C17" s="7" t="s">
        <v>6</v>
      </c>
      <c r="D17">
        <v>450000</v>
      </c>
      <c r="E17" s="8">
        <v>46032</v>
      </c>
      <c r="F17" s="7" t="s">
        <v>10</v>
      </c>
      <c r="G17" s="7" t="str">
        <f>TEXT(Table1__2[[#This Row],[Date]], "mmmm")</f>
        <v>January</v>
      </c>
      <c r="H17" s="7" t="str">
        <f>TEXT(Table1__2[[#This Row],[Date]], "dddd")</f>
        <v>Saturday</v>
      </c>
    </row>
    <row r="18" spans="1:8" x14ac:dyDescent="0.25">
      <c r="A18">
        <v>1017</v>
      </c>
      <c r="B18" s="7" t="s">
        <v>18</v>
      </c>
      <c r="C18" s="7" t="s">
        <v>9</v>
      </c>
      <c r="D18">
        <v>180000</v>
      </c>
      <c r="E18" s="8">
        <v>46034</v>
      </c>
      <c r="F18" s="7" t="s">
        <v>13</v>
      </c>
      <c r="G18" s="7" t="str">
        <f>TEXT(Table1__2[[#This Row],[Date]], "mmmm")</f>
        <v>January</v>
      </c>
      <c r="H18" s="7" t="str">
        <f>TEXT(Table1__2[[#This Row],[Date]], "dddd")</f>
        <v>Monday</v>
      </c>
    </row>
    <row r="19" spans="1:8" x14ac:dyDescent="0.25">
      <c r="A19">
        <v>1018</v>
      </c>
      <c r="B19" s="7" t="s">
        <v>20</v>
      </c>
      <c r="C19" s="7" t="s">
        <v>12</v>
      </c>
      <c r="D19">
        <v>80000</v>
      </c>
      <c r="E19" s="8">
        <v>46040</v>
      </c>
      <c r="F19" s="7" t="s">
        <v>15</v>
      </c>
      <c r="G19" s="7" t="str">
        <f>TEXT(Table1__2[[#This Row],[Date]], "mmmm")</f>
        <v>January</v>
      </c>
      <c r="H19" s="7" t="str">
        <f>TEXT(Table1__2[[#This Row],[Date]], "dddd")</f>
        <v>Sunday</v>
      </c>
    </row>
    <row r="20" spans="1:8" x14ac:dyDescent="0.25">
      <c r="A20">
        <v>1019</v>
      </c>
      <c r="B20" s="7" t="s">
        <v>21</v>
      </c>
      <c r="C20" s="7" t="s">
        <v>6</v>
      </c>
      <c r="D20">
        <v>500000</v>
      </c>
      <c r="E20" s="8">
        <v>46044</v>
      </c>
      <c r="F20" s="7" t="s">
        <v>8</v>
      </c>
      <c r="G20" s="7" t="str">
        <f>TEXT(Table1__2[[#This Row],[Date]], "mmmm")</f>
        <v>January</v>
      </c>
      <c r="H20" s="7" t="str">
        <f>TEXT(Table1__2[[#This Row],[Date]], "dddd")</f>
        <v>Thursday</v>
      </c>
    </row>
    <row r="21" spans="1:8" x14ac:dyDescent="0.25">
      <c r="A21">
        <v>1020</v>
      </c>
      <c r="B21" s="7" t="s">
        <v>22</v>
      </c>
      <c r="C21" s="7" t="s">
        <v>9</v>
      </c>
      <c r="D21">
        <v>190000</v>
      </c>
      <c r="E21" s="8">
        <v>46050</v>
      </c>
      <c r="F21" s="7" t="s">
        <v>10</v>
      </c>
      <c r="G21" s="7" t="str">
        <f>TEXT(Table1__2[[#This Row],[Date]], "mmmm")</f>
        <v>January</v>
      </c>
      <c r="H21" s="7" t="str">
        <f>TEXT(Table1__2[[#This Row],[Date]], "dddd")</f>
        <v>Wednesday</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1A49-D103-4812-B4B3-D03949BCE326}">
  <dimension ref="A3:B57"/>
  <sheetViews>
    <sheetView topLeftCell="A40" zoomScale="71" zoomScaleNormal="71" workbookViewId="0">
      <selection activeCell="F58" sqref="F58"/>
    </sheetView>
  </sheetViews>
  <sheetFormatPr defaultRowHeight="15" x14ac:dyDescent="0.25"/>
  <cols>
    <col min="1" max="1" width="13.85546875" bestFit="1" customWidth="1"/>
    <col min="2" max="2" width="15.42578125" bestFit="1" customWidth="1"/>
  </cols>
  <sheetData>
    <row r="3" spans="1:2" x14ac:dyDescent="0.25">
      <c r="A3" s="5" t="s">
        <v>38</v>
      </c>
      <c r="B3" s="4" t="s">
        <v>37</v>
      </c>
    </row>
    <row r="4" spans="1:2" x14ac:dyDescent="0.25">
      <c r="A4" s="6" t="s">
        <v>34</v>
      </c>
      <c r="B4" s="4"/>
    </row>
    <row r="5" spans="1:2" x14ac:dyDescent="0.25">
      <c r="A5" s="9" t="s">
        <v>13</v>
      </c>
      <c r="B5" s="4">
        <v>220000</v>
      </c>
    </row>
    <row r="6" spans="1:2" x14ac:dyDescent="0.25">
      <c r="A6" s="9" t="s">
        <v>8</v>
      </c>
      <c r="B6" s="4">
        <v>460000</v>
      </c>
    </row>
    <row r="7" spans="1:2" x14ac:dyDescent="0.25">
      <c r="A7" s="9" t="s">
        <v>10</v>
      </c>
      <c r="B7" s="4">
        <v>350000</v>
      </c>
    </row>
    <row r="8" spans="1:2" x14ac:dyDescent="0.25">
      <c r="A8" s="9" t="s">
        <v>15</v>
      </c>
      <c r="B8" s="4">
        <v>90000</v>
      </c>
    </row>
    <row r="9" spans="1:2" x14ac:dyDescent="0.25">
      <c r="A9" s="6" t="s">
        <v>35</v>
      </c>
      <c r="B9" s="4"/>
    </row>
    <row r="10" spans="1:2" x14ac:dyDescent="0.25">
      <c r="A10" s="9" t="s">
        <v>13</v>
      </c>
      <c r="B10" s="4">
        <v>280000</v>
      </c>
    </row>
    <row r="11" spans="1:2" x14ac:dyDescent="0.25">
      <c r="A11" s="9" t="s">
        <v>8</v>
      </c>
      <c r="B11" s="4">
        <v>750000</v>
      </c>
    </row>
    <row r="12" spans="1:2" x14ac:dyDescent="0.25">
      <c r="A12" s="9" t="s">
        <v>10</v>
      </c>
      <c r="B12" s="4">
        <v>1040000</v>
      </c>
    </row>
    <row r="13" spans="1:2" x14ac:dyDescent="0.25">
      <c r="A13" s="9" t="s">
        <v>15</v>
      </c>
      <c r="B13" s="4">
        <v>380000</v>
      </c>
    </row>
    <row r="14" spans="1:2" x14ac:dyDescent="0.25">
      <c r="A14" s="6" t="s">
        <v>36</v>
      </c>
      <c r="B14" s="4"/>
    </row>
    <row r="15" spans="1:2" x14ac:dyDescent="0.25">
      <c r="A15" s="9" t="s">
        <v>13</v>
      </c>
      <c r="B15" s="4">
        <v>120000</v>
      </c>
    </row>
    <row r="16" spans="1:2" x14ac:dyDescent="0.25">
      <c r="A16" s="9" t="s">
        <v>8</v>
      </c>
      <c r="B16" s="4">
        <v>500000</v>
      </c>
    </row>
    <row r="17" spans="1:2" x14ac:dyDescent="0.25">
      <c r="A17" s="9" t="s">
        <v>10</v>
      </c>
      <c r="B17" s="4">
        <v>500000</v>
      </c>
    </row>
    <row r="18" spans="1:2" x14ac:dyDescent="0.25">
      <c r="A18" s="9" t="s">
        <v>15</v>
      </c>
      <c r="B18" s="4">
        <v>310000</v>
      </c>
    </row>
    <row r="19" spans="1:2" x14ac:dyDescent="0.25">
      <c r="A19" s="6" t="s">
        <v>31</v>
      </c>
      <c r="B19" s="4">
        <v>5000000</v>
      </c>
    </row>
    <row r="24" spans="1:2" x14ac:dyDescent="0.25">
      <c r="A24" s="5" t="s">
        <v>39</v>
      </c>
      <c r="B24" s="4" t="s">
        <v>37</v>
      </c>
    </row>
    <row r="25" spans="1:2" x14ac:dyDescent="0.25">
      <c r="A25" s="6" t="s">
        <v>34</v>
      </c>
      <c r="B25" s="4"/>
    </row>
    <row r="26" spans="1:2" x14ac:dyDescent="0.25">
      <c r="A26" s="9" t="s">
        <v>12</v>
      </c>
      <c r="B26" s="4">
        <v>630000</v>
      </c>
    </row>
    <row r="27" spans="1:2" x14ac:dyDescent="0.25">
      <c r="A27" s="9" t="s">
        <v>6</v>
      </c>
      <c r="B27" s="4">
        <v>220000</v>
      </c>
    </row>
    <row r="28" spans="1:2" x14ac:dyDescent="0.25">
      <c r="A28" s="9" t="s">
        <v>9</v>
      </c>
      <c r="B28" s="4">
        <v>270000</v>
      </c>
    </row>
    <row r="29" spans="1:2" x14ac:dyDescent="0.25">
      <c r="A29" s="6" t="s">
        <v>35</v>
      </c>
      <c r="B29" s="4"/>
    </row>
    <row r="30" spans="1:2" x14ac:dyDescent="0.25">
      <c r="A30" s="9" t="s">
        <v>12</v>
      </c>
      <c r="B30" s="4">
        <v>180000</v>
      </c>
    </row>
    <row r="31" spans="1:2" x14ac:dyDescent="0.25">
      <c r="A31" s="9" t="s">
        <v>6</v>
      </c>
      <c r="B31" s="4">
        <v>1500000</v>
      </c>
    </row>
    <row r="32" spans="1:2" x14ac:dyDescent="0.25">
      <c r="A32" s="9" t="s">
        <v>9</v>
      </c>
      <c r="B32" s="4">
        <v>770000</v>
      </c>
    </row>
    <row r="33" spans="1:2" x14ac:dyDescent="0.25">
      <c r="A33" s="6" t="s">
        <v>36</v>
      </c>
      <c r="B33" s="4"/>
    </row>
    <row r="34" spans="1:2" x14ac:dyDescent="0.25">
      <c r="A34" s="9" t="s">
        <v>12</v>
      </c>
      <c r="B34" s="4">
        <v>550000</v>
      </c>
    </row>
    <row r="35" spans="1:2" x14ac:dyDescent="0.25">
      <c r="A35" s="9" t="s">
        <v>6</v>
      </c>
      <c r="B35" s="4">
        <v>270000</v>
      </c>
    </row>
    <row r="36" spans="1:2" x14ac:dyDescent="0.25">
      <c r="A36" s="9" t="s">
        <v>9</v>
      </c>
      <c r="B36" s="4">
        <v>610000</v>
      </c>
    </row>
    <row r="37" spans="1:2" x14ac:dyDescent="0.25">
      <c r="A37" s="6" t="s">
        <v>31</v>
      </c>
      <c r="B37" s="4">
        <v>5000000</v>
      </c>
    </row>
    <row r="41" spans="1:2" x14ac:dyDescent="0.25">
      <c r="A41" s="5" t="s">
        <v>39</v>
      </c>
      <c r="B41" s="4" t="s">
        <v>37</v>
      </c>
    </row>
    <row r="42" spans="1:2" x14ac:dyDescent="0.25">
      <c r="A42" s="6" t="s">
        <v>43</v>
      </c>
      <c r="B42" s="4">
        <v>700000</v>
      </c>
    </row>
    <row r="43" spans="1:2" x14ac:dyDescent="0.25">
      <c r="A43" s="6" t="s">
        <v>46</v>
      </c>
      <c r="B43" s="4">
        <v>180000</v>
      </c>
    </row>
    <row r="44" spans="1:2" x14ac:dyDescent="0.25">
      <c r="A44" s="6" t="s">
        <v>44</v>
      </c>
      <c r="B44" s="4">
        <v>450000</v>
      </c>
    </row>
    <row r="45" spans="1:2" x14ac:dyDescent="0.25">
      <c r="A45" s="6" t="s">
        <v>40</v>
      </c>
      <c r="B45" s="4">
        <v>670000</v>
      </c>
    </row>
    <row r="46" spans="1:2" x14ac:dyDescent="0.25">
      <c r="A46" s="6" t="s">
        <v>45</v>
      </c>
      <c r="B46" s="4">
        <v>1230000</v>
      </c>
    </row>
    <row r="47" spans="1:2" x14ac:dyDescent="0.25">
      <c r="A47" s="6" t="s">
        <v>41</v>
      </c>
      <c r="B47" s="4">
        <v>1100000</v>
      </c>
    </row>
    <row r="48" spans="1:2" x14ac:dyDescent="0.25">
      <c r="A48" s="6" t="s">
        <v>42</v>
      </c>
      <c r="B48" s="4">
        <v>670000</v>
      </c>
    </row>
    <row r="49" spans="1:2" x14ac:dyDescent="0.25">
      <c r="A49" s="6" t="s">
        <v>31</v>
      </c>
      <c r="B49" s="4">
        <v>5000000</v>
      </c>
    </row>
    <row r="56" spans="1:2" x14ac:dyDescent="0.25">
      <c r="A56" s="4" t="s">
        <v>47</v>
      </c>
    </row>
    <row r="57" spans="1:2" x14ac:dyDescent="0.25">
      <c r="A57" s="4">
        <v>5000000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4223-21B1-4A1E-8575-B18001C174E9}">
  <dimension ref="A1"/>
  <sheetViews>
    <sheetView showGridLines="0" tabSelected="1" topLeftCell="A7" workbookViewId="0">
      <selection activeCell="O10" sqref="O10"/>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E1B7A5-716F-4002-8C80-EB8F5B78AE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Cleaned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2026-04-07T16:50:32Z</dcterms:created>
  <dcterms:modified xsi:type="dcterms:W3CDTF">2026-04-07T21:26:30Z</dcterms:modified>
</cp:coreProperties>
</file>