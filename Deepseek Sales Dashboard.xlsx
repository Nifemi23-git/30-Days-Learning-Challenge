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USER\Documents\Data_Visualization_Olaleye_Praise\"/>
    </mc:Choice>
  </mc:AlternateContent>
  <xr:revisionPtr revIDLastSave="0" documentId="8_{FDC5ECF7-8D07-49C8-855B-9C9904B235C6}" xr6:coauthVersionLast="47" xr6:coauthVersionMax="47" xr10:uidLastSave="{00000000-0000-0000-0000-000000000000}"/>
  <bookViews>
    <workbookView xWindow="-120" yWindow="-120" windowWidth="20730" windowHeight="11160" activeTab="1" xr2:uid="{627C9ED3-37C4-4384-A677-5E20578667A9}"/>
  </bookViews>
  <sheets>
    <sheet name="PivotTable" sheetId="7" r:id="rId1"/>
    <sheet name="Dashboard" sheetId="8" r:id="rId2"/>
    <sheet name="Raw Data" sheetId="3" r:id="rId3"/>
  </sheets>
  <definedNames>
    <definedName name="_xlcn.WorksheetConnection_Book1deepseek_csv_20260408_349e041" hidden="1">deepseek_csv_20260408_349e04[]</definedName>
    <definedName name="ExternalData_1" localSheetId="2" hidden="1">'Raw Data'!$A$1:$G$113</definedName>
    <definedName name="Slicer_Category">#N/A</definedName>
    <definedName name="Slicer_Region">#N/A</definedName>
  </definedNames>
  <calcPr calcId="191029"/>
  <pivotCaches>
    <pivotCache cacheId="518" r:id="rId4"/>
    <pivotCache cacheId="521" r:id="rId5"/>
    <pivotCache cacheId="524" r:id="rId6"/>
    <pivotCache cacheId="527" r:id="rId7"/>
    <pivotCache cacheId="530" r:id="rId8"/>
    <pivotCache cacheId="533" r:id="rId9"/>
    <pivotCache cacheId="536" r:id="rId10"/>
    <pivotCache cacheId="539" r:id="rId11"/>
    <pivotCache cacheId="542" r:id="rId12"/>
    <pivotCache cacheId="545" r:id="rId13"/>
    <pivotCache cacheId="548" r:id="rId14"/>
    <pivotCache cacheId="551" r:id="rId15"/>
    <pivotCache cacheId="554" r:id="rId16"/>
  </pivotCaches>
  <extLst>
    <ext xmlns:x14="http://schemas.microsoft.com/office/spreadsheetml/2009/9/main" uri="{876F7934-8845-4945-9796-88D515C7AA90}">
      <x14:pivotCaches>
        <pivotCache cacheId="377"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epseek_csv_20260408_349e04_5dfe791e-857f-410c-a8a8-3f4f251423c8" name="deepseek_csv_20260408_349e04" connection="Query - deepseek_csv_20260408_349e04"/>
          <x15:modelTable id="deepseek_csv_20260408_349e04 1" name="deepseek_csv_20260408_349e04 1" connection="WorksheetConnection_Book1!deepseek_csv_20260408_349e04"/>
        </x15:modelTables>
        <x15:extLst>
          <ext xmlns:x16="http://schemas.microsoft.com/office/spreadsheetml/2014/11/main" uri="{9835A34E-60A6-4A7C-AAB8-D5F71C897F49}">
            <x16:modelTimeGroupings>
              <x16:modelTimeGrouping tableName="deepseek_csv_20260408_349e04 1" columnName="Date Of Purchase" columnId="Date Of Purchase">
                <x16:calculatedTimeColumn columnName="Date Of Purchase (Month Index)" columnId="Date Of Purchase (Month Index)" contentType="monthsindex" isSelected="1"/>
                <x16:calculatedTimeColumn columnName="Date Of Purchase (Month)" columnId="Date Of Purchas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5B387D-4C53-4608-8934-A2DF2D880C41}" keepAlive="1" name="ModelConnection_ExternalData_1" description="Data Model" type="5" refreshedVersion="7" minRefreshableVersion="5" saveData="1">
    <dbPr connection="Data Model Connection" command="deepseek_csv_20260408_349e04" commandType="3"/>
    <extLst>
      <ext xmlns:x15="http://schemas.microsoft.com/office/spreadsheetml/2010/11/main" uri="{DE250136-89BD-433C-8126-D09CA5730AF9}">
        <x15:connection id="" model="1"/>
      </ext>
    </extLst>
  </connection>
  <connection id="2" xr16:uid="{42E4606B-F874-42D4-BDA5-5C5BBE71F0B2}" name="Query - deepseek_csv_20260408_349e04" description="Connection to the 'deepseek_csv_20260408_349e04' query in the workbook." type="100" refreshedVersion="7" minRefreshableVersion="5">
    <extLst>
      <ext xmlns:x15="http://schemas.microsoft.com/office/spreadsheetml/2010/11/main" uri="{DE250136-89BD-433C-8126-D09CA5730AF9}">
        <x15:connection id="a429e734-5cfb-44ca-9265-e2f4c3960ead"/>
      </ext>
    </extLst>
  </connection>
  <connection id="3" xr16:uid="{DD06E6BB-DC71-432B-ACC1-EB4E8F460FA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679D14C-0CE6-41C8-A361-198A6409CDBE}" name="WorksheetConnection_Book1!deepseek_csv_20260408_349e04" type="102" refreshedVersion="7" minRefreshableVersion="5">
    <extLst>
      <ext xmlns:x15="http://schemas.microsoft.com/office/spreadsheetml/2010/11/main" uri="{DE250136-89BD-433C-8126-D09CA5730AF9}">
        <x15:connection id="deepseek_csv_20260408_349e04 1" autoDelete="1">
          <x15:rangePr sourceName="_xlcn.WorksheetConnection_Book1deepseek_csv_20260408_349e041"/>
        </x15:connection>
      </ext>
    </extLst>
  </connection>
</connections>
</file>

<file path=xl/sharedStrings.xml><?xml version="1.0" encoding="utf-8"?>
<sst xmlns="http://schemas.openxmlformats.org/spreadsheetml/2006/main" count="659" uniqueCount="265">
  <si>
    <t>Customer Name</t>
  </si>
  <si>
    <t>Category</t>
  </si>
  <si>
    <t>Region</t>
  </si>
  <si>
    <t>Customer ID</t>
  </si>
  <si>
    <t>Quantity</t>
  </si>
  <si>
    <t>Returned</t>
  </si>
  <si>
    <t>Price</t>
  </si>
  <si>
    <t>John Doe</t>
  </si>
  <si>
    <t>Electronics</t>
  </si>
  <si>
    <t>North</t>
  </si>
  <si>
    <t>CUST001</t>
  </si>
  <si>
    <t>No</t>
  </si>
  <si>
    <t>Jane Smith</t>
  </si>
  <si>
    <t>Clothing</t>
  </si>
  <si>
    <t>South</t>
  </si>
  <si>
    <t>CUST002</t>
  </si>
  <si>
    <t>Yes</t>
  </si>
  <si>
    <t>Bob Johnson</t>
  </si>
  <si>
    <t>East</t>
  </si>
  <si>
    <t>CUST003</t>
  </si>
  <si>
    <t>Charlie Brown</t>
  </si>
  <si>
    <t>CUST005</t>
  </si>
  <si>
    <t>Daisy Miller</t>
  </si>
  <si>
    <t>CUST006</t>
  </si>
  <si>
    <t>Frank Ocean</t>
  </si>
  <si>
    <t>West</t>
  </si>
  <si>
    <t>CUST008</t>
  </si>
  <si>
    <t>Grace Lee</t>
  </si>
  <si>
    <t>CUST009</t>
  </si>
  <si>
    <t>Ivy Green</t>
  </si>
  <si>
    <t>CUST011</t>
  </si>
  <si>
    <t>Jack Black</t>
  </si>
  <si>
    <t>CUST012</t>
  </si>
  <si>
    <t>Kate Moss</t>
  </si>
  <si>
    <t>Home</t>
  </si>
  <si>
    <t>CUST013</t>
  </si>
  <si>
    <t>Leo Messi</t>
  </si>
  <si>
    <t>CUST014</t>
  </si>
  <si>
    <t>Mia Wong</t>
  </si>
  <si>
    <t>CUST015</t>
  </si>
  <si>
    <t>Oscar Wilde</t>
  </si>
  <si>
    <t>CUST017</t>
  </si>
  <si>
    <t>Paul Newman</t>
  </si>
  <si>
    <t>CUST018</t>
  </si>
  <si>
    <t>Quincy Jones</t>
  </si>
  <si>
    <t>CUST019</t>
  </si>
  <si>
    <t>Rose Park</t>
  </si>
  <si>
    <t>CUST020</t>
  </si>
  <si>
    <t>Steve Jobs</t>
  </si>
  <si>
    <t>CUST021</t>
  </si>
  <si>
    <t>Tina Turner</t>
  </si>
  <si>
    <t>CUST022</t>
  </si>
  <si>
    <t>Ursula Andress</t>
  </si>
  <si>
    <t>CUST023</t>
  </si>
  <si>
    <t>Wendy Wu</t>
  </si>
  <si>
    <t>CUST025</t>
  </si>
  <si>
    <t>Xena Prince</t>
  </si>
  <si>
    <t>CUST026</t>
  </si>
  <si>
    <t>Yannick Noah</t>
  </si>
  <si>
    <t>CUST027</t>
  </si>
  <si>
    <t>Zoe Zhang</t>
  </si>
  <si>
    <t>CUST028</t>
  </si>
  <si>
    <t>Anna Karenina</t>
  </si>
  <si>
    <t>CUST029</t>
  </si>
  <si>
    <t>Celine Dion</t>
  </si>
  <si>
    <t>CUST031</t>
  </si>
  <si>
    <t>David Bowie</t>
  </si>
  <si>
    <t>CUST032</t>
  </si>
  <si>
    <t>Emma Stone</t>
  </si>
  <si>
    <t>CUST033</t>
  </si>
  <si>
    <t>George Clooney</t>
  </si>
  <si>
    <t>CUST035</t>
  </si>
  <si>
    <t>Halle Berry</t>
  </si>
  <si>
    <t>CUST036</t>
  </si>
  <si>
    <t>Ian Mckellen</t>
  </si>
  <si>
    <t>CUST037</t>
  </si>
  <si>
    <t>Julia Roberts</t>
  </si>
  <si>
    <t>CUST038</t>
  </si>
  <si>
    <t>Kevin Spacey</t>
  </si>
  <si>
    <t>CUST039</t>
  </si>
  <si>
    <t>Laura Linney</t>
  </si>
  <si>
    <t>CUST040</t>
  </si>
  <si>
    <t>Matt Damon</t>
  </si>
  <si>
    <t>CUST041</t>
  </si>
  <si>
    <t>Nancy Pelosi</t>
  </si>
  <si>
    <t>CUST042</t>
  </si>
  <si>
    <t>Olivia Wilde</t>
  </si>
  <si>
    <t>CUST043</t>
  </si>
  <si>
    <t>Paul Rudd</t>
  </si>
  <si>
    <t>CUST044</t>
  </si>
  <si>
    <t>Quincy Adams</t>
  </si>
  <si>
    <t>CUST045</t>
  </si>
  <si>
    <t>Rachel Mcadams</t>
  </si>
  <si>
    <t>CUST046</t>
  </si>
  <si>
    <t>Seth Rogen</t>
  </si>
  <si>
    <t>CUST047</t>
  </si>
  <si>
    <t>Tilda Swinton</t>
  </si>
  <si>
    <t>CUST048</t>
  </si>
  <si>
    <t>Vince Vaughn</t>
  </si>
  <si>
    <t>CUST050</t>
  </si>
  <si>
    <t>Will Smith</t>
  </si>
  <si>
    <t>CUST051</t>
  </si>
  <si>
    <t>Xander Cage</t>
  </si>
  <si>
    <t>CUST052</t>
  </si>
  <si>
    <t>Yvonne Strahovski</t>
  </si>
  <si>
    <t>CUST053</t>
  </si>
  <si>
    <t>Zach Galifianakis</t>
  </si>
  <si>
    <t>CUST054</t>
  </si>
  <si>
    <t>Amy Adams</t>
  </si>
  <si>
    <t>CUST055</t>
  </si>
  <si>
    <t>Ben Affleck</t>
  </si>
  <si>
    <t>CUST056</t>
  </si>
  <si>
    <t>Chris Evans</t>
  </si>
  <si>
    <t>CUST057</t>
  </si>
  <si>
    <t>Daniel Craig</t>
  </si>
  <si>
    <t>CUST058</t>
  </si>
  <si>
    <t>Emily Blunt</t>
  </si>
  <si>
    <t>CUST059</t>
  </si>
  <si>
    <t>Forest Whitaker</t>
  </si>
  <si>
    <t>CUST060</t>
  </si>
  <si>
    <t>Gwyneth Paltrow</t>
  </si>
  <si>
    <t>CUST061</t>
  </si>
  <si>
    <t>Hugh Jackman</t>
  </si>
  <si>
    <t>CUST062</t>
  </si>
  <si>
    <t>Isla Fisher</t>
  </si>
  <si>
    <t>CUST063</t>
  </si>
  <si>
    <t>Jake Gyllenhaal</t>
  </si>
  <si>
    <t>CUST064</t>
  </si>
  <si>
    <t>Kristen Bell</t>
  </si>
  <si>
    <t>CUST065</t>
  </si>
  <si>
    <t>Leonardo Dicaprio</t>
  </si>
  <si>
    <t>CUST066</t>
  </si>
  <si>
    <t>Meryl Streep</t>
  </si>
  <si>
    <t>CUST067</t>
  </si>
  <si>
    <t>Nathan Fillion</t>
  </si>
  <si>
    <t>CUST068</t>
  </si>
  <si>
    <t>Olivia Colman</t>
  </si>
  <si>
    <t>CUST069</t>
  </si>
  <si>
    <t>Patrick Stewart</t>
  </si>
  <si>
    <t>CUST070</t>
  </si>
  <si>
    <t>Queen Latifah</t>
  </si>
  <si>
    <t>CUST071</t>
  </si>
  <si>
    <t>Robert Downey</t>
  </si>
  <si>
    <t>CUST072</t>
  </si>
  <si>
    <t>Scarlett Johansson</t>
  </si>
  <si>
    <t>CUST073</t>
  </si>
  <si>
    <t>Tom Hanks</t>
  </si>
  <si>
    <t>CUST074</t>
  </si>
  <si>
    <t>Ursula Corbero</t>
  </si>
  <si>
    <t>CUST075</t>
  </si>
  <si>
    <t>Vin Diesel</t>
  </si>
  <si>
    <t>CUST076</t>
  </si>
  <si>
    <t>Whoopi Goldberg</t>
  </si>
  <si>
    <t>CUST077</t>
  </si>
  <si>
    <t>Xenia Seeberg</t>
  </si>
  <si>
    <t>CUST078</t>
  </si>
  <si>
    <t>Yolanda Hadid</t>
  </si>
  <si>
    <t>CUST079</t>
  </si>
  <si>
    <t>Zendaya Coleman</t>
  </si>
  <si>
    <t>CUST080</t>
  </si>
  <si>
    <t>Amelia Earhart</t>
  </si>
  <si>
    <t>CUST081</t>
  </si>
  <si>
    <t>Bruce Willis</t>
  </si>
  <si>
    <t>CUST082</t>
  </si>
  <si>
    <t>Chadwick Boseman</t>
  </si>
  <si>
    <t>CUST083</t>
  </si>
  <si>
    <t>Dwayne Johnson</t>
  </si>
  <si>
    <t>CUST084</t>
  </si>
  <si>
    <t>Elizabeth Olsen</t>
  </si>
  <si>
    <t>CUST085</t>
  </si>
  <si>
    <t>Freddie Mercury</t>
  </si>
  <si>
    <t>CUST086</t>
  </si>
  <si>
    <t>Gal Gadot</t>
  </si>
  <si>
    <t>CUST087</t>
  </si>
  <si>
    <t>Harrison Ford</t>
  </si>
  <si>
    <t>CUST088</t>
  </si>
  <si>
    <t>Idris Elba</t>
  </si>
  <si>
    <t>CUST089</t>
  </si>
  <si>
    <t>Jennifer Lawrence</t>
  </si>
  <si>
    <t>CUST090</t>
  </si>
  <si>
    <t>Keanu Reeves</t>
  </si>
  <si>
    <t>CUST091</t>
  </si>
  <si>
    <t>Lupita Nyongo</t>
  </si>
  <si>
    <t>CUST092</t>
  </si>
  <si>
    <t>Michael B Jordan</t>
  </si>
  <si>
    <t>CUST093</t>
  </si>
  <si>
    <t>Natalie Portman</t>
  </si>
  <si>
    <t>CUST094</t>
  </si>
  <si>
    <t>Orlando Bloom</t>
  </si>
  <si>
    <t>CUST095</t>
  </si>
  <si>
    <t>Peter Dinklage</t>
  </si>
  <si>
    <t>CUST096</t>
  </si>
  <si>
    <t>Quentin Tarantino</t>
  </si>
  <si>
    <t>CUST097</t>
  </si>
  <si>
    <t>Ryan Reynolds</t>
  </si>
  <si>
    <t>CUST098</t>
  </si>
  <si>
    <t>Samuel Jackson</t>
  </si>
  <si>
    <t>CUST099</t>
  </si>
  <si>
    <t>Taylor Swift</t>
  </si>
  <si>
    <t>CUST100</t>
  </si>
  <si>
    <t>Tommy Lee Jones</t>
  </si>
  <si>
    <t>CUST101</t>
  </si>
  <si>
    <t>CUST102</t>
  </si>
  <si>
    <t>Vincent Cassel</t>
  </si>
  <si>
    <t>CUST103</t>
  </si>
  <si>
    <t>Will Ferrell</t>
  </si>
  <si>
    <t>CUST104</t>
  </si>
  <si>
    <t>Xavier Dolan</t>
  </si>
  <si>
    <t>CUST105</t>
  </si>
  <si>
    <t>Yvette Nicole</t>
  </si>
  <si>
    <t>CUST106</t>
  </si>
  <si>
    <t>Zachary Levi</t>
  </si>
  <si>
    <t>CUST107</t>
  </si>
  <si>
    <t>Alfred Hitchcock</t>
  </si>
  <si>
    <t>CUST108</t>
  </si>
  <si>
    <t>Bette Davis</t>
  </si>
  <si>
    <t>CUST109</t>
  </si>
  <si>
    <t>Cary Grant</t>
  </si>
  <si>
    <t>CUST110</t>
  </si>
  <si>
    <t>Doris Day</t>
  </si>
  <si>
    <t>CUST111</t>
  </si>
  <si>
    <t>Elvis Presley</t>
  </si>
  <si>
    <t>CUST112</t>
  </si>
  <si>
    <t>Frank Capra</t>
  </si>
  <si>
    <t>CUST113</t>
  </si>
  <si>
    <t>Grace Kelly</t>
  </si>
  <si>
    <t>CUST114</t>
  </si>
  <si>
    <t>Humphrey Bogart</t>
  </si>
  <si>
    <t>CUST115</t>
  </si>
  <si>
    <t>Ingrid Bergman</t>
  </si>
  <si>
    <t>CUST116</t>
  </si>
  <si>
    <t>James Stewart</t>
  </si>
  <si>
    <t>CUST117</t>
  </si>
  <si>
    <t>Katherine Hepburn</t>
  </si>
  <si>
    <t>CUST118</t>
  </si>
  <si>
    <t>Lauren Bacall</t>
  </si>
  <si>
    <t>CUST119</t>
  </si>
  <si>
    <t>Marlon Brando</t>
  </si>
  <si>
    <t>CUST120</t>
  </si>
  <si>
    <t>Grand Total</t>
  </si>
  <si>
    <t>Sum of Price</t>
  </si>
  <si>
    <t>Day</t>
  </si>
  <si>
    <t>Month</t>
  </si>
  <si>
    <t>April</t>
  </si>
  <si>
    <t>July</t>
  </si>
  <si>
    <t>June</t>
  </si>
  <si>
    <t>March</t>
  </si>
  <si>
    <t>May</t>
  </si>
  <si>
    <t>Count of Customer ID</t>
  </si>
  <si>
    <t xml:space="preserve">Date Of Purchase </t>
  </si>
  <si>
    <t>Average of Price</t>
  </si>
  <si>
    <t>Sum of Quantity</t>
  </si>
  <si>
    <t>Friday</t>
  </si>
  <si>
    <t>Monday</t>
  </si>
  <si>
    <t>Saturday</t>
  </si>
  <si>
    <t>Sunday</t>
  </si>
  <si>
    <t>Thursday</t>
  </si>
  <si>
    <t>Tuesday</t>
  </si>
  <si>
    <t>Wednesday</t>
  </si>
  <si>
    <t>Days</t>
  </si>
  <si>
    <t>Min of Price</t>
  </si>
  <si>
    <t>Max of Price</t>
  </si>
  <si>
    <t>Total Revenue</t>
  </si>
  <si>
    <t>Total Number Of Customers</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</si>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</sst>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quot;$&quot;#,##0"/>
    <numFmt numFmtId="167" formatCode="dd/mm/yyyy;@"/>
  </numFmts>
  <fonts count="1" x14ac:knownFonts="1">
    <font>
      <sz val="11"/>
      <color theme="1"/>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65" fontId="0" fillId="0" borderId="0" xfId="0" applyNumberFormat="1"/>
    <xf numFmtId="167"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30">
    <dxf>
      <fill>
        <patternFill>
          <bgColor theme="0" tint="-0.14996795556505021"/>
        </patternFill>
      </fill>
    </dxf>
    <dxf>
      <fill>
        <patternFill>
          <bgColor rgb="FFFF0000"/>
        </patternFill>
      </fill>
    </dxf>
    <dxf>
      <fill>
        <patternFill>
          <bgColor theme="0" tint="-0.14996795556505021"/>
        </patternFill>
      </fill>
    </dxf>
    <dxf>
      <fill>
        <patternFill>
          <bgColor rgb="FF33CCFF"/>
        </patternFill>
      </fill>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7" formatCode="dd/mm/yyyy;@"/>
    </dxf>
    <dxf>
      <numFmt numFmtId="165" formatCode="&quot;$&quot;#,##0"/>
    </dxf>
    <dxf>
      <numFmt numFmtId="0" formatCode="General"/>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5" xr9:uid="{009F255E-F8F7-4C59-B4DF-D723F8A6E6E8}">
      <tableStyleElement type="wholeTable" dxfId="1"/>
      <tableStyleElement type="headerRow" dxfId="0"/>
    </tableStyle>
    <tableStyle name="Slicer Style 1 2" pivot="0" table="0" count="5" xr9:uid="{E8146F15-9679-4835-9204-902F2FE4D5FF}">
      <tableStyleElement type="wholeTable" dxfId="3"/>
      <tableStyleElement type="headerRow" dxfId="2"/>
    </tableStyle>
  </tableStyles>
  <colors>
    <mruColors>
      <color rgb="FF18A0FB"/>
      <color rgb="FF2C3E50"/>
      <color rgb="FF33CCFF"/>
      <color rgb="FF2ECC71"/>
      <color rgb="FF819DB9"/>
    </mruColors>
  </colors>
  <extLst>
    <ext xmlns:x14="http://schemas.microsoft.com/office/spreadsheetml/2009/9/main" uri="{46F421CA-312F-682f-3DD2-61675219B42D}">
      <x14:dxfs count="6">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SelectedItemWithData" dxfId="1"/>
            <x14:slicerStyleElement type="hoveredSelectedItemWithNoData" dxfId="0"/>
          </x14:slicerStyleElements>
        </x14:slicerStyle>
        <x14:slicerStyle name="Slicer Style 1 2">
          <x14:slicerStyleElements>
            <x14:slicerStyleElement type="selectedItemWithData" dxfId="5"/>
            <x14:slicerStyleElement type="hoveredSelectedItemWithData" dxfId="4"/>
            <x14:slicerStyleElement type="hoveredSelectedItemWithNoData" dxfId="3"/>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PivotTable!$B$26</c:f>
              <c:strCache>
                <c:ptCount val="1"/>
                <c:pt idx="0">
                  <c:v>Total</c:v>
                </c:pt>
              </c:strCache>
            </c:strRef>
          </c:tx>
          <c:spPr>
            <a:solidFill>
              <a:schemeClr val="accent1"/>
            </a:solidFill>
            <a:ln>
              <a:noFill/>
            </a:ln>
            <a:effectLst/>
          </c:spPr>
          <c:invertIfNegative val="0"/>
          <c:cat>
            <c:strRef>
              <c:f>PivotTable!$A$27:$A$30</c:f>
              <c:strCache>
                <c:ptCount val="3"/>
                <c:pt idx="0">
                  <c:v>Clothing</c:v>
                </c:pt>
                <c:pt idx="1">
                  <c:v>Electronics</c:v>
                </c:pt>
                <c:pt idx="2">
                  <c:v>Home</c:v>
                </c:pt>
              </c:strCache>
            </c:strRef>
          </c:cat>
          <c:val>
            <c:numRef>
              <c:f>PivotTable!$B$27:$B$30</c:f>
              <c:numCache>
                <c:formatCode>"$"#,##0</c:formatCode>
                <c:ptCount val="3"/>
                <c:pt idx="0">
                  <c:v>2600.2399999999998</c:v>
                </c:pt>
                <c:pt idx="1">
                  <c:v>17119.669999999998</c:v>
                </c:pt>
                <c:pt idx="2">
                  <c:v>4034.74</c:v>
                </c:pt>
              </c:numCache>
            </c:numRef>
          </c:val>
          <c:extLst>
            <c:ext xmlns:c16="http://schemas.microsoft.com/office/drawing/2014/chart" uri="{C3380CC4-5D6E-409C-BE32-E72D297353CC}">
              <c16:uniqueId val="{00000000-659B-4018-91EA-16E8838651E0}"/>
            </c:ext>
          </c:extLst>
        </c:ser>
        <c:dLbls>
          <c:showLegendKey val="0"/>
          <c:showVal val="0"/>
          <c:showCatName val="0"/>
          <c:showSerName val="0"/>
          <c:showPercent val="0"/>
          <c:showBubbleSize val="0"/>
        </c:dLbls>
        <c:gapWidth val="182"/>
        <c:axId val="1460640735"/>
        <c:axId val="1460641151"/>
      </c:barChart>
      <c:catAx>
        <c:axId val="146064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641151"/>
        <c:crosses val="autoZero"/>
        <c:auto val="1"/>
        <c:lblAlgn val="ctr"/>
        <c:lblOffset val="100"/>
        <c:noMultiLvlLbl val="0"/>
      </c:catAx>
      <c:valAx>
        <c:axId val="1460641151"/>
        <c:scaling>
          <c:orientation val="minMax"/>
          <c:max val="1800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64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39605825682575524"/>
          <c:y val="7.18811923052529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315128867156525E-2"/>
              <c:y val="-7.900540646507900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1DBB989-29F6-4B0C-BA8A-B93AA3683FEA}" type="VALUE">
                  <a:rPr lang="en-US"/>
                  <a:pPr>
                    <a:defRPr b="1"/>
                  </a:pPr>
                  <a:t>[VALUE]</a:t>
                </a:fld>
                <a:r>
                  <a:rPr lang="en-US" baseline="0"/>
                  <a:t>,</a:t>
                </a:r>
              </a:p>
              <a:p>
                <a:pPr>
                  <a:defRPr b="1"/>
                </a:pPr>
                <a:r>
                  <a:rPr lang="en-US" baseline="0"/>
                  <a:t> </a:t>
                </a:r>
                <a:fld id="{A6F9205A-6FB2-427D-94A5-3DD0238B46A1}" type="PERCENTAGE">
                  <a:rPr lang="en-US" baseline="0"/>
                  <a:pPr>
                    <a:defRPr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olidFill>
          <a:ln w="19050">
            <a:solidFill>
              <a:schemeClr val="lt1"/>
            </a:solidFill>
          </a:ln>
          <a:effectLst/>
        </c:spPr>
        <c:dLbl>
          <c:idx val="0"/>
          <c:layout>
            <c:manualLayout>
              <c:x val="2.0725938927380665E-2"/>
              <c:y val="-4.59251628378079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614926E-64CD-4D75-A404-374F766DB681}" type="VALUE">
                  <a:rPr lang="en-US"/>
                  <a:pPr>
                    <a:defRPr b="1"/>
                  </a:pPr>
                  <a:t>[VALUE]</a:t>
                </a:fld>
                <a:r>
                  <a:rPr lang="en-US" baseline="0"/>
                  <a:t>, </a:t>
                </a:r>
              </a:p>
              <a:p>
                <a:pPr>
                  <a:defRPr b="1"/>
                </a:pPr>
                <a:fld id="{32403A2A-8445-4C21-AE1B-D129E28FF7FE}" type="PERCENTAGE">
                  <a:rPr lang="en-US" baseline="0"/>
                  <a:pPr>
                    <a:defRPr b="1"/>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5.5346467368397823E-2"/>
              <c:y val="-9.341143525983898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53093FE-DC50-49FF-A82F-B46B96F837FF}" type="VALUE">
                  <a:rPr lang="en-US"/>
                  <a:pPr>
                    <a:defRPr b="1"/>
                  </a:pPr>
                  <a:t>[VALUE]</a:t>
                </a:fld>
                <a:r>
                  <a:rPr lang="en-US" baseline="0"/>
                  <a:t>,</a:t>
                </a:r>
              </a:p>
              <a:p>
                <a:pPr>
                  <a:defRPr b="1"/>
                </a:pPr>
                <a:r>
                  <a:rPr lang="en-US" baseline="0"/>
                  <a:t> </a:t>
                </a:r>
                <a:fld id="{C7287E1F-FDAD-4801-A5D0-A495CBDA1D1E}" type="PERCENTAGE">
                  <a:rPr lang="en-US" baseline="0"/>
                  <a:pPr>
                    <a:defRPr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dLbl>
          <c:idx val="0"/>
          <c:layout>
            <c:manualLayout>
              <c:x val="0.10224586052901723"/>
              <c:y val="-5.70561768815478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20056C-AADB-4ACD-87CE-BA8FCFE9544A}" type="VALUE">
                  <a:rPr lang="en-US"/>
                  <a:pPr>
                    <a:defRPr b="1"/>
                  </a:pPr>
                  <a:t>[VALUE]</a:t>
                </a:fld>
                <a:r>
                  <a:rPr lang="en-US" baseline="0"/>
                  <a:t>,</a:t>
                </a:r>
              </a:p>
              <a:p>
                <a:pPr>
                  <a:defRPr b="1"/>
                </a:pPr>
                <a:r>
                  <a:rPr lang="en-US" baseline="0"/>
                  <a:t> </a:t>
                </a:r>
                <a:fld id="{6C9F85C6-C9A2-42B5-BED9-2EE8FFFE20DA}" type="PERCENTAGE">
                  <a:rPr lang="en-US" baseline="0"/>
                  <a:pPr>
                    <a:defRPr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PivotTable!$B$19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4AD-4838-BD86-E06D9E1295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4AD-4838-BD86-E06D9E1295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4AD-4838-BD86-E06D9E1295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C4AD-4838-BD86-E06D9E129589}"/>
              </c:ext>
            </c:extLst>
          </c:dPt>
          <c:dLbls>
            <c:dLbl>
              <c:idx val="0"/>
              <c:layout>
                <c:manualLayout>
                  <c:x val="2.7315128867156525E-2"/>
                  <c:y val="-7.9005406465079003E-2"/>
                </c:manualLayout>
              </c:layout>
              <c:tx>
                <c:rich>
                  <a:bodyPr/>
                  <a:lstStyle/>
                  <a:p>
                    <a:fld id="{B1DBB989-29F6-4B0C-BA8A-B93AA3683FEA}" type="VALUE">
                      <a:rPr lang="en-US"/>
                      <a:pPr/>
                      <a:t>[VALUE]</a:t>
                    </a:fld>
                    <a:r>
                      <a:rPr lang="en-US" baseline="0"/>
                      <a:t>,</a:t>
                    </a:r>
                  </a:p>
                  <a:p>
                    <a:r>
                      <a:rPr lang="en-US" baseline="0"/>
                      <a:t> </a:t>
                    </a:r>
                    <a:fld id="{A6F9205A-6FB2-427D-94A5-3DD0238B46A1}"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4AD-4838-BD86-E06D9E129589}"/>
                </c:ext>
              </c:extLst>
            </c:dLbl>
            <c:dLbl>
              <c:idx val="1"/>
              <c:layout>
                <c:manualLayout>
                  <c:x val="0.10224586052901723"/>
                  <c:y val="-5.705617688154787E-2"/>
                </c:manualLayout>
              </c:layout>
              <c:tx>
                <c:rich>
                  <a:bodyPr/>
                  <a:lstStyle/>
                  <a:p>
                    <a:fld id="{3420056C-AADB-4ACD-87CE-BA8FCFE9544A}" type="VALUE">
                      <a:rPr lang="en-US"/>
                      <a:pPr/>
                      <a:t>[VALUE]</a:t>
                    </a:fld>
                    <a:r>
                      <a:rPr lang="en-US" baseline="0"/>
                      <a:t>,</a:t>
                    </a:r>
                  </a:p>
                  <a:p>
                    <a:r>
                      <a:rPr lang="en-US" baseline="0"/>
                      <a:t> </a:t>
                    </a:r>
                    <a:fld id="{6C9F85C6-C9A2-42B5-BED9-2EE8FFFE20DA}"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4AD-4838-BD86-E06D9E129589}"/>
                </c:ext>
              </c:extLst>
            </c:dLbl>
            <c:dLbl>
              <c:idx val="2"/>
              <c:layout>
                <c:manualLayout>
                  <c:x val="-5.5346467368397823E-2"/>
                  <c:y val="-9.3411435259838985E-2"/>
                </c:manualLayout>
              </c:layout>
              <c:tx>
                <c:rich>
                  <a:bodyPr/>
                  <a:lstStyle/>
                  <a:p>
                    <a:fld id="{153093FE-DC50-49FF-A82F-B46B96F837FF}" type="VALUE">
                      <a:rPr lang="en-US"/>
                      <a:pPr/>
                      <a:t>[VALUE]</a:t>
                    </a:fld>
                    <a:r>
                      <a:rPr lang="en-US" baseline="0"/>
                      <a:t>,</a:t>
                    </a:r>
                  </a:p>
                  <a:p>
                    <a:r>
                      <a:rPr lang="en-US" baseline="0"/>
                      <a:t> </a:t>
                    </a:r>
                    <a:fld id="{C7287E1F-FDAD-4801-A5D0-A495CBDA1D1E}"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4AD-4838-BD86-E06D9E129589}"/>
                </c:ext>
              </c:extLst>
            </c:dLbl>
            <c:dLbl>
              <c:idx val="3"/>
              <c:layout>
                <c:manualLayout>
                  <c:x val="2.0725938927380665E-2"/>
                  <c:y val="-4.5925162837807967E-2"/>
                </c:manualLayout>
              </c:layout>
              <c:tx>
                <c:rich>
                  <a:bodyPr/>
                  <a:lstStyle/>
                  <a:p>
                    <a:fld id="{F614926E-64CD-4D75-A404-374F766DB681}" type="VALUE">
                      <a:rPr lang="en-US"/>
                      <a:pPr/>
                      <a:t>[VALUE]</a:t>
                    </a:fld>
                    <a:r>
                      <a:rPr lang="en-US" baseline="0"/>
                      <a:t>, </a:t>
                    </a:r>
                  </a:p>
                  <a:p>
                    <a:fld id="{32403A2A-8445-4C21-AE1B-D129E28FF7FE}" type="PERCENTAGE">
                      <a:rPr lang="en-US" baseline="0"/>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4AD-4838-BD86-E06D9E1295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PivotTable!$A$20:$A$24</c:f>
              <c:strCache>
                <c:ptCount val="4"/>
                <c:pt idx="0">
                  <c:v>East</c:v>
                </c:pt>
                <c:pt idx="1">
                  <c:v>North</c:v>
                </c:pt>
                <c:pt idx="2">
                  <c:v>South</c:v>
                </c:pt>
                <c:pt idx="3">
                  <c:v>West</c:v>
                </c:pt>
              </c:strCache>
            </c:strRef>
          </c:cat>
          <c:val>
            <c:numRef>
              <c:f>PivotTable!$B$20:$B$24</c:f>
              <c:numCache>
                <c:formatCode>"$"#,##0</c:formatCode>
                <c:ptCount val="4"/>
                <c:pt idx="0">
                  <c:v>7249.74</c:v>
                </c:pt>
                <c:pt idx="1">
                  <c:v>6144.82</c:v>
                </c:pt>
                <c:pt idx="2">
                  <c:v>4674.8</c:v>
                </c:pt>
                <c:pt idx="3">
                  <c:v>5685.29</c:v>
                </c:pt>
              </c:numCache>
            </c:numRef>
          </c:val>
          <c:extLst>
            <c:ext xmlns:c16="http://schemas.microsoft.com/office/drawing/2014/chart" uri="{C3380CC4-5D6E-409C-BE32-E72D297353CC}">
              <c16:uniqueId val="{00000000-C4AD-4838-BD86-E06D9E1295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29221347331585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062554680664915E-2"/>
              <c:y val="-0.16894685039370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6.6729221347331585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6B-42EC-917B-7AD1F0092C99}"/>
                </c:ext>
              </c:extLst>
            </c:dLbl>
            <c:dLbl>
              <c:idx val="3"/>
              <c:layout>
                <c:manualLayout>
                  <c:x val="-5.0062554680664915E-2"/>
                  <c:y val="-0.168946850393700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6B-42EC-917B-7AD1F0092C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PivotTable!$A$12:$A$17</c:f>
              <c:strCache>
                <c:ptCount val="5"/>
                <c:pt idx="0">
                  <c:v>April</c:v>
                </c:pt>
                <c:pt idx="1">
                  <c:v>July</c:v>
                </c:pt>
                <c:pt idx="2">
                  <c:v>June</c:v>
                </c:pt>
                <c:pt idx="3">
                  <c:v>March</c:v>
                </c:pt>
                <c:pt idx="4">
                  <c:v>May</c:v>
                </c:pt>
              </c:strCache>
            </c:strRef>
          </c:cat>
          <c:val>
            <c:numRef>
              <c:f>PivotTable!$B$12:$B$17</c:f>
              <c:numCache>
                <c:formatCode>"$"#,##0</c:formatCode>
                <c:ptCount val="5"/>
                <c:pt idx="0">
                  <c:v>4830.33</c:v>
                </c:pt>
                <c:pt idx="1">
                  <c:v>2994.89</c:v>
                </c:pt>
                <c:pt idx="2">
                  <c:v>7189.75</c:v>
                </c:pt>
                <c:pt idx="3">
                  <c:v>1744.93</c:v>
                </c:pt>
                <c:pt idx="4">
                  <c:v>6994.75</c:v>
                </c:pt>
              </c:numCache>
            </c:numRef>
          </c:val>
          <c:smooth val="0"/>
          <c:extLst>
            <c:ext xmlns:c16="http://schemas.microsoft.com/office/drawing/2014/chart" uri="{C3380CC4-5D6E-409C-BE32-E72D297353CC}">
              <c16:uniqueId val="{00000000-B56B-42EC-917B-7AD1F0092C99}"/>
            </c:ext>
          </c:extLst>
        </c:ser>
        <c:dLbls>
          <c:dLblPos val="t"/>
          <c:showLegendKey val="0"/>
          <c:showVal val="1"/>
          <c:showCatName val="0"/>
          <c:showSerName val="0"/>
          <c:showPercent val="0"/>
          <c:showBubbleSize val="0"/>
        </c:dLbls>
        <c:marker val="1"/>
        <c:smooth val="0"/>
        <c:axId val="592969855"/>
        <c:axId val="592970271"/>
      </c:lineChart>
      <c:catAx>
        <c:axId val="59296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70271"/>
        <c:crosses val="autoZero"/>
        <c:auto val="1"/>
        <c:lblAlgn val="ctr"/>
        <c:lblOffset val="100"/>
        <c:noMultiLvlLbl val="0"/>
      </c:catAx>
      <c:valAx>
        <c:axId val="592970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6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rate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PivotTable!$A$5:$A$8</c:f>
              <c:strCache>
                <c:ptCount val="3"/>
                <c:pt idx="0">
                  <c:v>Clothing</c:v>
                </c:pt>
                <c:pt idx="1">
                  <c:v>Electronics</c:v>
                </c:pt>
                <c:pt idx="2">
                  <c:v>Home</c:v>
                </c:pt>
              </c:strCache>
            </c:strRef>
          </c:cat>
          <c:val>
            <c:numRef>
              <c:f>PivotTable!$B$5:$B$8</c:f>
              <c:numCache>
                <c:formatCode>General</c:formatCode>
                <c:ptCount val="3"/>
                <c:pt idx="0">
                  <c:v>23</c:v>
                </c:pt>
                <c:pt idx="1">
                  <c:v>26</c:v>
                </c:pt>
                <c:pt idx="2">
                  <c:v>17</c:v>
                </c:pt>
              </c:numCache>
            </c:numRef>
          </c:val>
          <c:extLst>
            <c:ext xmlns:c16="http://schemas.microsoft.com/office/drawing/2014/chart" uri="{C3380CC4-5D6E-409C-BE32-E72D297353CC}">
              <c16:uniqueId val="{00000000-E6E7-47F3-A418-6480358B7D2F}"/>
            </c:ext>
          </c:extLst>
        </c:ser>
        <c:ser>
          <c:idx val="1"/>
          <c:order val="1"/>
          <c:tx>
            <c:strRef>
              <c:f>PivotTable!$C$3:$C$4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PivotTable!$A$5:$A$8</c:f>
              <c:strCache>
                <c:ptCount val="3"/>
                <c:pt idx="0">
                  <c:v>Clothing</c:v>
                </c:pt>
                <c:pt idx="1">
                  <c:v>Electronics</c:v>
                </c:pt>
                <c:pt idx="2">
                  <c:v>Home</c:v>
                </c:pt>
              </c:strCache>
            </c:strRef>
          </c:cat>
          <c:val>
            <c:numRef>
              <c:f>PivotTable!$C$5:$C$8</c:f>
              <c:numCache>
                <c:formatCode>General</c:formatCode>
                <c:ptCount val="3"/>
                <c:pt idx="0">
                  <c:v>17</c:v>
                </c:pt>
                <c:pt idx="1">
                  <c:v>13</c:v>
                </c:pt>
                <c:pt idx="2">
                  <c:v>16</c:v>
                </c:pt>
              </c:numCache>
            </c:numRef>
          </c:val>
          <c:extLst>
            <c:ext xmlns:c16="http://schemas.microsoft.com/office/drawing/2014/chart" uri="{C3380CC4-5D6E-409C-BE32-E72D297353CC}">
              <c16:uniqueId val="{00000001-E6E7-47F3-A418-6480358B7D2F}"/>
            </c:ext>
          </c:extLst>
        </c:ser>
        <c:dLbls>
          <c:dLblPos val="outEnd"/>
          <c:showLegendKey val="0"/>
          <c:showVal val="1"/>
          <c:showCatName val="0"/>
          <c:showSerName val="0"/>
          <c:showPercent val="0"/>
          <c:showBubbleSize val="0"/>
        </c:dLbls>
        <c:gapWidth val="219"/>
        <c:overlap val="-27"/>
        <c:axId val="1456640239"/>
        <c:axId val="1457843727"/>
      </c:barChart>
      <c:catAx>
        <c:axId val="145664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43727"/>
        <c:crosses val="autoZero"/>
        <c:auto val="1"/>
        <c:lblAlgn val="ctr"/>
        <c:lblOffset val="100"/>
        <c:noMultiLvlLbl val="0"/>
      </c:catAx>
      <c:valAx>
        <c:axId val="145784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64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PivotTable!$B$38</c:f>
              <c:strCache>
                <c:ptCount val="1"/>
                <c:pt idx="0">
                  <c:v>Total</c:v>
                </c:pt>
              </c:strCache>
            </c:strRef>
          </c:tx>
          <c:spPr>
            <a:solidFill>
              <a:schemeClr val="accent1"/>
            </a:solidFill>
            <a:ln>
              <a:noFill/>
            </a:ln>
            <a:effectLst/>
          </c:spPr>
          <c:invertIfNegative val="0"/>
          <c:cat>
            <c:strRef>
              <c:f>PivotTable!$A$39:$A$42</c:f>
              <c:strCache>
                <c:ptCount val="3"/>
                <c:pt idx="0">
                  <c:v>Clothing</c:v>
                </c:pt>
                <c:pt idx="1">
                  <c:v>Electronics</c:v>
                </c:pt>
                <c:pt idx="2">
                  <c:v>Home</c:v>
                </c:pt>
              </c:strCache>
            </c:strRef>
          </c:cat>
          <c:val>
            <c:numRef>
              <c:f>PivotTable!$B$39:$B$42</c:f>
              <c:numCache>
                <c:formatCode>"$"#,##0</c:formatCode>
                <c:ptCount val="3"/>
                <c:pt idx="0">
                  <c:v>65.006</c:v>
                </c:pt>
                <c:pt idx="1">
                  <c:v>438.96589743589738</c:v>
                </c:pt>
                <c:pt idx="2">
                  <c:v>122.26484848484847</c:v>
                </c:pt>
              </c:numCache>
            </c:numRef>
          </c:val>
          <c:extLst>
            <c:ext xmlns:c16="http://schemas.microsoft.com/office/drawing/2014/chart" uri="{C3380CC4-5D6E-409C-BE32-E72D297353CC}">
              <c16:uniqueId val="{00000000-21D7-4940-BE99-3176E174EEC8}"/>
            </c:ext>
          </c:extLst>
        </c:ser>
        <c:dLbls>
          <c:showLegendKey val="0"/>
          <c:showVal val="0"/>
          <c:showCatName val="0"/>
          <c:showSerName val="0"/>
          <c:showPercent val="0"/>
          <c:showBubbleSize val="0"/>
        </c:dLbls>
        <c:gapWidth val="182"/>
        <c:axId val="1457840815"/>
        <c:axId val="1457841231"/>
      </c:barChart>
      <c:catAx>
        <c:axId val="145784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41231"/>
        <c:crosses val="autoZero"/>
        <c:auto val="1"/>
        <c:lblAlgn val="ctr"/>
        <c:lblOffset val="100"/>
        <c:noMultiLvlLbl val="0"/>
      </c:catAx>
      <c:valAx>
        <c:axId val="1457841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4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Customers by Spending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PivotTable!$A$46:$A$56</c:f>
              <c:strCache>
                <c:ptCount val="10"/>
                <c:pt idx="0">
                  <c:v>Cary Grant</c:v>
                </c:pt>
                <c:pt idx="1">
                  <c:v>Emily Blunt</c:v>
                </c:pt>
                <c:pt idx="2">
                  <c:v>Freddie Mercury</c:v>
                </c:pt>
                <c:pt idx="3">
                  <c:v>Hugh Jackman</c:v>
                </c:pt>
                <c:pt idx="4">
                  <c:v>Lupita Nyongo</c:v>
                </c:pt>
                <c:pt idx="5">
                  <c:v>Mia Wong</c:v>
                </c:pt>
                <c:pt idx="6">
                  <c:v>Quincy Adams</c:v>
                </c:pt>
                <c:pt idx="7">
                  <c:v>Steve Jobs</c:v>
                </c:pt>
                <c:pt idx="8">
                  <c:v>Tom Hanks</c:v>
                </c:pt>
                <c:pt idx="9">
                  <c:v>Zachary Levi</c:v>
                </c:pt>
              </c:strCache>
            </c:strRef>
          </c:cat>
          <c:val>
            <c:numRef>
              <c:f>PivotTable!$B$46:$B$56</c:f>
              <c:numCache>
                <c:formatCode>"$"#,##0</c:formatCode>
                <c:ptCount val="10"/>
                <c:pt idx="0">
                  <c:v>799.99</c:v>
                </c:pt>
                <c:pt idx="1">
                  <c:v>599.99</c:v>
                </c:pt>
                <c:pt idx="2">
                  <c:v>679.99</c:v>
                </c:pt>
                <c:pt idx="3">
                  <c:v>749.99</c:v>
                </c:pt>
                <c:pt idx="4">
                  <c:v>749.99</c:v>
                </c:pt>
                <c:pt idx="5">
                  <c:v>599.99</c:v>
                </c:pt>
                <c:pt idx="6">
                  <c:v>899.99</c:v>
                </c:pt>
                <c:pt idx="7">
                  <c:v>999.99</c:v>
                </c:pt>
                <c:pt idx="8">
                  <c:v>899.99</c:v>
                </c:pt>
                <c:pt idx="9">
                  <c:v>629.99</c:v>
                </c:pt>
              </c:numCache>
            </c:numRef>
          </c:val>
          <c:extLst>
            <c:ext xmlns:c16="http://schemas.microsoft.com/office/drawing/2014/chart" uri="{C3380CC4-5D6E-409C-BE32-E72D297353CC}">
              <c16:uniqueId val="{00000000-34F7-4891-B16F-6B2915347555}"/>
            </c:ext>
          </c:extLst>
        </c:ser>
        <c:dLbls>
          <c:dLblPos val="outEnd"/>
          <c:showLegendKey val="0"/>
          <c:showVal val="1"/>
          <c:showCatName val="0"/>
          <c:showSerName val="0"/>
          <c:showPercent val="0"/>
          <c:showBubbleSize val="0"/>
        </c:dLbls>
        <c:gapWidth val="182"/>
        <c:axId val="1458493663"/>
        <c:axId val="1458494911"/>
      </c:barChart>
      <c:catAx>
        <c:axId val="145849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94911"/>
        <c:crosses val="autoZero"/>
        <c:auto val="1"/>
        <c:lblAlgn val="ctr"/>
        <c:lblOffset val="100"/>
        <c:noMultiLvlLbl val="0"/>
      </c:catAx>
      <c:valAx>
        <c:axId val="14584949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9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Sold by Region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PivotTable!$B$59:$B$60</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PivotTable!$A$61:$A$65</c:f>
              <c:strCache>
                <c:ptCount val="4"/>
                <c:pt idx="0">
                  <c:v>East</c:v>
                </c:pt>
                <c:pt idx="1">
                  <c:v>North</c:v>
                </c:pt>
                <c:pt idx="2">
                  <c:v>South</c:v>
                </c:pt>
                <c:pt idx="3">
                  <c:v>West</c:v>
                </c:pt>
              </c:strCache>
            </c:strRef>
          </c:cat>
          <c:val>
            <c:numRef>
              <c:f>PivotTable!$B$61:$B$65</c:f>
              <c:numCache>
                <c:formatCode>General</c:formatCode>
                <c:ptCount val="4"/>
                <c:pt idx="0">
                  <c:v>13</c:v>
                </c:pt>
                <c:pt idx="1">
                  <c:v>21</c:v>
                </c:pt>
                <c:pt idx="2">
                  <c:v>18</c:v>
                </c:pt>
                <c:pt idx="3">
                  <c:v>20</c:v>
                </c:pt>
              </c:numCache>
            </c:numRef>
          </c:val>
          <c:extLst>
            <c:ext xmlns:c16="http://schemas.microsoft.com/office/drawing/2014/chart" uri="{C3380CC4-5D6E-409C-BE32-E72D297353CC}">
              <c16:uniqueId val="{00000000-5E0D-41E6-9A38-CEEA521744B4}"/>
            </c:ext>
          </c:extLst>
        </c:ser>
        <c:ser>
          <c:idx val="1"/>
          <c:order val="1"/>
          <c:tx>
            <c:strRef>
              <c:f>PivotTable!$C$59:$C$60</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PivotTable!$A$61:$A$65</c:f>
              <c:strCache>
                <c:ptCount val="4"/>
                <c:pt idx="0">
                  <c:v>East</c:v>
                </c:pt>
                <c:pt idx="1">
                  <c:v>North</c:v>
                </c:pt>
                <c:pt idx="2">
                  <c:v>South</c:v>
                </c:pt>
                <c:pt idx="3">
                  <c:v>West</c:v>
                </c:pt>
              </c:strCache>
            </c:strRef>
          </c:cat>
          <c:val>
            <c:numRef>
              <c:f>PivotTable!$C$61:$C$65</c:f>
              <c:numCache>
                <c:formatCode>General</c:formatCode>
                <c:ptCount val="4"/>
                <c:pt idx="0">
                  <c:v>17</c:v>
                </c:pt>
                <c:pt idx="1">
                  <c:v>21</c:v>
                </c:pt>
                <c:pt idx="2">
                  <c:v>14</c:v>
                </c:pt>
                <c:pt idx="3">
                  <c:v>16</c:v>
                </c:pt>
              </c:numCache>
            </c:numRef>
          </c:val>
          <c:extLst>
            <c:ext xmlns:c16="http://schemas.microsoft.com/office/drawing/2014/chart" uri="{C3380CC4-5D6E-409C-BE32-E72D297353CC}">
              <c16:uniqueId val="{00000001-5E0D-41E6-9A38-CEEA521744B4}"/>
            </c:ext>
          </c:extLst>
        </c:ser>
        <c:ser>
          <c:idx val="2"/>
          <c:order val="2"/>
          <c:tx>
            <c:strRef>
              <c:f>PivotTable!$D$59:$D$60</c:f>
              <c:strCache>
                <c:ptCount val="1"/>
                <c:pt idx="0">
                  <c:v>Home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PivotTable!$A$61:$A$65</c:f>
              <c:strCache>
                <c:ptCount val="4"/>
                <c:pt idx="0">
                  <c:v>East</c:v>
                </c:pt>
                <c:pt idx="1">
                  <c:v>North</c:v>
                </c:pt>
                <c:pt idx="2">
                  <c:v>South</c:v>
                </c:pt>
                <c:pt idx="3">
                  <c:v>West</c:v>
                </c:pt>
              </c:strCache>
            </c:strRef>
          </c:cat>
          <c:val>
            <c:numRef>
              <c:f>PivotTable!$D$61:$D$65</c:f>
              <c:numCache>
                <c:formatCode>General</c:formatCode>
                <c:ptCount val="4"/>
                <c:pt idx="0">
                  <c:v>15</c:v>
                </c:pt>
                <c:pt idx="1">
                  <c:v>13</c:v>
                </c:pt>
                <c:pt idx="2">
                  <c:v>18</c:v>
                </c:pt>
                <c:pt idx="3">
                  <c:v>14</c:v>
                </c:pt>
              </c:numCache>
            </c:numRef>
          </c:val>
          <c:extLst>
            <c:ext xmlns:c16="http://schemas.microsoft.com/office/drawing/2014/chart" uri="{C3380CC4-5D6E-409C-BE32-E72D297353CC}">
              <c16:uniqueId val="{00000002-5E0D-41E6-9A38-CEEA521744B4}"/>
            </c:ext>
          </c:extLst>
        </c:ser>
        <c:dLbls>
          <c:dLblPos val="outEnd"/>
          <c:showLegendKey val="0"/>
          <c:showVal val="1"/>
          <c:showCatName val="0"/>
          <c:showSerName val="0"/>
          <c:showPercent val="0"/>
          <c:showBubbleSize val="0"/>
        </c:dLbls>
        <c:gapWidth val="219"/>
        <c:overlap val="-27"/>
        <c:axId val="1448312751"/>
        <c:axId val="1448313583"/>
      </c:barChart>
      <c:catAx>
        <c:axId val="144831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313583"/>
        <c:crosses val="autoZero"/>
        <c:auto val="1"/>
        <c:lblAlgn val="ctr"/>
        <c:lblOffset val="100"/>
        <c:noMultiLvlLbl val="0"/>
      </c:catAx>
      <c:valAx>
        <c:axId val="144831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31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Performance</a:t>
            </a:r>
            <a:endParaRPr lang="en-US" b="1"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PivotTable!$B$68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PivotTable!$A$69:$A$71</c:f>
              <c:strCache>
                <c:ptCount val="2"/>
                <c:pt idx="0">
                  <c:v>No</c:v>
                </c:pt>
                <c:pt idx="1">
                  <c:v>Yes</c:v>
                </c:pt>
              </c:strCache>
            </c:strRef>
          </c:cat>
          <c:val>
            <c:numRef>
              <c:f>PivotTable!$B$69:$B$71</c:f>
              <c:numCache>
                <c:formatCode>"$"#,##0</c:formatCode>
                <c:ptCount val="2"/>
                <c:pt idx="0">
                  <c:v>14659.51</c:v>
                </c:pt>
                <c:pt idx="1">
                  <c:v>9095.14</c:v>
                </c:pt>
              </c:numCache>
            </c:numRef>
          </c:val>
          <c:extLst>
            <c:ext xmlns:c16="http://schemas.microsoft.com/office/drawing/2014/chart" uri="{C3380CC4-5D6E-409C-BE32-E72D297353CC}">
              <c16:uniqueId val="{00000000-B550-4EED-BC69-02C7D57FF66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Sales</a:t>
            </a:r>
            <a:r>
              <a:rPr lang="en-US" b="1" baseline="0"/>
              <a:t>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PivotTable!$C$73</c:f>
              <c:strCache>
                <c:ptCount val="1"/>
                <c:pt idx="0">
                  <c:v>Count of Customer ID</c:v>
                </c:pt>
              </c:strCache>
            </c:strRef>
          </c:tx>
          <c:spPr>
            <a:solidFill>
              <a:schemeClr val="accent2"/>
            </a:solidFill>
            <a:ln>
              <a:noFill/>
            </a:ln>
            <a:effectLst/>
          </c:spPr>
          <c:invertIfNegative val="0"/>
          <c:cat>
            <c:strRef>
              <c:f>PivotTable!$A$74:$A$81</c:f>
              <c:strCache>
                <c:ptCount val="7"/>
                <c:pt idx="0">
                  <c:v>Friday</c:v>
                </c:pt>
                <c:pt idx="1">
                  <c:v>Monday</c:v>
                </c:pt>
                <c:pt idx="2">
                  <c:v>Saturday</c:v>
                </c:pt>
                <c:pt idx="3">
                  <c:v>Sunday</c:v>
                </c:pt>
                <c:pt idx="4">
                  <c:v>Thursday</c:v>
                </c:pt>
                <c:pt idx="5">
                  <c:v>Tuesday</c:v>
                </c:pt>
                <c:pt idx="6">
                  <c:v>Wednesday</c:v>
                </c:pt>
              </c:strCache>
            </c:strRef>
          </c:cat>
          <c:val>
            <c:numRef>
              <c:f>PivotTable!$C$74:$C$81</c:f>
              <c:numCache>
                <c:formatCode>General</c:formatCode>
                <c:ptCount val="7"/>
                <c:pt idx="0">
                  <c:v>19</c:v>
                </c:pt>
                <c:pt idx="1">
                  <c:v>17</c:v>
                </c:pt>
                <c:pt idx="2">
                  <c:v>14</c:v>
                </c:pt>
                <c:pt idx="3">
                  <c:v>15</c:v>
                </c:pt>
                <c:pt idx="4">
                  <c:v>15</c:v>
                </c:pt>
                <c:pt idx="5">
                  <c:v>16</c:v>
                </c:pt>
                <c:pt idx="6">
                  <c:v>16</c:v>
                </c:pt>
              </c:numCache>
            </c:numRef>
          </c:val>
          <c:extLst>
            <c:ext xmlns:c16="http://schemas.microsoft.com/office/drawing/2014/chart" uri="{C3380CC4-5D6E-409C-BE32-E72D297353CC}">
              <c16:uniqueId val="{00000001-C3E5-46DC-A8A9-49C569AEFD8E}"/>
            </c:ext>
          </c:extLst>
        </c:ser>
        <c:dLbls>
          <c:showLegendKey val="0"/>
          <c:showVal val="0"/>
          <c:showCatName val="0"/>
          <c:showSerName val="0"/>
          <c:showPercent val="0"/>
          <c:showBubbleSize val="0"/>
        </c:dLbls>
        <c:gapWidth val="219"/>
        <c:axId val="1941883967"/>
        <c:axId val="1941886463"/>
      </c:barChart>
      <c:lineChart>
        <c:grouping val="standard"/>
        <c:varyColors val="0"/>
        <c:ser>
          <c:idx val="0"/>
          <c:order val="0"/>
          <c:tx>
            <c:strRef>
              <c:f>PivotTable!$B$73</c:f>
              <c:strCache>
                <c:ptCount val="1"/>
                <c:pt idx="0">
                  <c:v>Sum of 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PivotTable!$A$74:$A$81</c:f>
              <c:strCache>
                <c:ptCount val="7"/>
                <c:pt idx="0">
                  <c:v>Friday</c:v>
                </c:pt>
                <c:pt idx="1">
                  <c:v>Monday</c:v>
                </c:pt>
                <c:pt idx="2">
                  <c:v>Saturday</c:v>
                </c:pt>
                <c:pt idx="3">
                  <c:v>Sunday</c:v>
                </c:pt>
                <c:pt idx="4">
                  <c:v>Thursday</c:v>
                </c:pt>
                <c:pt idx="5">
                  <c:v>Tuesday</c:v>
                </c:pt>
                <c:pt idx="6">
                  <c:v>Wednesday</c:v>
                </c:pt>
              </c:strCache>
            </c:strRef>
          </c:cat>
          <c:val>
            <c:numRef>
              <c:f>PivotTable!$B$74:$B$81</c:f>
              <c:numCache>
                <c:formatCode>"$"#,##0</c:formatCode>
                <c:ptCount val="7"/>
                <c:pt idx="0">
                  <c:v>3854.84</c:v>
                </c:pt>
                <c:pt idx="1">
                  <c:v>3920.36</c:v>
                </c:pt>
                <c:pt idx="2">
                  <c:v>2949.88</c:v>
                </c:pt>
                <c:pt idx="3">
                  <c:v>3454.91</c:v>
                </c:pt>
                <c:pt idx="4">
                  <c:v>3104.9</c:v>
                </c:pt>
                <c:pt idx="5">
                  <c:v>2639.89</c:v>
                </c:pt>
                <c:pt idx="6">
                  <c:v>3829.87</c:v>
                </c:pt>
              </c:numCache>
            </c:numRef>
          </c:val>
          <c:smooth val="0"/>
          <c:extLst>
            <c:ext xmlns:c16="http://schemas.microsoft.com/office/drawing/2014/chart" uri="{C3380CC4-5D6E-409C-BE32-E72D297353CC}">
              <c16:uniqueId val="{00000000-C3E5-46DC-A8A9-49C569AEFD8E}"/>
            </c:ext>
          </c:extLst>
        </c:ser>
        <c:dLbls>
          <c:showLegendKey val="0"/>
          <c:showVal val="0"/>
          <c:showCatName val="0"/>
          <c:showSerName val="0"/>
          <c:showPercent val="0"/>
          <c:showBubbleSize val="0"/>
        </c:dLbls>
        <c:marker val="1"/>
        <c:smooth val="0"/>
        <c:axId val="1451371183"/>
        <c:axId val="1451371599"/>
      </c:lineChart>
      <c:catAx>
        <c:axId val="145137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1371599"/>
        <c:crosses val="autoZero"/>
        <c:auto val="1"/>
        <c:lblAlgn val="ctr"/>
        <c:lblOffset val="100"/>
        <c:noMultiLvlLbl val="0"/>
      </c:catAx>
      <c:valAx>
        <c:axId val="1451371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1371183"/>
        <c:crosses val="autoZero"/>
        <c:crossBetween val="between"/>
      </c:valAx>
      <c:valAx>
        <c:axId val="1941886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1883967"/>
        <c:crosses val="max"/>
        <c:crossBetween val="between"/>
      </c:valAx>
      <c:catAx>
        <c:axId val="1941883967"/>
        <c:scaling>
          <c:orientation val="minMax"/>
        </c:scaling>
        <c:delete val="1"/>
        <c:axPos val="b"/>
        <c:numFmt formatCode="General" sourceLinked="1"/>
        <c:majorTickMark val="out"/>
        <c:minorTickMark val="none"/>
        <c:tickLblPos val="nextTo"/>
        <c:crossAx val="194188646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Price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PivotTable!$B$84</c:f>
              <c:strCache>
                <c:ptCount val="1"/>
                <c:pt idx="0">
                  <c:v>Average of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PivotTable!$A$85:$A$88</c:f>
              <c:strCache>
                <c:ptCount val="3"/>
                <c:pt idx="0">
                  <c:v>Clothing</c:v>
                </c:pt>
                <c:pt idx="1">
                  <c:v>Electronics</c:v>
                </c:pt>
                <c:pt idx="2">
                  <c:v>Home</c:v>
                </c:pt>
              </c:strCache>
            </c:strRef>
          </c:cat>
          <c:val>
            <c:numRef>
              <c:f>PivotTable!$B$85:$B$88</c:f>
              <c:numCache>
                <c:formatCode>"$"#,##0</c:formatCode>
                <c:ptCount val="3"/>
                <c:pt idx="0">
                  <c:v>65.006</c:v>
                </c:pt>
                <c:pt idx="1">
                  <c:v>438.96589743589738</c:v>
                </c:pt>
                <c:pt idx="2">
                  <c:v>122.26484848484847</c:v>
                </c:pt>
              </c:numCache>
            </c:numRef>
          </c:val>
          <c:extLst>
            <c:ext xmlns:c16="http://schemas.microsoft.com/office/drawing/2014/chart" uri="{C3380CC4-5D6E-409C-BE32-E72D297353CC}">
              <c16:uniqueId val="{00000000-F663-4297-A661-E51188FFE803}"/>
            </c:ext>
          </c:extLst>
        </c:ser>
        <c:ser>
          <c:idx val="1"/>
          <c:order val="1"/>
          <c:tx>
            <c:strRef>
              <c:f>PivotTable!$C$84</c:f>
              <c:strCache>
                <c:ptCount val="1"/>
                <c:pt idx="0">
                  <c:v>Min of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PivotTable!$A$85:$A$88</c:f>
              <c:strCache>
                <c:ptCount val="3"/>
                <c:pt idx="0">
                  <c:v>Clothing</c:v>
                </c:pt>
                <c:pt idx="1">
                  <c:v>Electronics</c:v>
                </c:pt>
                <c:pt idx="2">
                  <c:v>Home</c:v>
                </c:pt>
              </c:strCache>
            </c:strRef>
          </c:cat>
          <c:val>
            <c:numRef>
              <c:f>PivotTable!$C$85:$C$88</c:f>
              <c:numCache>
                <c:formatCode>"$"#,##0</c:formatCode>
                <c:ptCount val="3"/>
                <c:pt idx="0">
                  <c:v>0</c:v>
                </c:pt>
                <c:pt idx="1">
                  <c:v>0</c:v>
                </c:pt>
                <c:pt idx="2">
                  <c:v>0</c:v>
                </c:pt>
              </c:numCache>
            </c:numRef>
          </c:val>
          <c:extLst>
            <c:ext xmlns:c16="http://schemas.microsoft.com/office/drawing/2014/chart" uri="{C3380CC4-5D6E-409C-BE32-E72D297353CC}">
              <c16:uniqueId val="{00000001-F663-4297-A661-E51188FFE803}"/>
            </c:ext>
          </c:extLst>
        </c:ser>
        <c:ser>
          <c:idx val="2"/>
          <c:order val="2"/>
          <c:tx>
            <c:strRef>
              <c:f>PivotTable!$D$84</c:f>
              <c:strCache>
                <c:ptCount val="1"/>
                <c:pt idx="0">
                  <c:v>Max of Price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PivotTable!$A$85:$A$88</c:f>
              <c:strCache>
                <c:ptCount val="3"/>
                <c:pt idx="0">
                  <c:v>Clothing</c:v>
                </c:pt>
                <c:pt idx="1">
                  <c:v>Electronics</c:v>
                </c:pt>
                <c:pt idx="2">
                  <c:v>Home</c:v>
                </c:pt>
              </c:strCache>
            </c:strRef>
          </c:cat>
          <c:val>
            <c:numRef>
              <c:f>PivotTable!$D$85:$D$88</c:f>
              <c:numCache>
                <c:formatCode>"$"#,##0</c:formatCode>
                <c:ptCount val="3"/>
                <c:pt idx="0">
                  <c:v>120.5</c:v>
                </c:pt>
                <c:pt idx="1">
                  <c:v>999.99</c:v>
                </c:pt>
                <c:pt idx="2">
                  <c:v>399.99</c:v>
                </c:pt>
              </c:numCache>
            </c:numRef>
          </c:val>
          <c:extLst>
            <c:ext xmlns:c16="http://schemas.microsoft.com/office/drawing/2014/chart" uri="{C3380CC4-5D6E-409C-BE32-E72D297353CC}">
              <c16:uniqueId val="{00000002-F663-4297-A661-E51188FFE803}"/>
            </c:ext>
          </c:extLst>
        </c:ser>
        <c:dLbls>
          <c:dLblPos val="outEnd"/>
          <c:showLegendKey val="0"/>
          <c:showVal val="1"/>
          <c:showCatName val="0"/>
          <c:showSerName val="0"/>
          <c:showPercent val="0"/>
          <c:showBubbleSize val="0"/>
        </c:dLbls>
        <c:gapWidth val="182"/>
        <c:axId val="1938159391"/>
        <c:axId val="1938156479"/>
      </c:barChart>
      <c:catAx>
        <c:axId val="193815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156479"/>
        <c:crosses val="autoZero"/>
        <c:auto val="1"/>
        <c:lblAlgn val="ctr"/>
        <c:lblOffset val="100"/>
        <c:noMultiLvlLbl val="0"/>
      </c:catAx>
      <c:valAx>
        <c:axId val="19381564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15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CC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PivotTable!$B$26</c:f>
              <c:strCache>
                <c:ptCount val="1"/>
                <c:pt idx="0">
                  <c:v>Total</c:v>
                </c:pt>
              </c:strCache>
            </c:strRef>
          </c:tx>
          <c:spPr>
            <a:solidFill>
              <a:srgbClr val="2ECC71"/>
            </a:solidFill>
            <a:ln>
              <a:noFill/>
            </a:ln>
            <a:effectLst/>
          </c:spPr>
          <c:invertIfNegative val="0"/>
          <c:cat>
            <c:strRef>
              <c:f>PivotTable!$A$27:$A$30</c:f>
              <c:strCache>
                <c:ptCount val="3"/>
                <c:pt idx="0">
                  <c:v>Clothing</c:v>
                </c:pt>
                <c:pt idx="1">
                  <c:v>Electronics</c:v>
                </c:pt>
                <c:pt idx="2">
                  <c:v>Home</c:v>
                </c:pt>
              </c:strCache>
            </c:strRef>
          </c:cat>
          <c:val>
            <c:numRef>
              <c:f>PivotTable!$B$27:$B$30</c:f>
              <c:numCache>
                <c:formatCode>"$"#,##0</c:formatCode>
                <c:ptCount val="3"/>
                <c:pt idx="0">
                  <c:v>2600.2399999999998</c:v>
                </c:pt>
                <c:pt idx="1">
                  <c:v>17119.669999999998</c:v>
                </c:pt>
                <c:pt idx="2">
                  <c:v>4034.74</c:v>
                </c:pt>
              </c:numCache>
            </c:numRef>
          </c:val>
          <c:extLst>
            <c:ext xmlns:c16="http://schemas.microsoft.com/office/drawing/2014/chart" uri="{C3380CC4-5D6E-409C-BE32-E72D297353CC}">
              <c16:uniqueId val="{00000000-0434-480E-88CD-6EC7F949F5BE}"/>
            </c:ext>
          </c:extLst>
        </c:ser>
        <c:dLbls>
          <c:showLegendKey val="0"/>
          <c:showVal val="0"/>
          <c:showCatName val="0"/>
          <c:showSerName val="0"/>
          <c:showPercent val="0"/>
          <c:showBubbleSize val="0"/>
        </c:dLbls>
        <c:gapWidth val="182"/>
        <c:axId val="1460640735"/>
        <c:axId val="1460641151"/>
      </c:barChart>
      <c:catAx>
        <c:axId val="146064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641151"/>
        <c:crosses val="autoZero"/>
        <c:auto val="1"/>
        <c:lblAlgn val="ctr"/>
        <c:lblOffset val="100"/>
        <c:noMultiLvlLbl val="0"/>
      </c:catAx>
      <c:valAx>
        <c:axId val="1460641151"/>
        <c:scaling>
          <c:orientation val="minMax"/>
          <c:max val="1800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64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39605825682575524"/>
          <c:y val="7.18811923052529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315128867156525E-2"/>
              <c:y val="-7.900540646507900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1DBB989-29F6-4B0C-BA8A-B93AA3683FEA}" type="VALUE">
                  <a:rPr lang="en-US"/>
                  <a:pPr>
                    <a:defRPr sz="900" b="1" i="0" u="none" strike="noStrike" kern="1200" baseline="0">
                      <a:solidFill>
                        <a:schemeClr val="tx1">
                          <a:lumMod val="75000"/>
                          <a:lumOff val="25000"/>
                        </a:schemeClr>
                      </a:solidFill>
                      <a:latin typeface="+mn-lt"/>
                      <a:ea typeface="+mn-ea"/>
                      <a:cs typeface="+mn-cs"/>
                    </a:defRPr>
                  </a:pPr>
                  <a:t>[VALUE]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A6F9205A-6FB2-427D-94A5-3DD0238B46A1}"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olidFill>
          <a:ln w="19050">
            <a:solidFill>
              <a:schemeClr val="lt1"/>
            </a:solidFill>
          </a:ln>
          <a:effectLst/>
        </c:spPr>
        <c:dLbl>
          <c:idx val="0"/>
          <c:layout>
            <c:manualLayout>
              <c:x val="2.0725938927380665E-2"/>
              <c:y val="-4.59251628378079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614926E-64CD-4D75-A404-374F766DB681}" type="VALUE">
                  <a:rPr lang="en-US"/>
                  <a:pPr>
                    <a:defRPr sz="900" b="1" i="0" u="none" strike="noStrike" kern="1200" baseline="0">
                      <a:solidFill>
                        <a:schemeClr val="tx1">
                          <a:lumMod val="75000"/>
                          <a:lumOff val="25000"/>
                        </a:schemeClr>
                      </a:solidFill>
                      <a:latin typeface="+mn-lt"/>
                      <a:ea typeface="+mn-ea"/>
                      <a:cs typeface="+mn-cs"/>
                    </a:defRPr>
                  </a:pPr>
                  <a:t>[VALUE]</a:t>
                </a:fld>
                <a:r>
                  <a:rPr lang="en-US" baseline="0"/>
                  <a:t>, </a:t>
                </a:r>
              </a:p>
              <a:p>
                <a:pPr>
                  <a:defRPr sz="900" b="1" i="0" u="none" strike="noStrike" kern="1200" baseline="0">
                    <a:solidFill>
                      <a:schemeClr val="tx1">
                        <a:lumMod val="75000"/>
                        <a:lumOff val="25000"/>
                      </a:schemeClr>
                    </a:solidFill>
                    <a:latin typeface="+mn-lt"/>
                    <a:ea typeface="+mn-ea"/>
                    <a:cs typeface="+mn-cs"/>
                  </a:defRPr>
                </a:pPr>
                <a:fld id="{32403A2A-8445-4C21-AE1B-D129E28FF7FE}"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5.5346467368397823E-2"/>
              <c:y val="-9.341143525983898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53093FE-DC50-49FF-A82F-B46B96F837FF}" type="VALUE">
                  <a:rPr lang="en-US"/>
                  <a:pPr>
                    <a:defRPr sz="900" b="1" i="0" u="none" strike="noStrike" kern="1200" baseline="0">
                      <a:solidFill>
                        <a:schemeClr val="tx1">
                          <a:lumMod val="75000"/>
                          <a:lumOff val="25000"/>
                        </a:schemeClr>
                      </a:solidFill>
                      <a:latin typeface="+mn-lt"/>
                      <a:ea typeface="+mn-ea"/>
                      <a:cs typeface="+mn-cs"/>
                    </a:defRPr>
                  </a:pPr>
                  <a:t>[VALUE]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C7287E1F-FDAD-4801-A5D0-A495CBDA1D1E}"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dLbl>
          <c:idx val="0"/>
          <c:layout>
            <c:manualLayout>
              <c:x val="0.10224586052901723"/>
              <c:y val="-5.70561768815478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20056C-AADB-4ACD-87CE-BA8FCFE9544A}" type="VALUE">
                  <a:rPr lang="en-US"/>
                  <a:pPr>
                    <a:defRPr sz="900" b="1" i="0" u="none" strike="noStrike" kern="1200" baseline="0">
                      <a:solidFill>
                        <a:schemeClr val="tx1">
                          <a:lumMod val="75000"/>
                          <a:lumOff val="25000"/>
                        </a:schemeClr>
                      </a:solidFill>
                      <a:latin typeface="+mn-lt"/>
                      <a:ea typeface="+mn-ea"/>
                      <a:cs typeface="+mn-cs"/>
                    </a:defRPr>
                  </a:pPr>
                  <a:t>[VALUE]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6C9F85C6-C9A2-42B5-BED9-2EE8FFFE20DA}"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7315128867156525E-2"/>
              <c:y val="-7.900540646507900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1DBB989-29F6-4B0C-BA8A-B93AA3683FEA}" type="VALUE">
                  <a:rPr lang="en-US"/>
                  <a:pPr>
                    <a:defRPr sz="900" b="1" i="0" u="none" strike="noStrike" kern="1200" baseline="0">
                      <a:solidFill>
                        <a:schemeClr val="tx1">
                          <a:lumMod val="75000"/>
                          <a:lumOff val="25000"/>
                        </a:schemeClr>
                      </a:solidFill>
                      <a:latin typeface="+mn-lt"/>
                      <a:ea typeface="+mn-ea"/>
                      <a:cs typeface="+mn-cs"/>
                    </a:defRPr>
                  </a:pPr>
                  <a:t>[VALUE]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A6F9205A-6FB2-427D-94A5-3DD0238B46A1}"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0224586052901723"/>
              <c:y val="-5.70561768815478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20056C-AADB-4ACD-87CE-BA8FCFE9544A}" type="VALUE">
                  <a:rPr lang="en-US"/>
                  <a:pPr>
                    <a:defRPr sz="900" b="1" i="0" u="none" strike="noStrike" kern="1200" baseline="0">
                      <a:solidFill>
                        <a:schemeClr val="tx1">
                          <a:lumMod val="75000"/>
                          <a:lumOff val="25000"/>
                        </a:schemeClr>
                      </a:solidFill>
                      <a:latin typeface="+mn-lt"/>
                      <a:ea typeface="+mn-ea"/>
                      <a:cs typeface="+mn-cs"/>
                    </a:defRPr>
                  </a:pPr>
                  <a:t>[VALUE]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6C9F85C6-C9A2-42B5-BED9-2EE8FFFE20DA}"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5.5346467368397823E-2"/>
              <c:y val="-9.341143525983898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53093FE-DC50-49FF-A82F-B46B96F837FF}" type="VALUE">
                  <a:rPr lang="en-US"/>
                  <a:pPr>
                    <a:defRPr sz="900" b="1" i="0" u="none" strike="noStrike" kern="1200" baseline="0">
                      <a:solidFill>
                        <a:schemeClr val="tx1">
                          <a:lumMod val="75000"/>
                          <a:lumOff val="25000"/>
                        </a:schemeClr>
                      </a:solidFill>
                      <a:latin typeface="+mn-lt"/>
                      <a:ea typeface="+mn-ea"/>
                      <a:cs typeface="+mn-cs"/>
                    </a:defRPr>
                  </a:pPr>
                  <a:t>[VALUE]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C7287E1F-FDAD-4801-A5D0-A495CBDA1D1E}"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2.0725938927380665E-2"/>
              <c:y val="-4.59251628378079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614926E-64CD-4D75-A404-374F766DB681}" type="VALUE">
                  <a:rPr lang="en-US"/>
                  <a:pPr>
                    <a:defRPr sz="900" b="1" i="0" u="none" strike="noStrike" kern="1200" baseline="0">
                      <a:solidFill>
                        <a:schemeClr val="tx1">
                          <a:lumMod val="75000"/>
                          <a:lumOff val="25000"/>
                        </a:schemeClr>
                      </a:solidFill>
                      <a:latin typeface="+mn-lt"/>
                      <a:ea typeface="+mn-ea"/>
                      <a:cs typeface="+mn-cs"/>
                    </a:defRPr>
                  </a:pPr>
                  <a:t>[VALUE]</a:t>
                </a:fld>
                <a:r>
                  <a:rPr lang="en-US" baseline="0"/>
                  <a:t>, </a:t>
                </a:r>
              </a:p>
              <a:p>
                <a:pPr>
                  <a:defRPr sz="900" b="1" i="0" u="none" strike="noStrike" kern="1200" baseline="0">
                    <a:solidFill>
                      <a:schemeClr val="tx1">
                        <a:lumMod val="75000"/>
                        <a:lumOff val="25000"/>
                      </a:schemeClr>
                    </a:solidFill>
                    <a:latin typeface="+mn-lt"/>
                    <a:ea typeface="+mn-ea"/>
                    <a:cs typeface="+mn-cs"/>
                  </a:defRPr>
                </a:pPr>
                <a:fld id="{32403A2A-8445-4C21-AE1B-D129E28FF7FE}"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18A0FB"/>
          </a:solidFill>
          <a:ln w="19050">
            <a:solidFill>
              <a:schemeClr val="lt1"/>
            </a:solidFill>
          </a:ln>
          <a:effectLst/>
        </c:spPr>
        <c:dLbl>
          <c:idx val="0"/>
          <c:layout>
            <c:manualLayout>
              <c:x val="2.7315128867156525E-2"/>
              <c:y val="-7.900540646507900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1DBB989-29F6-4B0C-BA8A-B93AA3683FEA}" type="VALUE">
                  <a:rPr lang="en-US"/>
                  <a:pPr>
                    <a:defRPr b="1"/>
                  </a:pPr>
                  <a:t>[VALUE]</a:t>
                </a:fld>
                <a:r>
                  <a:rPr lang="en-US" baseline="0"/>
                  <a:t>,</a:t>
                </a:r>
              </a:p>
              <a:p>
                <a:pPr>
                  <a:defRPr b="1"/>
                </a:pPr>
                <a:r>
                  <a:rPr lang="en-US" baseline="0"/>
                  <a:t> </a:t>
                </a:r>
                <a:fld id="{A6F9205A-6FB2-427D-94A5-3DD0238B46A1}" type="PERCENTAGE">
                  <a:rPr lang="en-US" baseline="0"/>
                  <a:pPr>
                    <a:defRPr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rgbClr val="2ECC71"/>
          </a:solidFill>
          <a:ln w="19050">
            <a:solidFill>
              <a:schemeClr val="lt1"/>
            </a:solidFill>
          </a:ln>
          <a:effectLst/>
        </c:spPr>
        <c:dLbl>
          <c:idx val="0"/>
          <c:layout>
            <c:manualLayout>
              <c:x val="0.10224586052901723"/>
              <c:y val="-5.70561768815478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20056C-AADB-4ACD-87CE-BA8FCFE9544A}" type="VALUE">
                  <a:rPr lang="en-US"/>
                  <a:pPr>
                    <a:defRPr b="1"/>
                  </a:pPr>
                  <a:t>[VALUE]</a:t>
                </a:fld>
                <a:r>
                  <a:rPr lang="en-US" baseline="0"/>
                  <a:t>,</a:t>
                </a:r>
              </a:p>
              <a:p>
                <a:pPr>
                  <a:defRPr b="1"/>
                </a:pPr>
                <a:r>
                  <a:rPr lang="en-US" baseline="0"/>
                  <a:t> </a:t>
                </a:r>
                <a:fld id="{6C9F85C6-C9A2-42B5-BED9-2EE8FFFE20DA}" type="PERCENTAGE">
                  <a:rPr lang="en-US" baseline="0"/>
                  <a:pPr>
                    <a:defRPr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layout>
            <c:manualLayout>
              <c:x val="-5.5346467368397823E-2"/>
              <c:y val="-9.341143525983898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53093FE-DC50-49FF-A82F-B46B96F837FF}" type="VALUE">
                  <a:rPr lang="en-US"/>
                  <a:pPr>
                    <a:defRPr b="1"/>
                  </a:pPr>
                  <a:t>[VALUE]</a:t>
                </a:fld>
                <a:r>
                  <a:rPr lang="en-US" baseline="0"/>
                  <a:t>,</a:t>
                </a:r>
              </a:p>
              <a:p>
                <a:pPr>
                  <a:defRPr b="1"/>
                </a:pPr>
                <a:r>
                  <a:rPr lang="en-US" baseline="0"/>
                  <a:t> </a:t>
                </a:r>
                <a:fld id="{C7287E1F-FDAD-4801-A5D0-A495CBDA1D1E}" type="PERCENTAGE">
                  <a:rPr lang="en-US" baseline="0"/>
                  <a:pPr>
                    <a:defRPr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rgbClr val="FF0000"/>
          </a:solidFill>
          <a:ln w="19050">
            <a:solidFill>
              <a:schemeClr val="lt1"/>
            </a:solidFill>
          </a:ln>
          <a:effectLst/>
        </c:spPr>
        <c:dLbl>
          <c:idx val="0"/>
          <c:layout>
            <c:manualLayout>
              <c:x val="2.0725938927380665E-2"/>
              <c:y val="-4.59251628378079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614926E-64CD-4D75-A404-374F766DB681}" type="VALUE">
                  <a:rPr lang="en-US"/>
                  <a:pPr>
                    <a:defRPr b="1"/>
                  </a:pPr>
                  <a:t>[VALUE]</a:t>
                </a:fld>
                <a:r>
                  <a:rPr lang="en-US" baseline="0"/>
                  <a:t>, </a:t>
                </a:r>
              </a:p>
              <a:p>
                <a:pPr>
                  <a:defRPr b="1"/>
                </a:pPr>
                <a:fld id="{32403A2A-8445-4C21-AE1B-D129E28FF7FE}" type="PERCENTAGE">
                  <a:rPr lang="en-US" baseline="0"/>
                  <a:pPr>
                    <a:defRPr b="1"/>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PivotTable!$B$19</c:f>
              <c:strCache>
                <c:ptCount val="1"/>
                <c:pt idx="0">
                  <c:v>Total</c:v>
                </c:pt>
              </c:strCache>
            </c:strRef>
          </c:tx>
          <c:dPt>
            <c:idx val="0"/>
            <c:bubble3D val="0"/>
            <c:spPr>
              <a:solidFill>
                <a:srgbClr val="18A0FB"/>
              </a:solidFill>
              <a:ln w="19050">
                <a:solidFill>
                  <a:schemeClr val="lt1"/>
                </a:solidFill>
              </a:ln>
              <a:effectLst/>
            </c:spPr>
            <c:extLst>
              <c:ext xmlns:c16="http://schemas.microsoft.com/office/drawing/2014/chart" uri="{C3380CC4-5D6E-409C-BE32-E72D297353CC}">
                <c16:uniqueId val="{00000001-6A1C-4120-867F-EEE28F939B25}"/>
              </c:ext>
            </c:extLst>
          </c:dPt>
          <c:dPt>
            <c:idx val="1"/>
            <c:bubble3D val="0"/>
            <c:spPr>
              <a:solidFill>
                <a:srgbClr val="2ECC71"/>
              </a:solidFill>
              <a:ln w="19050">
                <a:solidFill>
                  <a:schemeClr val="lt1"/>
                </a:solidFill>
              </a:ln>
              <a:effectLst/>
            </c:spPr>
            <c:extLst>
              <c:ext xmlns:c16="http://schemas.microsoft.com/office/drawing/2014/chart" uri="{C3380CC4-5D6E-409C-BE32-E72D297353CC}">
                <c16:uniqueId val="{00000003-6A1C-4120-867F-EEE28F939B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1C-4120-867F-EEE28F939B25}"/>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6A1C-4120-867F-EEE28F939B25}"/>
              </c:ext>
            </c:extLst>
          </c:dPt>
          <c:dLbls>
            <c:dLbl>
              <c:idx val="0"/>
              <c:layout>
                <c:manualLayout>
                  <c:x val="2.7315128867156525E-2"/>
                  <c:y val="-7.9005406465079003E-2"/>
                </c:manualLayout>
              </c:layout>
              <c:tx>
                <c:rich>
                  <a:bodyPr/>
                  <a:lstStyle/>
                  <a:p>
                    <a:fld id="{B1DBB989-29F6-4B0C-BA8A-B93AA3683FEA}" type="VALUE">
                      <a:rPr lang="en-US"/>
                      <a:pPr/>
                      <a:t>[VALUE]</a:t>
                    </a:fld>
                    <a:r>
                      <a:rPr lang="en-US" baseline="0"/>
                      <a:t>,</a:t>
                    </a:r>
                  </a:p>
                  <a:p>
                    <a:r>
                      <a:rPr lang="en-US" baseline="0"/>
                      <a:t> </a:t>
                    </a:r>
                    <a:fld id="{A6F9205A-6FB2-427D-94A5-3DD0238B46A1}"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A1C-4120-867F-EEE28F939B25}"/>
                </c:ext>
              </c:extLst>
            </c:dLbl>
            <c:dLbl>
              <c:idx val="1"/>
              <c:layout>
                <c:manualLayout>
                  <c:x val="0.10224586052901723"/>
                  <c:y val="-5.705617688154787E-2"/>
                </c:manualLayout>
              </c:layout>
              <c:tx>
                <c:rich>
                  <a:bodyPr/>
                  <a:lstStyle/>
                  <a:p>
                    <a:fld id="{3420056C-AADB-4ACD-87CE-BA8FCFE9544A}" type="VALUE">
                      <a:rPr lang="en-US"/>
                      <a:pPr/>
                      <a:t>[VALUE]</a:t>
                    </a:fld>
                    <a:r>
                      <a:rPr lang="en-US" baseline="0"/>
                      <a:t>,</a:t>
                    </a:r>
                  </a:p>
                  <a:p>
                    <a:r>
                      <a:rPr lang="en-US" baseline="0"/>
                      <a:t> </a:t>
                    </a:r>
                    <a:fld id="{6C9F85C6-C9A2-42B5-BED9-2EE8FFFE20DA}"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A1C-4120-867F-EEE28F939B25}"/>
                </c:ext>
              </c:extLst>
            </c:dLbl>
            <c:dLbl>
              <c:idx val="2"/>
              <c:layout>
                <c:manualLayout>
                  <c:x val="-5.5346467368397823E-2"/>
                  <c:y val="-9.3411435259838985E-2"/>
                </c:manualLayout>
              </c:layout>
              <c:tx>
                <c:rich>
                  <a:bodyPr/>
                  <a:lstStyle/>
                  <a:p>
                    <a:fld id="{153093FE-DC50-49FF-A82F-B46B96F837FF}" type="VALUE">
                      <a:rPr lang="en-US"/>
                      <a:pPr/>
                      <a:t>[VALUE]</a:t>
                    </a:fld>
                    <a:r>
                      <a:rPr lang="en-US" baseline="0"/>
                      <a:t>,</a:t>
                    </a:r>
                  </a:p>
                  <a:p>
                    <a:r>
                      <a:rPr lang="en-US" baseline="0"/>
                      <a:t> </a:t>
                    </a:r>
                    <a:fld id="{C7287E1F-FDAD-4801-A5D0-A495CBDA1D1E}"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A1C-4120-867F-EEE28F939B25}"/>
                </c:ext>
              </c:extLst>
            </c:dLbl>
            <c:dLbl>
              <c:idx val="3"/>
              <c:layout>
                <c:manualLayout>
                  <c:x val="2.0725938927380665E-2"/>
                  <c:y val="-4.5925162837807967E-2"/>
                </c:manualLayout>
              </c:layout>
              <c:tx>
                <c:rich>
                  <a:bodyPr/>
                  <a:lstStyle/>
                  <a:p>
                    <a:fld id="{F614926E-64CD-4D75-A404-374F766DB681}" type="VALUE">
                      <a:rPr lang="en-US"/>
                      <a:pPr/>
                      <a:t>[VALUE]</a:t>
                    </a:fld>
                    <a:r>
                      <a:rPr lang="en-US" baseline="0"/>
                      <a:t>, </a:t>
                    </a:r>
                  </a:p>
                  <a:p>
                    <a:fld id="{32403A2A-8445-4C21-AE1B-D129E28FF7FE}" type="PERCENTAGE">
                      <a:rPr lang="en-US" baseline="0"/>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A1C-4120-867F-EEE28F939B2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PivotTable!$A$20:$A$24</c:f>
              <c:strCache>
                <c:ptCount val="4"/>
                <c:pt idx="0">
                  <c:v>East</c:v>
                </c:pt>
                <c:pt idx="1">
                  <c:v>North</c:v>
                </c:pt>
                <c:pt idx="2">
                  <c:v>South</c:v>
                </c:pt>
                <c:pt idx="3">
                  <c:v>West</c:v>
                </c:pt>
              </c:strCache>
            </c:strRef>
          </c:cat>
          <c:val>
            <c:numRef>
              <c:f>PivotTable!$B$20:$B$24</c:f>
              <c:numCache>
                <c:formatCode>"$"#,##0</c:formatCode>
                <c:ptCount val="4"/>
                <c:pt idx="0">
                  <c:v>7249.74</c:v>
                </c:pt>
                <c:pt idx="1">
                  <c:v>6144.82</c:v>
                </c:pt>
                <c:pt idx="2">
                  <c:v>4674.8</c:v>
                </c:pt>
                <c:pt idx="3">
                  <c:v>5685.29</c:v>
                </c:pt>
              </c:numCache>
            </c:numRef>
          </c:val>
          <c:extLst>
            <c:ext xmlns:c16="http://schemas.microsoft.com/office/drawing/2014/chart" uri="{C3380CC4-5D6E-409C-BE32-E72D297353CC}">
              <c16:uniqueId val="{00000008-6A1C-4120-867F-EEE28F939B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29221347331585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062554680664915E-2"/>
              <c:y val="-0.16894685039370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29221347331585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062554680664915E-2"/>
              <c:y val="-0.16894685039370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18A0FB"/>
            </a:solidFill>
            <a:round/>
          </a:ln>
          <a:effectLst/>
        </c:spPr>
        <c:marker>
          <c:symbol val="circle"/>
          <c:size val="5"/>
          <c:spPr>
            <a:solidFill>
              <a:schemeClr val="accent1"/>
            </a:solidFill>
            <a:ln w="9525">
              <a:solidFill>
                <a:srgbClr val="18A0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18A0FB"/>
            </a:solidFill>
            <a:round/>
          </a:ln>
          <a:effectLst/>
        </c:spPr>
        <c:marker>
          <c:symbol val="circle"/>
          <c:size val="5"/>
          <c:spPr>
            <a:solidFill>
              <a:schemeClr val="accent1"/>
            </a:solidFill>
            <a:ln w="9525">
              <a:solidFill>
                <a:srgbClr val="18A0FB"/>
              </a:solidFill>
            </a:ln>
            <a:effectLst/>
          </c:spPr>
        </c:marker>
        <c:dLbl>
          <c:idx val="0"/>
          <c:layout>
            <c:manualLayout>
              <c:x val="-6.6729221347331585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18A0FB"/>
            </a:solidFill>
            <a:round/>
          </a:ln>
          <a:effectLst/>
        </c:spPr>
        <c:marker>
          <c:symbol val="circle"/>
          <c:size val="5"/>
          <c:spPr>
            <a:solidFill>
              <a:schemeClr val="accent1"/>
            </a:solidFill>
            <a:ln w="9525">
              <a:solidFill>
                <a:srgbClr val="18A0FB"/>
              </a:solidFill>
            </a:ln>
            <a:effectLst/>
          </c:spPr>
        </c:marker>
        <c:dLbl>
          <c:idx val="0"/>
          <c:layout>
            <c:manualLayout>
              <c:x val="-5.0062554680664915E-2"/>
              <c:y val="-0.16894685039370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PivotTable!$B$11</c:f>
              <c:strCache>
                <c:ptCount val="1"/>
                <c:pt idx="0">
                  <c:v>Total</c:v>
                </c:pt>
              </c:strCache>
            </c:strRef>
          </c:tx>
          <c:spPr>
            <a:ln w="28575" cap="rnd">
              <a:solidFill>
                <a:srgbClr val="18A0FB"/>
              </a:solidFill>
              <a:round/>
            </a:ln>
            <a:effectLst/>
          </c:spPr>
          <c:marker>
            <c:symbol val="circle"/>
            <c:size val="5"/>
            <c:spPr>
              <a:solidFill>
                <a:schemeClr val="accent1"/>
              </a:solidFill>
              <a:ln w="9525">
                <a:solidFill>
                  <a:srgbClr val="18A0FB"/>
                </a:solidFill>
              </a:ln>
              <a:effectLst/>
            </c:spPr>
          </c:marker>
          <c:dLbls>
            <c:dLbl>
              <c:idx val="1"/>
              <c:layout>
                <c:manualLayout>
                  <c:x val="-6.6729221347331585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84-47B6-8234-FB9CECA3C1B6}"/>
                </c:ext>
              </c:extLst>
            </c:dLbl>
            <c:dLbl>
              <c:idx val="3"/>
              <c:layout>
                <c:manualLayout>
                  <c:x val="-5.0062554680664915E-2"/>
                  <c:y val="-0.168946850393700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84-47B6-8234-FB9CECA3C1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PivotTable!$A$12:$A$17</c:f>
              <c:strCache>
                <c:ptCount val="5"/>
                <c:pt idx="0">
                  <c:v>April</c:v>
                </c:pt>
                <c:pt idx="1">
                  <c:v>July</c:v>
                </c:pt>
                <c:pt idx="2">
                  <c:v>June</c:v>
                </c:pt>
                <c:pt idx="3">
                  <c:v>March</c:v>
                </c:pt>
                <c:pt idx="4">
                  <c:v>May</c:v>
                </c:pt>
              </c:strCache>
            </c:strRef>
          </c:cat>
          <c:val>
            <c:numRef>
              <c:f>PivotTable!$B$12:$B$17</c:f>
              <c:numCache>
                <c:formatCode>"$"#,##0</c:formatCode>
                <c:ptCount val="5"/>
                <c:pt idx="0">
                  <c:v>4830.33</c:v>
                </c:pt>
                <c:pt idx="1">
                  <c:v>2994.89</c:v>
                </c:pt>
                <c:pt idx="2">
                  <c:v>7189.75</c:v>
                </c:pt>
                <c:pt idx="3">
                  <c:v>1744.93</c:v>
                </c:pt>
                <c:pt idx="4">
                  <c:v>6994.75</c:v>
                </c:pt>
              </c:numCache>
            </c:numRef>
          </c:val>
          <c:smooth val="0"/>
          <c:extLst>
            <c:ext xmlns:c16="http://schemas.microsoft.com/office/drawing/2014/chart" uri="{C3380CC4-5D6E-409C-BE32-E72D297353CC}">
              <c16:uniqueId val="{00000002-E484-47B6-8234-FB9CECA3C1B6}"/>
            </c:ext>
          </c:extLst>
        </c:ser>
        <c:dLbls>
          <c:dLblPos val="t"/>
          <c:showLegendKey val="0"/>
          <c:showVal val="1"/>
          <c:showCatName val="0"/>
          <c:showSerName val="0"/>
          <c:showPercent val="0"/>
          <c:showBubbleSize val="0"/>
        </c:dLbls>
        <c:marker val="1"/>
        <c:smooth val="0"/>
        <c:axId val="592969855"/>
        <c:axId val="592970271"/>
      </c:lineChart>
      <c:catAx>
        <c:axId val="59296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70271"/>
        <c:crosses val="autoZero"/>
        <c:auto val="1"/>
        <c:lblAlgn val="ctr"/>
        <c:lblOffset val="100"/>
        <c:noMultiLvlLbl val="0"/>
      </c:catAx>
      <c:valAx>
        <c:axId val="592970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6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rate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ECC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PivotTable!$A$5:$A$8</c:f>
              <c:strCache>
                <c:ptCount val="3"/>
                <c:pt idx="0">
                  <c:v>Clothing</c:v>
                </c:pt>
                <c:pt idx="1">
                  <c:v>Electronics</c:v>
                </c:pt>
                <c:pt idx="2">
                  <c:v>Home</c:v>
                </c:pt>
              </c:strCache>
            </c:strRef>
          </c:cat>
          <c:val>
            <c:numRef>
              <c:f>PivotTable!$B$5:$B$8</c:f>
              <c:numCache>
                <c:formatCode>General</c:formatCode>
                <c:ptCount val="3"/>
                <c:pt idx="0">
                  <c:v>23</c:v>
                </c:pt>
                <c:pt idx="1">
                  <c:v>26</c:v>
                </c:pt>
                <c:pt idx="2">
                  <c:v>17</c:v>
                </c:pt>
              </c:numCache>
            </c:numRef>
          </c:val>
          <c:extLst>
            <c:ext xmlns:c16="http://schemas.microsoft.com/office/drawing/2014/chart" uri="{C3380CC4-5D6E-409C-BE32-E72D297353CC}">
              <c16:uniqueId val="{00000000-0889-4CA9-A53D-7716DC10C6BC}"/>
            </c:ext>
          </c:extLst>
        </c:ser>
        <c:ser>
          <c:idx val="1"/>
          <c:order val="1"/>
          <c:tx>
            <c:strRef>
              <c:f>PivotTable!$C$3:$C$4</c:f>
              <c:strCache>
                <c:ptCount val="1"/>
                <c:pt idx="0">
                  <c:v>Yes</c:v>
                </c:pt>
              </c:strCache>
            </c:strRef>
          </c:tx>
          <c:spPr>
            <a:solidFill>
              <a:srgbClr val="2ECC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PivotTable!$A$5:$A$8</c:f>
              <c:strCache>
                <c:ptCount val="3"/>
                <c:pt idx="0">
                  <c:v>Clothing</c:v>
                </c:pt>
                <c:pt idx="1">
                  <c:v>Electronics</c:v>
                </c:pt>
                <c:pt idx="2">
                  <c:v>Home</c:v>
                </c:pt>
              </c:strCache>
            </c:strRef>
          </c:cat>
          <c:val>
            <c:numRef>
              <c:f>PivotTable!$C$5:$C$8</c:f>
              <c:numCache>
                <c:formatCode>General</c:formatCode>
                <c:ptCount val="3"/>
                <c:pt idx="0">
                  <c:v>17</c:v>
                </c:pt>
                <c:pt idx="1">
                  <c:v>13</c:v>
                </c:pt>
                <c:pt idx="2">
                  <c:v>16</c:v>
                </c:pt>
              </c:numCache>
            </c:numRef>
          </c:val>
          <c:extLst>
            <c:ext xmlns:c16="http://schemas.microsoft.com/office/drawing/2014/chart" uri="{C3380CC4-5D6E-409C-BE32-E72D297353CC}">
              <c16:uniqueId val="{00000001-0889-4CA9-A53D-7716DC10C6BC}"/>
            </c:ext>
          </c:extLst>
        </c:ser>
        <c:dLbls>
          <c:dLblPos val="outEnd"/>
          <c:showLegendKey val="0"/>
          <c:showVal val="1"/>
          <c:showCatName val="0"/>
          <c:showSerName val="0"/>
          <c:showPercent val="0"/>
          <c:showBubbleSize val="0"/>
        </c:dLbls>
        <c:gapWidth val="219"/>
        <c:overlap val="-27"/>
        <c:axId val="1456640239"/>
        <c:axId val="1457843727"/>
      </c:barChart>
      <c:catAx>
        <c:axId val="145664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43727"/>
        <c:crosses val="autoZero"/>
        <c:auto val="1"/>
        <c:lblAlgn val="ctr"/>
        <c:lblOffset val="100"/>
        <c:noMultiLvlLbl val="0"/>
      </c:catAx>
      <c:valAx>
        <c:axId val="145784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64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by Category</a:t>
            </a:r>
            <a:endParaRPr lang="en-US"/>
          </a:p>
        </c:rich>
      </c:tx>
      <c:layout>
        <c:manualLayout>
          <c:xMode val="edge"/>
          <c:yMode val="edge"/>
          <c:x val="0.10661462041098778"/>
          <c:y val="0.155009392470780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8A0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PivotTable!$B$38</c:f>
              <c:strCache>
                <c:ptCount val="1"/>
                <c:pt idx="0">
                  <c:v>Total</c:v>
                </c:pt>
              </c:strCache>
            </c:strRef>
          </c:tx>
          <c:spPr>
            <a:solidFill>
              <a:srgbClr val="18A0FB"/>
            </a:solidFill>
            <a:ln>
              <a:noFill/>
            </a:ln>
            <a:effectLst/>
          </c:spPr>
          <c:invertIfNegative val="0"/>
          <c:cat>
            <c:strRef>
              <c:f>PivotTable!$A$39:$A$42</c:f>
              <c:strCache>
                <c:ptCount val="3"/>
                <c:pt idx="0">
                  <c:v>Clothing</c:v>
                </c:pt>
                <c:pt idx="1">
                  <c:v>Electronics</c:v>
                </c:pt>
                <c:pt idx="2">
                  <c:v>Home</c:v>
                </c:pt>
              </c:strCache>
            </c:strRef>
          </c:cat>
          <c:val>
            <c:numRef>
              <c:f>PivotTable!$B$39:$B$42</c:f>
              <c:numCache>
                <c:formatCode>"$"#,##0</c:formatCode>
                <c:ptCount val="3"/>
                <c:pt idx="0">
                  <c:v>65.006</c:v>
                </c:pt>
                <c:pt idx="1">
                  <c:v>438.96589743589738</c:v>
                </c:pt>
                <c:pt idx="2">
                  <c:v>122.26484848484847</c:v>
                </c:pt>
              </c:numCache>
            </c:numRef>
          </c:val>
          <c:extLst>
            <c:ext xmlns:c16="http://schemas.microsoft.com/office/drawing/2014/chart" uri="{C3380CC4-5D6E-409C-BE32-E72D297353CC}">
              <c16:uniqueId val="{00000000-7ECE-4A3E-BBF5-72FFA260F94C}"/>
            </c:ext>
          </c:extLst>
        </c:ser>
        <c:dLbls>
          <c:showLegendKey val="0"/>
          <c:showVal val="0"/>
          <c:showCatName val="0"/>
          <c:showSerName val="0"/>
          <c:showPercent val="0"/>
          <c:showBubbleSize val="0"/>
        </c:dLbls>
        <c:gapWidth val="182"/>
        <c:axId val="1457840815"/>
        <c:axId val="1457841231"/>
      </c:barChart>
      <c:catAx>
        <c:axId val="145784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41231"/>
        <c:crosses val="autoZero"/>
        <c:auto val="1"/>
        <c:lblAlgn val="ctr"/>
        <c:lblOffset val="100"/>
        <c:noMultiLvlLbl val="0"/>
      </c:catAx>
      <c:valAx>
        <c:axId val="1457841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4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[Deepseek Sales Dashboard.xlsx]PivotTable!PivotTable19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Performance</a:t>
            </a:r>
            <a:endParaRPr lang="en-US" b="1"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8A0FB"/>
          </a:solidFill>
          <a:ln w="19050">
            <a:solidFill>
              <a:schemeClr val="lt1"/>
            </a:solidFill>
          </a:ln>
          <a:effectLst/>
        </c:spPr>
      </c:pivotFmt>
      <c:pivotFmt>
        <c:idx val="6"/>
        <c:spPr>
          <a:solidFill>
            <a:srgbClr val="FF0000"/>
          </a:solidFill>
          <a:ln w="19050">
            <a:solidFill>
              <a:schemeClr val="lt1"/>
            </a:solidFill>
          </a:ln>
          <a:effectLst/>
        </c:spPr>
      </c:pivotFmt>
    </c:pivotFmts>
    <c:plotArea>
      <c:layout/>
      <c:doughnutChart>
        <c:varyColors val="1"/>
        <c:ser>
          <c:idx val="0"/>
          <c:order val="0"/>
          <c:tx>
            <c:strRef>
              <c:f>PivotTable!$B$68</c:f>
              <c:strCache>
                <c:ptCount val="1"/>
                <c:pt idx="0">
                  <c:v>Total</c:v>
                </c:pt>
              </c:strCache>
            </c:strRef>
          </c:tx>
          <c:dPt>
            <c:idx val="0"/>
            <c:bubble3D val="0"/>
            <c:spPr>
              <a:solidFill>
                <a:srgbClr val="18A0FB"/>
              </a:solidFill>
              <a:ln w="19050">
                <a:solidFill>
                  <a:schemeClr val="lt1"/>
                </a:solidFill>
              </a:ln>
              <a:effectLst/>
            </c:spPr>
            <c:extLst>
              <c:ext xmlns:c16="http://schemas.microsoft.com/office/drawing/2014/chart" uri="{C3380CC4-5D6E-409C-BE32-E72D297353CC}">
                <c16:uniqueId val="{00000001-68D6-4346-865D-CAAEF2C9FB3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68D6-4346-865D-CAAEF2C9FB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PivotTable!$A$69:$A$71</c:f>
              <c:strCache>
                <c:ptCount val="2"/>
                <c:pt idx="0">
                  <c:v>No</c:v>
                </c:pt>
                <c:pt idx="1">
                  <c:v>Yes</c:v>
                </c:pt>
              </c:strCache>
            </c:strRef>
          </c:cat>
          <c:val>
            <c:numRef>
              <c:f>PivotTable!$B$69:$B$71</c:f>
              <c:numCache>
                <c:formatCode>"$"#,##0</c:formatCode>
                <c:ptCount val="2"/>
                <c:pt idx="0">
                  <c:v>14659.51</c:v>
                </c:pt>
                <c:pt idx="1">
                  <c:v>9095.14</c:v>
                </c:pt>
              </c:numCache>
            </c:numRef>
          </c:val>
          <c:extLst>
            <c:ext xmlns:c16="http://schemas.microsoft.com/office/drawing/2014/chart" uri="{C3380CC4-5D6E-409C-BE32-E72D297353CC}">
              <c16:uniqueId val="{00000004-68D6-4346-865D-CAAEF2C9FB3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66675</xdr:colOff>
      <xdr:row>25</xdr:row>
      <xdr:rowOff>28574</xdr:rowOff>
    </xdr:from>
    <xdr:to>
      <xdr:col>8</xdr:col>
      <xdr:colOff>238125</xdr:colOff>
      <xdr:row>35</xdr:row>
      <xdr:rowOff>4761</xdr:rowOff>
    </xdr:to>
    <xdr:graphicFrame macro="">
      <xdr:nvGraphicFramePr>
        <xdr:cNvPr id="2" name="Chart 1">
          <a:extLst>
            <a:ext uri="{FF2B5EF4-FFF2-40B4-BE49-F238E27FC236}">
              <a16:creationId xmlns:a16="http://schemas.microsoft.com/office/drawing/2014/main" id="{5639AEA7-2E16-411D-A8C0-F6C68FCE8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214312</xdr:colOff>
      <xdr:row>13</xdr:row>
      <xdr:rowOff>123825</xdr:rowOff>
    </xdr:from>
    <xdr:to>
      <xdr:col>8</xdr:col>
      <xdr:colOff>9525</xdr:colOff>
      <xdr:row>24</xdr:row>
      <xdr:rowOff>109537</xdr:rowOff>
    </xdr:to>
    <xdr:graphicFrame macro="">
      <xdr:nvGraphicFramePr>
        <xdr:cNvPr id="3" name="Chart 2">
          <a:extLst>
            <a:ext uri="{FF2B5EF4-FFF2-40B4-BE49-F238E27FC236}">
              <a16:creationId xmlns:a16="http://schemas.microsoft.com/office/drawing/2014/main" id="{5703F641-80FD-45DD-B566-161A60AC3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632547</xdr:colOff>
      <xdr:row>0</xdr:row>
      <xdr:rowOff>0</xdr:rowOff>
    </xdr:from>
    <xdr:to>
      <xdr:col>17</xdr:col>
      <xdr:colOff>327746</xdr:colOff>
      <xdr:row>14</xdr:row>
      <xdr:rowOff>76200</xdr:rowOff>
    </xdr:to>
    <xdr:graphicFrame macro="">
      <xdr:nvGraphicFramePr>
        <xdr:cNvPr id="4" name="Chart 3">
          <a:extLst>
            <a:ext uri="{FF2B5EF4-FFF2-40B4-BE49-F238E27FC236}">
              <a16:creationId xmlns:a16="http://schemas.microsoft.com/office/drawing/2014/main" id="{F6B49BDC-8FEF-4EED-8BF3-5ECB43732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xdr:colOff>
      <xdr:row>1</xdr:row>
      <xdr:rowOff>38100</xdr:rowOff>
    </xdr:from>
    <xdr:to>
      <xdr:col>9</xdr:col>
      <xdr:colOff>450273</xdr:colOff>
      <xdr:row>12</xdr:row>
      <xdr:rowOff>176213</xdr:rowOff>
    </xdr:to>
    <xdr:graphicFrame macro="">
      <xdr:nvGraphicFramePr>
        <xdr:cNvPr id="5" name="Chart 4">
          <a:extLst>
            <a:ext uri="{FF2B5EF4-FFF2-40B4-BE49-F238E27FC236}">
              <a16:creationId xmlns:a16="http://schemas.microsoft.com/office/drawing/2014/main" id="{0189B9D1-E3EA-4500-8096-23422DC2E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371475</xdr:colOff>
      <xdr:row>14</xdr:row>
      <xdr:rowOff>147637</xdr:rowOff>
    </xdr:from>
    <xdr:to>
      <xdr:col>16</xdr:col>
      <xdr:colOff>66675</xdr:colOff>
      <xdr:row>29</xdr:row>
      <xdr:rowOff>33337</xdr:rowOff>
    </xdr:to>
    <xdr:graphicFrame macro="">
      <xdr:nvGraphicFramePr>
        <xdr:cNvPr id="6" name="Chart 5">
          <a:extLst>
            <a:ext uri="{FF2B5EF4-FFF2-40B4-BE49-F238E27FC236}">
              <a16:creationId xmlns:a16="http://schemas.microsoft.com/office/drawing/2014/main" id="{565F81D6-563E-41AC-BB93-D004006A6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476250</xdr:colOff>
      <xdr:row>29</xdr:row>
      <xdr:rowOff>33337</xdr:rowOff>
    </xdr:from>
    <xdr:to>
      <xdr:col>17</xdr:col>
      <xdr:colOff>171450</xdr:colOff>
      <xdr:row>43</xdr:row>
      <xdr:rowOff>109537</xdr:rowOff>
    </xdr:to>
    <xdr:graphicFrame macro="">
      <xdr:nvGraphicFramePr>
        <xdr:cNvPr id="7" name="Chart 6">
          <a:extLst>
            <a:ext uri="{FF2B5EF4-FFF2-40B4-BE49-F238E27FC236}">
              <a16:creationId xmlns:a16="http://schemas.microsoft.com/office/drawing/2014/main" id="{006F0038-999F-4123-A300-76FCC9C37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57150</xdr:colOff>
      <xdr:row>36</xdr:row>
      <xdr:rowOff>176212</xdr:rowOff>
    </xdr:from>
    <xdr:to>
      <xdr:col>9</xdr:col>
      <xdr:colOff>314325</xdr:colOff>
      <xdr:row>51</xdr:row>
      <xdr:rowOff>61912</xdr:rowOff>
    </xdr:to>
    <xdr:graphicFrame macro="">
      <xdr:nvGraphicFramePr>
        <xdr:cNvPr id="8" name="Chart 7">
          <a:extLst>
            <a:ext uri="{FF2B5EF4-FFF2-40B4-BE49-F238E27FC236}">
              <a16:creationId xmlns:a16="http://schemas.microsoft.com/office/drawing/2014/main" id="{B1234FA4-C93F-470C-9A97-B59F7C91C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190500</xdr:colOff>
      <xdr:row>51</xdr:row>
      <xdr:rowOff>166687</xdr:rowOff>
    </xdr:from>
    <xdr:to>
      <xdr:col>12</xdr:col>
      <xdr:colOff>495300</xdr:colOff>
      <xdr:row>66</xdr:row>
      <xdr:rowOff>52387</xdr:rowOff>
    </xdr:to>
    <xdr:graphicFrame macro="">
      <xdr:nvGraphicFramePr>
        <xdr:cNvPr id="9" name="Chart 8">
          <a:extLst>
            <a:ext uri="{FF2B5EF4-FFF2-40B4-BE49-F238E27FC236}">
              <a16:creationId xmlns:a16="http://schemas.microsoft.com/office/drawing/2014/main" id="{BA488557-9000-4646-A3D1-B625BD8B5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333375</xdr:colOff>
      <xdr:row>66</xdr:row>
      <xdr:rowOff>100012</xdr:rowOff>
    </xdr:from>
    <xdr:to>
      <xdr:col>11</xdr:col>
      <xdr:colOff>76200</xdr:colOff>
      <xdr:row>80</xdr:row>
      <xdr:rowOff>176212</xdr:rowOff>
    </xdr:to>
    <xdr:graphicFrame macro="">
      <xdr:nvGraphicFramePr>
        <xdr:cNvPr id="10" name="Chart 9">
          <a:extLst>
            <a:ext uri="{FF2B5EF4-FFF2-40B4-BE49-F238E27FC236}">
              <a16:creationId xmlns:a16="http://schemas.microsoft.com/office/drawing/2014/main" id="{7D9383B1-CE18-4A90-A05F-69C9F7877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85725</xdr:colOff>
      <xdr:row>81</xdr:row>
      <xdr:rowOff>109537</xdr:rowOff>
    </xdr:from>
    <xdr:to>
      <xdr:col>11</xdr:col>
      <xdr:colOff>247650</xdr:colOff>
      <xdr:row>95</xdr:row>
      <xdr:rowOff>185737</xdr:rowOff>
    </xdr:to>
    <xdr:graphicFrame macro="">
      <xdr:nvGraphicFramePr>
        <xdr:cNvPr id="11" name="Chart 10">
          <a:extLst>
            <a:ext uri="{FF2B5EF4-FFF2-40B4-BE49-F238E27FC236}">
              <a16:creationId xmlns:a16="http://schemas.microsoft.com/office/drawing/2014/main" id="{9B2A92BB-A5E5-43DD-B826-FA67B201D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95250</xdr:colOff>
      <xdr:row>89</xdr:row>
      <xdr:rowOff>57151</xdr:rowOff>
    </xdr:from>
    <xdr:to>
      <xdr:col>1</xdr:col>
      <xdr:colOff>1036078</xdr:colOff>
      <xdr:row>93</xdr:row>
      <xdr:rowOff>152401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D50C2DE8-268B-4172-8705-35520210BB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50" y="17011651"/>
              <a:ext cx="2756928"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94</xdr:row>
      <xdr:rowOff>76201</xdr:rowOff>
    </xdr:from>
    <xdr:to>
      <xdr:col>1</xdr:col>
      <xdr:colOff>978928</xdr:colOff>
      <xdr:row>100</xdr:row>
      <xdr:rowOff>19051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DDFC8461-9470-48CC-8847-D16567F853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725" y="17983201"/>
              <a:ext cx="2709303"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590550</xdr:colOff>
      <xdr:row>101</xdr:row>
      <xdr:rowOff>57150</xdr:rowOff>
    </xdr:from>
    <xdr:to>
      <xdr:col>2</xdr:col>
      <xdr:colOff>523875</xdr:colOff>
      <xdr:row>105</xdr:row>
      <xdr:rowOff>171450</xdr:rowOff>
    </xdr:to>
    <xdr:grpSp>
      <xdr:nvGrpSpPr>
        <xdr:cNvPr id="17" name="Group 16">
          <a:extLst>
            <a:ext uri="{FF2B5EF4-FFF2-40B4-BE49-F238E27FC236}">
              <a16:creationId xmlns:a16="http://schemas.microsoft.com/office/drawing/2014/main" id="{EE04F195-D9FD-464C-812C-7EE9CEEDB4F0}"/>
            </a:ext>
          </a:extLst>
        </xdr:cNvPr>
        <xdr:cNvGrpSpPr/>
      </xdr:nvGrpSpPr>
      <xdr:grpSpPr>
        <a:xfrm>
          <a:off x="590550" y="19297650"/>
          <a:ext cx="3235325" cy="876300"/>
          <a:chOff x="590550" y="19297650"/>
          <a:chExt cx="1847850" cy="876300"/>
        </a:xfrm>
      </xdr:grpSpPr>
      <xdr:sp macro="" textlink="$A$110">
        <xdr:nvSpPr>
          <xdr:cNvPr id="15" name="Rectangle: Rounded Corners 14">
            <a:extLst>
              <a:ext uri="{FF2B5EF4-FFF2-40B4-BE49-F238E27FC236}">
                <a16:creationId xmlns:a16="http://schemas.microsoft.com/office/drawing/2014/main" id="{B8D78424-3C31-4358-9CCA-2983A0B30307}"/>
              </a:ext>
            </a:extLst>
          </xdr:cNvPr>
          <xdr:cNvSpPr/>
        </xdr:nvSpPr>
        <xdr:spPr>
          <a:xfrm>
            <a:off x="590550" y="19297650"/>
            <a:ext cx="184785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821B02A-A74C-46BC-B3D7-A53D311C9592}" type="TxLink">
              <a:rPr lang="en-US" sz="1100" b="0" i="0" u="none" strike="noStrike">
                <a:solidFill>
                  <a:srgbClr val="000000"/>
                </a:solidFill>
                <a:latin typeface="Calibri"/>
                <a:cs typeface="Calibri"/>
              </a:rPr>
              <a:pPr algn="ctr"/>
              <a:t>$23,755</a:t>
            </a:fld>
            <a:endParaRPr lang="en-US" sz="1100"/>
          </a:p>
        </xdr:txBody>
      </xdr:sp>
      <xdr:sp macro="" textlink="">
        <xdr:nvSpPr>
          <xdr:cNvPr id="16" name="TextBox 15">
            <a:extLst>
              <a:ext uri="{FF2B5EF4-FFF2-40B4-BE49-F238E27FC236}">
                <a16:creationId xmlns:a16="http://schemas.microsoft.com/office/drawing/2014/main" id="{6AD78D4B-B1B1-422B-A652-45E4062F79FD}"/>
              </a:ext>
            </a:extLst>
          </xdr:cNvPr>
          <xdr:cNvSpPr txBox="1"/>
        </xdr:nvSpPr>
        <xdr:spPr>
          <a:xfrm>
            <a:off x="866775" y="19926300"/>
            <a:ext cx="13811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Total Revenue</a:t>
            </a:r>
          </a:p>
        </xdr:txBody>
      </xdr:sp>
    </xdr:grpSp>
    <xdr:clientData/>
  </xdr:twoCellAnchor>
  <xdr:twoCellAnchor>
    <xdr:from>
      <xdr:col>3</xdr:col>
      <xdr:colOff>0</xdr:colOff>
      <xdr:row>103</xdr:row>
      <xdr:rowOff>0</xdr:rowOff>
    </xdr:from>
    <xdr:to>
      <xdr:col>5</xdr:col>
      <xdr:colOff>295275</xdr:colOff>
      <xdr:row>107</xdr:row>
      <xdr:rowOff>114300</xdr:rowOff>
    </xdr:to>
    <xdr:grpSp>
      <xdr:nvGrpSpPr>
        <xdr:cNvPr id="18" name="Group 17">
          <a:extLst>
            <a:ext uri="{FF2B5EF4-FFF2-40B4-BE49-F238E27FC236}">
              <a16:creationId xmlns:a16="http://schemas.microsoft.com/office/drawing/2014/main" id="{E0FFD4C6-75BF-4B77-B3C5-AD14DFE76870}"/>
            </a:ext>
          </a:extLst>
        </xdr:cNvPr>
        <xdr:cNvGrpSpPr/>
      </xdr:nvGrpSpPr>
      <xdr:grpSpPr>
        <a:xfrm>
          <a:off x="4419600" y="19621500"/>
          <a:ext cx="2543175" cy="876300"/>
          <a:chOff x="590550" y="19297650"/>
          <a:chExt cx="1847850" cy="876300"/>
        </a:xfrm>
      </xdr:grpSpPr>
      <xdr:sp macro="" textlink="$A$113">
        <xdr:nvSpPr>
          <xdr:cNvPr id="19" name="Rectangle: Rounded Corners 18">
            <a:extLst>
              <a:ext uri="{FF2B5EF4-FFF2-40B4-BE49-F238E27FC236}">
                <a16:creationId xmlns:a16="http://schemas.microsoft.com/office/drawing/2014/main" id="{77C87909-7D73-4CBE-8FEB-E96827BCC0FD}"/>
              </a:ext>
            </a:extLst>
          </xdr:cNvPr>
          <xdr:cNvSpPr/>
        </xdr:nvSpPr>
        <xdr:spPr>
          <a:xfrm>
            <a:off x="590550" y="19297650"/>
            <a:ext cx="184785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D562D6D-92AB-4C2D-A1D7-A827F1C4D6F5}" type="TxLink">
              <a:rPr lang="en-US" sz="1100" b="0" i="0" u="none" strike="noStrike">
                <a:solidFill>
                  <a:srgbClr val="000000"/>
                </a:solidFill>
                <a:latin typeface="Calibri"/>
                <a:cs typeface="Calibri"/>
              </a:rPr>
              <a:pPr algn="ctr"/>
              <a:t>112</a:t>
            </a:fld>
            <a:endParaRPr lang="en-US" sz="1100"/>
          </a:p>
        </xdr:txBody>
      </xdr:sp>
      <xdr:sp macro="" textlink="">
        <xdr:nvSpPr>
          <xdr:cNvPr id="20" name="TextBox 19">
            <a:extLst>
              <a:ext uri="{FF2B5EF4-FFF2-40B4-BE49-F238E27FC236}">
                <a16:creationId xmlns:a16="http://schemas.microsoft.com/office/drawing/2014/main" id="{C31C2493-8196-4BDF-B3F7-1E89DC42CBB6}"/>
              </a:ext>
            </a:extLst>
          </xdr:cNvPr>
          <xdr:cNvSpPr txBox="1"/>
        </xdr:nvSpPr>
        <xdr:spPr>
          <a:xfrm>
            <a:off x="866775" y="19926300"/>
            <a:ext cx="14573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Total No</a:t>
            </a:r>
            <a:r>
              <a:rPr lang="en-US" sz="1000" b="1" baseline="0"/>
              <a:t> of Customers</a:t>
            </a:r>
            <a:endParaRPr lang="en-US" sz="1000" b="1"/>
          </a:p>
        </xdr:txBody>
      </xdr:sp>
    </xdr:grpSp>
    <xdr:clientData/>
  </xdr:twoCellAnchor>
  <xdr:twoCellAnchor>
    <xdr:from>
      <xdr:col>7</xdr:col>
      <xdr:colOff>0</xdr:colOff>
      <xdr:row>101</xdr:row>
      <xdr:rowOff>0</xdr:rowOff>
    </xdr:from>
    <xdr:to>
      <xdr:col>10</xdr:col>
      <xdr:colOff>19050</xdr:colOff>
      <xdr:row>105</xdr:row>
      <xdr:rowOff>114300</xdr:rowOff>
    </xdr:to>
    <xdr:grpSp>
      <xdr:nvGrpSpPr>
        <xdr:cNvPr id="21" name="Group 20">
          <a:extLst>
            <a:ext uri="{FF2B5EF4-FFF2-40B4-BE49-F238E27FC236}">
              <a16:creationId xmlns:a16="http://schemas.microsoft.com/office/drawing/2014/main" id="{9EFA689E-043A-492F-A69F-794062B72321}"/>
            </a:ext>
          </a:extLst>
        </xdr:cNvPr>
        <xdr:cNvGrpSpPr/>
      </xdr:nvGrpSpPr>
      <xdr:grpSpPr>
        <a:xfrm>
          <a:off x="8648700" y="19240500"/>
          <a:ext cx="4324350" cy="876300"/>
          <a:chOff x="590550" y="19297650"/>
          <a:chExt cx="1847850" cy="876300"/>
        </a:xfrm>
      </xdr:grpSpPr>
      <xdr:sp macro="" textlink="$A$117">
        <xdr:nvSpPr>
          <xdr:cNvPr id="22" name="Rectangle: Rounded Corners 21">
            <a:extLst>
              <a:ext uri="{FF2B5EF4-FFF2-40B4-BE49-F238E27FC236}">
                <a16:creationId xmlns:a16="http://schemas.microsoft.com/office/drawing/2014/main" id="{6475B36B-4BBB-415F-AE04-BFF0DF63817A}"/>
              </a:ext>
            </a:extLst>
          </xdr:cNvPr>
          <xdr:cNvSpPr/>
        </xdr:nvSpPr>
        <xdr:spPr>
          <a:xfrm>
            <a:off x="590550" y="19297650"/>
            <a:ext cx="184785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BE1ED4A-6149-4EBF-9227-F78EFC953986}" type="TxLink">
              <a:rPr lang="en-US" sz="1100" b="0" i="0" u="none" strike="noStrike">
                <a:solidFill>
                  <a:srgbClr val="000000"/>
                </a:solidFill>
                <a:latin typeface="Calibri"/>
                <a:cs typeface="Calibri"/>
              </a:rPr>
              <a:pPr algn="ctr"/>
              <a:t>$212</a:t>
            </a:fld>
            <a:endParaRPr lang="en-US" sz="1100"/>
          </a:p>
        </xdr:txBody>
      </xdr:sp>
      <xdr:sp macro="" textlink="">
        <xdr:nvSpPr>
          <xdr:cNvPr id="23" name="TextBox 22">
            <a:extLst>
              <a:ext uri="{FF2B5EF4-FFF2-40B4-BE49-F238E27FC236}">
                <a16:creationId xmlns:a16="http://schemas.microsoft.com/office/drawing/2014/main" id="{2201DF6F-8B91-4E4C-831F-7F4EB5A84EBA}"/>
              </a:ext>
            </a:extLst>
          </xdr:cNvPr>
          <xdr:cNvSpPr txBox="1"/>
        </xdr:nvSpPr>
        <xdr:spPr>
          <a:xfrm>
            <a:off x="866775" y="19926300"/>
            <a:ext cx="13811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Avg</a:t>
            </a:r>
            <a:r>
              <a:rPr lang="en-US" sz="1000" b="1" baseline="0"/>
              <a:t> Order Value</a:t>
            </a:r>
            <a:endParaRPr lang="en-US" sz="10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429559</xdr:colOff>
      <xdr:row>6</xdr:row>
      <xdr:rowOff>150394</xdr:rowOff>
    </xdr:from>
    <xdr:to>
      <xdr:col>14</xdr:col>
      <xdr:colOff>578972</xdr:colOff>
      <xdr:row>12</xdr:row>
      <xdr:rowOff>16711</xdr:rowOff>
    </xdr:to>
    <xdr:sp macro="" textlink="">
      <xdr:nvSpPr>
        <xdr:cNvPr id="21" name="Rectangle: Rounded Corners 20">
          <a:extLst>
            <a:ext uri="{FF2B5EF4-FFF2-40B4-BE49-F238E27FC236}">
              <a16:creationId xmlns:a16="http://schemas.microsoft.com/office/drawing/2014/main" id="{43D37DD2-D605-4F0D-A3B5-13C7D5AE3394}"/>
            </a:ext>
          </a:extLst>
        </xdr:cNvPr>
        <xdr:cNvSpPr/>
      </xdr:nvSpPr>
      <xdr:spPr>
        <a:xfrm>
          <a:off x="1045883" y="1270982"/>
          <a:ext cx="8161618" cy="986905"/>
        </a:xfrm>
        <a:prstGeom prst="roundRect">
          <a:avLst/>
        </a:prstGeom>
        <a:solidFill>
          <a:schemeClr val="tx1"/>
        </a:solidFill>
        <a:ln>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261470</xdr:colOff>
      <xdr:row>34</xdr:row>
      <xdr:rowOff>168088</xdr:rowOff>
    </xdr:from>
    <xdr:to>
      <xdr:col>15</xdr:col>
      <xdr:colOff>186765</xdr:colOff>
      <xdr:row>42</xdr:row>
      <xdr:rowOff>24932</xdr:rowOff>
    </xdr:to>
    <xdr:sp macro="" textlink="">
      <xdr:nvSpPr>
        <xdr:cNvPr id="20" name="Rectangle: Rounded Corners 19">
          <a:extLst>
            <a:ext uri="{FF2B5EF4-FFF2-40B4-BE49-F238E27FC236}">
              <a16:creationId xmlns:a16="http://schemas.microsoft.com/office/drawing/2014/main" id="{CFBF26FD-45B4-414B-89EC-24B6E1E051D7}"/>
            </a:ext>
          </a:extLst>
        </xdr:cNvPr>
        <xdr:cNvSpPr/>
      </xdr:nvSpPr>
      <xdr:spPr>
        <a:xfrm>
          <a:off x="877794" y="6518088"/>
          <a:ext cx="8553824" cy="1350962"/>
        </a:xfrm>
        <a:prstGeom prst="roundRect">
          <a:avLst/>
        </a:prstGeom>
        <a:solidFill>
          <a:schemeClr val="tx1"/>
        </a:soli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280147</xdr:colOff>
      <xdr:row>24</xdr:row>
      <xdr:rowOff>144452</xdr:rowOff>
    </xdr:from>
    <xdr:to>
      <xdr:col>15</xdr:col>
      <xdr:colOff>130736</xdr:colOff>
      <xdr:row>34</xdr:row>
      <xdr:rowOff>74706</xdr:rowOff>
    </xdr:to>
    <xdr:sp macro="" textlink="">
      <xdr:nvSpPr>
        <xdr:cNvPr id="19" name="Rectangle: Rounded Corners 18">
          <a:extLst>
            <a:ext uri="{FF2B5EF4-FFF2-40B4-BE49-F238E27FC236}">
              <a16:creationId xmlns:a16="http://schemas.microsoft.com/office/drawing/2014/main" id="{1D3DD704-752C-426A-873A-F2546EF5067A}"/>
            </a:ext>
          </a:extLst>
        </xdr:cNvPr>
        <xdr:cNvSpPr/>
      </xdr:nvSpPr>
      <xdr:spPr>
        <a:xfrm>
          <a:off x="896471" y="4626805"/>
          <a:ext cx="8479118" cy="1797901"/>
        </a:xfrm>
        <a:prstGeom prst="roundRect">
          <a:avLst/>
        </a:prstGeom>
        <a:solidFill>
          <a:schemeClr val="tx1"/>
        </a:solidFill>
        <a:ln>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336176</xdr:colOff>
      <xdr:row>12</xdr:row>
      <xdr:rowOff>149412</xdr:rowOff>
    </xdr:from>
    <xdr:to>
      <xdr:col>14</xdr:col>
      <xdr:colOff>578971</xdr:colOff>
      <xdr:row>24</xdr:row>
      <xdr:rowOff>74707</xdr:rowOff>
    </xdr:to>
    <xdr:sp macro="" textlink="">
      <xdr:nvSpPr>
        <xdr:cNvPr id="18" name="Rectangle: Rounded Corners 17">
          <a:extLst>
            <a:ext uri="{FF2B5EF4-FFF2-40B4-BE49-F238E27FC236}">
              <a16:creationId xmlns:a16="http://schemas.microsoft.com/office/drawing/2014/main" id="{A2E7CDD8-DD86-4BEE-B6CD-BA59891652CC}"/>
            </a:ext>
          </a:extLst>
        </xdr:cNvPr>
        <xdr:cNvSpPr/>
      </xdr:nvSpPr>
      <xdr:spPr>
        <a:xfrm>
          <a:off x="952500" y="2390588"/>
          <a:ext cx="8255000" cy="2166472"/>
        </a:xfrm>
        <a:prstGeom prst="roundRect">
          <a:avLst/>
        </a:prstGeom>
        <a:solidFill>
          <a:schemeClr val="tx1"/>
        </a:solidFill>
        <a:ln>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425735</xdr:colOff>
      <xdr:row>13</xdr:row>
      <xdr:rowOff>86225</xdr:rowOff>
    </xdr:from>
    <xdr:to>
      <xdr:col>14</xdr:col>
      <xdr:colOff>450082</xdr:colOff>
      <xdr:row>23</xdr:row>
      <xdr:rowOff>74706</xdr:rowOff>
    </xdr:to>
    <xdr:graphicFrame macro="">
      <xdr:nvGraphicFramePr>
        <xdr:cNvPr id="2" name="Chart 1">
          <a:extLst>
            <a:ext uri="{FF2B5EF4-FFF2-40B4-BE49-F238E27FC236}">
              <a16:creationId xmlns:a16="http://schemas.microsoft.com/office/drawing/2014/main" id="{BDCB68B2-2143-49C0-B2FB-0EB1AB485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534690</xdr:colOff>
      <xdr:row>13</xdr:row>
      <xdr:rowOff>107116</xdr:rowOff>
    </xdr:from>
    <xdr:to>
      <xdr:col>10</xdr:col>
      <xdr:colOff>397747</xdr:colOff>
      <xdr:row>23</xdr:row>
      <xdr:rowOff>112059</xdr:rowOff>
    </xdr:to>
    <xdr:graphicFrame macro="">
      <xdr:nvGraphicFramePr>
        <xdr:cNvPr id="3" name="Chart 2">
          <a:extLst>
            <a:ext uri="{FF2B5EF4-FFF2-40B4-BE49-F238E27FC236}">
              <a16:creationId xmlns:a16="http://schemas.microsoft.com/office/drawing/2014/main" id="{972F0BE2-3426-4C71-B4A5-CD2216968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481121</xdr:colOff>
      <xdr:row>13</xdr:row>
      <xdr:rowOff>86263</xdr:rowOff>
    </xdr:from>
    <xdr:to>
      <xdr:col>6</xdr:col>
      <xdr:colOff>451184</xdr:colOff>
      <xdr:row>23</xdr:row>
      <xdr:rowOff>93384</xdr:rowOff>
    </xdr:to>
    <xdr:graphicFrame macro="">
      <xdr:nvGraphicFramePr>
        <xdr:cNvPr id="4" name="Chart 3">
          <a:extLst>
            <a:ext uri="{FF2B5EF4-FFF2-40B4-BE49-F238E27FC236}">
              <a16:creationId xmlns:a16="http://schemas.microsoft.com/office/drawing/2014/main" id="{7036A3EF-E834-449A-A0C1-53D404916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425623</xdr:colOff>
      <xdr:row>25</xdr:row>
      <xdr:rowOff>57285</xdr:rowOff>
    </xdr:from>
    <xdr:to>
      <xdr:col>6</xdr:col>
      <xdr:colOff>348955</xdr:colOff>
      <xdr:row>34</xdr:row>
      <xdr:rowOff>1</xdr:rowOff>
    </xdr:to>
    <xdr:graphicFrame macro="">
      <xdr:nvGraphicFramePr>
        <xdr:cNvPr id="5" name="Chart 4">
          <a:extLst>
            <a:ext uri="{FF2B5EF4-FFF2-40B4-BE49-F238E27FC236}">
              <a16:creationId xmlns:a16="http://schemas.microsoft.com/office/drawing/2014/main" id="{666FD6C5-C293-4824-AE56-B8E2E6D0B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399100</xdr:colOff>
      <xdr:row>25</xdr:row>
      <xdr:rowOff>100889</xdr:rowOff>
    </xdr:from>
    <xdr:to>
      <xdr:col>10</xdr:col>
      <xdr:colOff>448236</xdr:colOff>
      <xdr:row>34</xdr:row>
      <xdr:rowOff>0</xdr:rowOff>
    </xdr:to>
    <xdr:graphicFrame macro="">
      <xdr:nvGraphicFramePr>
        <xdr:cNvPr id="6" name="Chart 5">
          <a:extLst>
            <a:ext uri="{FF2B5EF4-FFF2-40B4-BE49-F238E27FC236}">
              <a16:creationId xmlns:a16="http://schemas.microsoft.com/office/drawing/2014/main" id="{11F16ED6-507F-49EB-BA1E-C28CB6B04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519954</xdr:colOff>
      <xdr:row>7</xdr:row>
      <xdr:rowOff>133682</xdr:rowOff>
    </xdr:from>
    <xdr:to>
      <xdr:col>7</xdr:col>
      <xdr:colOff>331931</xdr:colOff>
      <xdr:row>11</xdr:row>
      <xdr:rowOff>100262</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2D06B9B2-8F6C-4ACD-B67B-43E72F94D0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36278" y="1441035"/>
              <a:ext cx="3509918" cy="713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145657</xdr:colOff>
      <xdr:row>7</xdr:row>
      <xdr:rowOff>144454</xdr:rowOff>
    </xdr:from>
    <xdr:to>
      <xdr:col>14</xdr:col>
      <xdr:colOff>354853</xdr:colOff>
      <xdr:row>11</xdr:row>
      <xdr:rowOff>127742</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41037C22-A655-425C-8A21-A7B0397C2F9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692569" y="1451807"/>
              <a:ext cx="3290813" cy="730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93382</xdr:colOff>
      <xdr:row>36</xdr:row>
      <xdr:rowOff>4865</xdr:rowOff>
    </xdr:from>
    <xdr:to>
      <xdr:col>5</xdr:col>
      <xdr:colOff>480884</xdr:colOff>
      <xdr:row>40</xdr:row>
      <xdr:rowOff>168088</xdr:rowOff>
    </xdr:to>
    <xdr:grpSp>
      <xdr:nvGrpSpPr>
        <xdr:cNvPr id="9" name="Group 8">
          <a:extLst>
            <a:ext uri="{FF2B5EF4-FFF2-40B4-BE49-F238E27FC236}">
              <a16:creationId xmlns:a16="http://schemas.microsoft.com/office/drawing/2014/main" id="{81DCE468-2C5B-41B9-8C9E-57F5175E2CEE}"/>
            </a:ext>
          </a:extLst>
        </xdr:cNvPr>
        <xdr:cNvGrpSpPr/>
      </xdr:nvGrpSpPr>
      <xdr:grpSpPr>
        <a:xfrm>
          <a:off x="1326029" y="6728394"/>
          <a:ext cx="2236473" cy="910282"/>
          <a:chOff x="590550" y="19297650"/>
          <a:chExt cx="1847850" cy="876300"/>
        </a:xfrm>
        <a:solidFill>
          <a:srgbClr val="2ECC71"/>
        </a:solidFill>
      </xdr:grpSpPr>
      <xdr:sp macro="" textlink="PivotTable!$A$110">
        <xdr:nvSpPr>
          <xdr:cNvPr id="10" name="Rectangle: Rounded Corners 9">
            <a:extLst>
              <a:ext uri="{FF2B5EF4-FFF2-40B4-BE49-F238E27FC236}">
                <a16:creationId xmlns:a16="http://schemas.microsoft.com/office/drawing/2014/main" id="{D1D1D7AC-F4EA-4383-BABC-61CD215FD97B}"/>
              </a:ext>
            </a:extLst>
          </xdr:cNvPr>
          <xdr:cNvSpPr/>
        </xdr:nvSpPr>
        <xdr:spPr>
          <a:xfrm>
            <a:off x="590550" y="19297650"/>
            <a:ext cx="1847850" cy="723900"/>
          </a:xfrm>
          <a:prstGeom prst="round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C198DEF-7E06-42B8-8A2F-28395D796B14}" type="TxLink">
              <a:rPr lang="en-US" sz="1100" b="1" i="0" u="none" strike="noStrike">
                <a:solidFill>
                  <a:srgbClr val="000000"/>
                </a:solidFill>
                <a:latin typeface="Calibri"/>
                <a:cs typeface="Calibri"/>
              </a:rPr>
              <a:t>$23,755</a:t>
            </a:fld>
            <a:endParaRPr lang="en-US" sz="1100" b="1"/>
          </a:p>
        </xdr:txBody>
      </xdr:sp>
      <xdr:sp macro="" textlink="">
        <xdr:nvSpPr>
          <xdr:cNvPr id="11" name="TextBox 10">
            <a:extLst>
              <a:ext uri="{FF2B5EF4-FFF2-40B4-BE49-F238E27FC236}">
                <a16:creationId xmlns:a16="http://schemas.microsoft.com/office/drawing/2014/main" id="{909685BD-6ADC-4D17-9CDB-6A20072F2E89}"/>
              </a:ext>
            </a:extLst>
          </xdr:cNvPr>
          <xdr:cNvSpPr txBox="1"/>
        </xdr:nvSpPr>
        <xdr:spPr>
          <a:xfrm>
            <a:off x="866775" y="19926300"/>
            <a:ext cx="1381125" cy="2476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Total Revenue</a:t>
            </a:r>
          </a:p>
        </xdr:txBody>
      </xdr:sp>
    </xdr:grpSp>
    <xdr:clientData/>
  </xdr:twoCellAnchor>
  <xdr:twoCellAnchor>
    <xdr:from>
      <xdr:col>10</xdr:col>
      <xdr:colOff>429322</xdr:colOff>
      <xdr:row>35</xdr:row>
      <xdr:rowOff>178329</xdr:rowOff>
    </xdr:from>
    <xdr:to>
      <xdr:col>14</xdr:col>
      <xdr:colOff>296826</xdr:colOff>
      <xdr:row>40</xdr:row>
      <xdr:rowOff>86840</xdr:rowOff>
    </xdr:to>
    <xdr:grpSp>
      <xdr:nvGrpSpPr>
        <xdr:cNvPr id="12" name="Group 11">
          <a:extLst>
            <a:ext uri="{FF2B5EF4-FFF2-40B4-BE49-F238E27FC236}">
              <a16:creationId xmlns:a16="http://schemas.microsoft.com/office/drawing/2014/main" id="{CDEF9496-0BCE-4A06-ADDD-90FD8A13A774}"/>
            </a:ext>
          </a:extLst>
        </xdr:cNvPr>
        <xdr:cNvGrpSpPr/>
      </xdr:nvGrpSpPr>
      <xdr:grpSpPr>
        <a:xfrm>
          <a:off x="6592557" y="6715094"/>
          <a:ext cx="2332798" cy="842334"/>
          <a:chOff x="674543" y="19297650"/>
          <a:chExt cx="1679864" cy="876300"/>
        </a:xfrm>
      </xdr:grpSpPr>
      <xdr:sp macro="" textlink="PivotTable!$A$113">
        <xdr:nvSpPr>
          <xdr:cNvPr id="13" name="Rectangle: Rounded Corners 12">
            <a:extLst>
              <a:ext uri="{FF2B5EF4-FFF2-40B4-BE49-F238E27FC236}">
                <a16:creationId xmlns:a16="http://schemas.microsoft.com/office/drawing/2014/main" id="{5F09D3AC-57C3-40CB-B6B4-33FE0FFB47D8}"/>
              </a:ext>
            </a:extLst>
          </xdr:cNvPr>
          <xdr:cNvSpPr/>
        </xdr:nvSpPr>
        <xdr:spPr>
          <a:xfrm>
            <a:off x="674543" y="19297650"/>
            <a:ext cx="1679864" cy="723900"/>
          </a:xfrm>
          <a:prstGeom prst="roundRect">
            <a:avLst/>
          </a:prstGeom>
          <a:solidFill>
            <a:srgbClr val="18A0FB"/>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C228C2E-833A-44B7-B5D6-EEE5C9ADFC60}" type="TxLink">
              <a:rPr lang="en-US" sz="1100" b="1" i="0" u="none" strike="noStrike">
                <a:solidFill>
                  <a:srgbClr val="000000"/>
                </a:solidFill>
                <a:latin typeface="Calibri"/>
                <a:cs typeface="Calibri"/>
              </a:rPr>
              <a:t>112</a:t>
            </a:fld>
            <a:endParaRPr lang="en-US" sz="1100" b="1"/>
          </a:p>
        </xdr:txBody>
      </xdr:sp>
      <xdr:sp macro="" textlink="">
        <xdr:nvSpPr>
          <xdr:cNvPr id="14" name="TextBox 13">
            <a:extLst>
              <a:ext uri="{FF2B5EF4-FFF2-40B4-BE49-F238E27FC236}">
                <a16:creationId xmlns:a16="http://schemas.microsoft.com/office/drawing/2014/main" id="{14FB2D0A-818E-469B-A77B-17293C740AE6}"/>
              </a:ext>
            </a:extLst>
          </xdr:cNvPr>
          <xdr:cNvSpPr txBox="1"/>
        </xdr:nvSpPr>
        <xdr:spPr>
          <a:xfrm>
            <a:off x="866775" y="19926300"/>
            <a:ext cx="14573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Total No</a:t>
            </a:r>
            <a:r>
              <a:rPr lang="en-US" sz="1000" b="1" baseline="0"/>
              <a:t> of Customers</a:t>
            </a:r>
            <a:endParaRPr lang="en-US" sz="1000" b="1"/>
          </a:p>
        </xdr:txBody>
      </xdr:sp>
    </xdr:grpSp>
    <xdr:clientData/>
  </xdr:twoCellAnchor>
  <xdr:twoCellAnchor>
    <xdr:from>
      <xdr:col>6</xdr:col>
      <xdr:colOff>247384</xdr:colOff>
      <xdr:row>36</xdr:row>
      <xdr:rowOff>803</xdr:rowOff>
    </xdr:from>
    <xdr:to>
      <xdr:col>10</xdr:col>
      <xdr:colOff>91312</xdr:colOff>
      <xdr:row>40</xdr:row>
      <xdr:rowOff>168088</xdr:rowOff>
    </xdr:to>
    <xdr:grpSp>
      <xdr:nvGrpSpPr>
        <xdr:cNvPr id="15" name="Group 14">
          <a:extLst>
            <a:ext uri="{FF2B5EF4-FFF2-40B4-BE49-F238E27FC236}">
              <a16:creationId xmlns:a16="http://schemas.microsoft.com/office/drawing/2014/main" id="{2DB1B562-5835-4BFD-A226-344B3306DADC}"/>
            </a:ext>
          </a:extLst>
        </xdr:cNvPr>
        <xdr:cNvGrpSpPr/>
      </xdr:nvGrpSpPr>
      <xdr:grpSpPr>
        <a:xfrm>
          <a:off x="3945325" y="6724332"/>
          <a:ext cx="2309222" cy="914344"/>
          <a:chOff x="684420" y="19250136"/>
          <a:chExt cx="1847850" cy="923814"/>
        </a:xfrm>
      </xdr:grpSpPr>
      <xdr:sp macro="" textlink="PivotTable!$A$117">
        <xdr:nvSpPr>
          <xdr:cNvPr id="16" name="Rectangle: Rounded Corners 15">
            <a:extLst>
              <a:ext uri="{FF2B5EF4-FFF2-40B4-BE49-F238E27FC236}">
                <a16:creationId xmlns:a16="http://schemas.microsoft.com/office/drawing/2014/main" id="{D5A49F99-2672-4EAC-91C4-D9D71507A12C}"/>
              </a:ext>
            </a:extLst>
          </xdr:cNvPr>
          <xdr:cNvSpPr/>
        </xdr:nvSpPr>
        <xdr:spPr>
          <a:xfrm>
            <a:off x="684420" y="19250136"/>
            <a:ext cx="1847850" cy="7239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71F11B8-6CC1-44D0-ACEF-78813000E2F9}" type="TxLink">
              <a:rPr lang="en-US" sz="1100" b="1" i="0" u="none" strike="noStrike">
                <a:solidFill>
                  <a:schemeClr val="tx1"/>
                </a:solidFill>
                <a:latin typeface="Calibri"/>
                <a:cs typeface="Calibri"/>
              </a:rPr>
              <a:t>$212</a:t>
            </a:fld>
            <a:endParaRPr lang="en-US" sz="1100" b="1">
              <a:solidFill>
                <a:schemeClr val="tx1"/>
              </a:solidFill>
            </a:endParaRPr>
          </a:p>
        </xdr:txBody>
      </xdr:sp>
      <xdr:sp macro="" textlink="">
        <xdr:nvSpPr>
          <xdr:cNvPr id="17" name="TextBox 16">
            <a:extLst>
              <a:ext uri="{FF2B5EF4-FFF2-40B4-BE49-F238E27FC236}">
                <a16:creationId xmlns:a16="http://schemas.microsoft.com/office/drawing/2014/main" id="{91C57E3C-A1C9-41D0-9BEB-20295884741B}"/>
              </a:ext>
            </a:extLst>
          </xdr:cNvPr>
          <xdr:cNvSpPr txBox="1"/>
        </xdr:nvSpPr>
        <xdr:spPr>
          <a:xfrm>
            <a:off x="866775" y="19926300"/>
            <a:ext cx="13811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Avg</a:t>
            </a:r>
            <a:r>
              <a:rPr lang="en-US" sz="1000" b="1" baseline="0"/>
              <a:t> Order Value</a:t>
            </a:r>
            <a:endParaRPr lang="en-US" sz="1000" b="1"/>
          </a:p>
        </xdr:txBody>
      </xdr:sp>
    </xdr:grpSp>
    <xdr:clientData/>
  </xdr:twoCellAnchor>
  <xdr:twoCellAnchor>
    <xdr:from>
      <xdr:col>10</xdr:col>
      <xdr:colOff>549093</xdr:colOff>
      <xdr:row>25</xdr:row>
      <xdr:rowOff>101644</xdr:rowOff>
    </xdr:from>
    <xdr:to>
      <xdr:col>14</xdr:col>
      <xdr:colOff>504265</xdr:colOff>
      <xdr:row>33</xdr:row>
      <xdr:rowOff>168089</xdr:rowOff>
    </xdr:to>
    <xdr:graphicFrame macro="">
      <xdr:nvGraphicFramePr>
        <xdr:cNvPr id="22" name="Chart 21">
          <a:extLst>
            <a:ext uri="{FF2B5EF4-FFF2-40B4-BE49-F238E27FC236}">
              <a16:creationId xmlns:a16="http://schemas.microsoft.com/office/drawing/2014/main" id="{6C2583FA-6E29-4652-BD43-2FF4114DB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406555</xdr:colOff>
      <xdr:row>1</xdr:row>
      <xdr:rowOff>151005</xdr:rowOff>
    </xdr:from>
    <xdr:to>
      <xdr:col>11</xdr:col>
      <xdr:colOff>92927</xdr:colOff>
      <xdr:row>6</xdr:row>
      <xdr:rowOff>46463</xdr:rowOff>
    </xdr:to>
    <xdr:sp macro="" textlink="">
      <xdr:nvSpPr>
        <xdr:cNvPr id="23" name="Rectangle: Rounded Corners 22">
          <a:extLst>
            <a:ext uri="{FF2B5EF4-FFF2-40B4-BE49-F238E27FC236}">
              <a16:creationId xmlns:a16="http://schemas.microsoft.com/office/drawing/2014/main" id="{4A39628B-3AF2-4B21-BDC6-727F6659380B}"/>
            </a:ext>
          </a:extLst>
        </xdr:cNvPr>
        <xdr:cNvSpPr/>
      </xdr:nvSpPr>
      <xdr:spPr>
        <a:xfrm>
          <a:off x="2218628" y="336859"/>
          <a:ext cx="4518567" cy="824726"/>
        </a:xfrm>
        <a:prstGeom prst="roundRect">
          <a:avLst/>
        </a:prstGeom>
        <a:solidFill>
          <a:schemeClr val="tx1"/>
        </a:soli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SALES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09722224" backgroundQuery="1" createdVersion="7" refreshedVersion="7" minRefreshableVersion="3" recordCount="0" supportSubquery="1" supportAdvancedDrill="1" xr:uid="{A38FFD60-A8C2-4CCC-B109-7193898D391A}">
  <cacheSource type="external" connectionId="3"/>
  <cacheFields count="4">
    <cacheField name="[deepseek_csv_20260408_349e04 1].[Category].[Category]" caption="Category" numFmtId="0" hierarchy="9" level="1">
      <sharedItems count="3">
        <s v="Clothing"/>
        <s v="Electronics"/>
        <s v="Home"/>
      </sharedItems>
    </cacheField>
    <cacheField name="[deepseek_csv_20260408_349e04 1].[Returned].[Returned]" caption="Returned" numFmtId="0" hierarchy="13" level="1">
      <sharedItems count="2">
        <s v="No"/>
        <s v="Yes"/>
      </sharedItems>
    </cacheField>
    <cacheField name="[Measures].[Count of Customer ID]" caption="Count of Customer ID" numFmtId="0" hierarchy="21"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fieldsUsage count="2">
        <fieldUsage x="-1"/>
        <fieldUsage x="0"/>
      </fieldsUsage>
    </cacheHierarchy>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3"/>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2" memberValueDatatype="130" unbalanced="0">
      <fieldsUsage count="2">
        <fieldUsage x="-1"/>
        <fieldUsage x="1"/>
      </fieldsUsage>
    </cacheHierarchy>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oneField="1">
      <fieldsUsage count="1">
        <fieldUsage x="2"/>
      </fieldsUsage>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0185186" backgroundQuery="1" createdVersion="7" refreshedVersion="7" minRefreshableVersion="3" recordCount="0" supportSubquery="1" supportAdvancedDrill="1" xr:uid="{104EF784-6A87-411D-AF05-2CA917FD7041}">
  <cacheSource type="external" connectionId="3"/>
  <cacheFields count="3">
    <cacheField name="[deepseek_csv_20260408_349e04 1].[Month].[Month]" caption="Month" numFmtId="0" hierarchy="17" level="1">
      <sharedItems count="5">
        <s v="April"/>
        <s v="July"/>
        <s v="June"/>
        <s v="March"/>
        <s v="May"/>
      </sharedItems>
    </cacheField>
    <cacheField name="[Measures].[Sum of Price]" caption="Sum of Price" numFmtId="0" hierarchy="22"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2"/>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2" memberValueDatatype="130" unbalanced="0">
      <fieldsUsage count="2">
        <fieldUsage x="-1"/>
        <fieldUsage x="0"/>
      </fieldsUsage>
    </cacheHierarchy>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oneField="1">
      <fieldsUsage count="1">
        <fieldUsage x="1"/>
      </fieldsUsage>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0763886" backgroundQuery="1" createdVersion="7" refreshedVersion="7" minRefreshableVersion="3" recordCount="0" supportSubquery="1" supportAdvancedDrill="1" xr:uid="{A63D4A3F-C73C-466A-8C89-6E6F031E3147}">
  <cacheSource type="external" connectionId="3"/>
  <cacheFields count="2">
    <cacheField name="[deepseek_csv_20260408_349e04 1].[Region].[Region]" caption="Region" numFmtId="0" hierarchy="10" level="1">
      <sharedItems count="4">
        <s v="East"/>
        <s v="North"/>
        <s v="South"/>
        <s v="West"/>
      </sharedItems>
    </cacheField>
    <cacheField name="[Measures].[Sum of Price]" caption="Sum of Price" numFmtId="0" hierarchy="22" level="32767"/>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0"/>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oneField="1">
      <fieldsUsage count="1">
        <fieldUsage x="1"/>
      </fieldsUsage>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1342594" backgroundQuery="1" createdVersion="7" refreshedVersion="7" minRefreshableVersion="3" recordCount="0" supportSubquery="1" supportAdvancedDrill="1" xr:uid="{3B3E8CD1-50E2-4649-B474-9EDAF8839C0B}">
  <cacheSource type="external" connectionId="3"/>
  <cacheFields count="3">
    <cacheField name="[deepseek_csv_20260408_349e04 1].[Category].[Category]" caption="Category" numFmtId="0" hierarchy="9" level="1">
      <sharedItems count="3">
        <s v="Clothing"/>
        <s v="Electronics"/>
        <s v="Home"/>
      </sharedItems>
    </cacheField>
    <cacheField name="[Measures].[Sum of Price]" caption="Sum of Price" numFmtId="0" hierarchy="22"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fieldsUsage count="2">
        <fieldUsage x="-1"/>
        <fieldUsage x="0"/>
      </fieldsUsage>
    </cacheHierarchy>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2"/>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oneField="1">
      <fieldsUsage count="1">
        <fieldUsage x="1"/>
      </fieldsUsage>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2037033" backgroundQuery="1" createdVersion="7" refreshedVersion="7" minRefreshableVersion="3" recordCount="0" supportSubquery="1" supportAdvancedDrill="1" xr:uid="{ABD6D34F-6237-43ED-A0C7-161A9D416E97}">
  <cacheSource type="external" connectionId="3"/>
  <cacheFields count="3">
    <cacheField name="[deepseek_csv_20260408_349e04 1].[Category].[Category]" caption="Category" numFmtId="0" hierarchy="9" level="1">
      <sharedItems count="3">
        <s v="Clothing"/>
        <s v="Electronics"/>
        <s v="Home"/>
      </sharedItems>
    </cacheField>
    <cacheField name="[Measures].[Average of Price]" caption="Average of Price" numFmtId="0" hierarchy="23"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fieldsUsage count="2">
        <fieldUsage x="-1"/>
        <fieldUsage x="0"/>
      </fieldsUsage>
    </cacheHierarchy>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2"/>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oneField="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2500003" backgroundQuery="1" createdVersion="7" refreshedVersion="7" minRefreshableVersion="3" recordCount="0" supportSubquery="1" supportAdvancedDrill="1" xr:uid="{310E8F1D-202E-43BA-A11E-F1A2FB93DF7E}">
  <cacheSource type="external" connectionId="3"/>
  <cacheFields count="3">
    <cacheField name="[deepseek_csv_20260408_349e04].[Customer Name].[Customer Name]" caption="Customer Name" numFmtId="0" level="1">
      <sharedItems count="10">
        <s v="Cary Grant"/>
        <s v="Emily Blunt"/>
        <s v="Freddie Mercury"/>
        <s v="Hugh Jackman"/>
        <s v="Lupita Nyongo"/>
        <s v="Mia Wong"/>
        <s v="Quincy Adams"/>
        <s v="Steve Jobs"/>
        <s v="Tom Hanks"/>
        <s v="Zachary Levi"/>
      </sharedItems>
    </cacheField>
    <cacheField name="[Measures].[Sum of Price 2]" caption="Sum of Price 2" numFmtId="0" hierarchy="20"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2" memberValueDatatype="130" unbalanced="0">
      <fieldsUsage count="2">
        <fieldUsage x="-1"/>
        <fieldUsage x="0"/>
      </fieldsUsage>
    </cacheHierarchy>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2"/>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oneField="1">
      <fieldsUsage count="1">
        <fieldUsage x="1"/>
      </fieldsUsage>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3078703" backgroundQuery="1" createdVersion="7" refreshedVersion="7" minRefreshableVersion="3" recordCount="0" supportSubquery="1" supportAdvancedDrill="1" xr:uid="{317D0E85-C727-4111-AC04-BF974602D021}">
  <cacheSource type="external" connectionId="3"/>
  <cacheFields count="3">
    <cacheField name="[deepseek_csv_20260408_349e04 1].[Region].[Region]" caption="Region" numFmtId="0" hierarchy="10" level="1">
      <sharedItems count="4">
        <s v="East"/>
        <s v="North"/>
        <s v="South"/>
        <s v="West"/>
      </sharedItems>
    </cacheField>
    <cacheField name="[deepseek_csv_20260408_349e04 1].[Category].[Category]" caption="Category" numFmtId="0" hierarchy="9" level="1">
      <sharedItems count="3">
        <s v="Clothing"/>
        <s v="Electronics"/>
        <s v="Home"/>
      </sharedItems>
    </cacheField>
    <cacheField name="[Measures].[Sum of Quantity]" caption="Sum of Quantity" numFmtId="0" hierarchy="24" level="32767"/>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fieldsUsage count="2">
        <fieldUsage x="-1"/>
        <fieldUsage x="1"/>
      </fieldsUsage>
    </cacheHierarchy>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0"/>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oneField="1">
      <fieldsUsage count="1">
        <fieldUsage x="2"/>
      </fieldsUsage>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3541665" backgroundQuery="1" createdVersion="7" refreshedVersion="7" minRefreshableVersion="3" recordCount="0" supportSubquery="1" supportAdvancedDrill="1" xr:uid="{C2BFA82D-2DE3-45B7-8974-0F4E2953992F}">
  <cacheSource type="external" connectionId="3"/>
  <cacheFields count="3">
    <cacheField name="[deepseek_csv_20260408_349e04 1].[Returned].[Returned]" caption="Returned" numFmtId="0" hierarchy="13" level="1">
      <sharedItems count="2">
        <s v="No"/>
        <s v="Yes"/>
      </sharedItems>
    </cacheField>
    <cacheField name="[Measures].[Sum of Price]" caption="Sum of Price" numFmtId="0" hierarchy="22"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2"/>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2" memberValueDatatype="130" unbalanced="0">
      <fieldsUsage count="2">
        <fieldUsage x="-1"/>
        <fieldUsage x="0"/>
      </fieldsUsage>
    </cacheHierarchy>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oneField="1">
      <fieldsUsage count="1">
        <fieldUsage x="1"/>
      </fieldsUsage>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4004627" backgroundQuery="1" createdVersion="7" refreshedVersion="7" minRefreshableVersion="3" recordCount="0" supportSubquery="1" supportAdvancedDrill="1" xr:uid="{6D704FE0-866E-45F1-AF87-F1D66A273BB1}">
  <cacheSource type="external" connectionId="3"/>
  <cacheFields count="4">
    <cacheField name="[deepseek_csv_20260408_349e04 1].[Day].[Day]" caption="Day" numFmtId="0" hierarchy="16" level="1">
      <sharedItems count="7">
        <s v="Friday"/>
        <s v="Monday"/>
        <s v="Saturday"/>
        <s v="Sunday"/>
        <s v="Thursday"/>
        <s v="Tuesday"/>
        <s v="Wednesday"/>
      </sharedItems>
    </cacheField>
    <cacheField name="[Measures].[Sum of Price]" caption="Sum of Price" numFmtId="0" hierarchy="22" level="32767"/>
    <cacheField name="[Measures].[Count of Customer ID]" caption="Count of Customer ID" numFmtId="0" hierarchy="21"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3"/>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2" memberValueDatatype="130" unbalanced="0">
      <fieldsUsage count="2">
        <fieldUsage x="-1"/>
        <fieldUsage x="0"/>
      </fieldsUsage>
    </cacheHierarchy>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oneField="1">
      <fieldsUsage count="1">
        <fieldUsage x="2"/>
      </fieldsUsage>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oneField="1">
      <fieldsUsage count="1">
        <fieldUsage x="1"/>
      </fieldsUsage>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4467589" backgroundQuery="1" createdVersion="7" refreshedVersion="7" minRefreshableVersion="3" recordCount="0" supportSubquery="1" supportAdvancedDrill="1" xr:uid="{863BC7DC-271B-4105-9B25-937449B312A3}">
  <cacheSource type="external" connectionId="3"/>
  <cacheFields count="5">
    <cacheField name="[deepseek_csv_20260408_349e04 1].[Category].[Category]" caption="Category" numFmtId="0" hierarchy="9" level="1">
      <sharedItems count="3">
        <s v="Clothing"/>
        <s v="Electronics"/>
        <s v="Home"/>
      </sharedItems>
    </cacheField>
    <cacheField name="[Measures].[Min of Price]" caption="Min of Price" numFmtId="0" hierarchy="25" level="32767"/>
    <cacheField name="[Measures].[Max of Price]" caption="Max of Price" numFmtId="0" hierarchy="26" level="32767"/>
    <cacheField name="[Measures].[Average of Price]" caption="Average of Price" numFmtId="0" hierarchy="23"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fieldsUsage count="2">
        <fieldUsage x="-1"/>
        <fieldUsage x="0"/>
      </fieldsUsage>
    </cacheHierarchy>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4"/>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oneField="1">
      <fieldsUsage count="1">
        <fieldUsage x="3"/>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oneField="1">
      <fieldsUsage count="1">
        <fieldUsage x="1"/>
      </fieldsUsage>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4814812" backgroundQuery="1" createdVersion="7" refreshedVersion="7" minRefreshableVersion="3" recordCount="0" supportSubquery="1" supportAdvancedDrill="1" xr:uid="{69B9A451-7581-4389-8E97-F3053785F417}">
  <cacheSource type="external" connectionId="3"/>
  <cacheFields count="2">
    <cacheField name="[Measures].[Total Revenue]" caption="Total Revenue" numFmtId="0" hierarchy="27"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1"/>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oneField="1">
      <fieldsUsage count="1">
        <fieldUsage x="0"/>
      </fieldsUsage>
    </cacheHierarchy>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5046297" backgroundQuery="1" createdVersion="7" refreshedVersion="7" minRefreshableVersion="3" recordCount="0" supportSubquery="1" supportAdvancedDrill="1" xr:uid="{0DD85D9A-4656-4269-9B81-B87128A62837}">
  <cacheSource type="external" connectionId="3"/>
  <cacheFields count="2">
    <cacheField name="[Measures].[Total Number Of Customers]" caption="Total Number Of Customers" numFmtId="0" hierarchy="28"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1"/>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oneField="1">
      <fieldsUsage count="1">
        <fieldUsage x="0"/>
      </fieldsUsage>
    </cacheHierarchy>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63815162035" backgroundQuery="1" createdVersion="7" refreshedVersion="7" minRefreshableVersion="3" recordCount="0" supportSubquery="1" supportAdvancedDrill="1" xr:uid="{A8AF922E-B1DA-46B3-88F3-F62CD63334B7}">
  <cacheSource type="external" connectionId="3"/>
  <cacheFields count="2">
    <cacheField name="[Measures].[Average Order Value]" caption="Average Order Value" numFmtId="0" hierarchy="29" level="32767"/>
    <cacheField name="[deepseek_csv_20260408_349e04 1].[Region].[Region]" caption="Region" numFmtId="0" hierarchy="10" level="1">
      <sharedItems containsSemiMixedTypes="0" containsNonDate="0" containsString="0"/>
    </cacheField>
  </cacheFields>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fieldsUsage count="2">
        <fieldUsage x="-1"/>
        <fieldUsage x="1"/>
      </fieldsUsage>
    </cacheHierarchy>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oneField="1">
      <fieldsUsage count="1">
        <fieldUsage x="0"/>
      </fieldsUsage>
    </cacheHierarchy>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dimensions count="3">
    <dimension name="deepseek_csv_20260408_349e04" uniqueName="[deepseek_csv_20260408_349e04]" caption="deepseek_csv_20260408_349e04"/>
    <dimension name="deepseek_csv_20260408_349e04 1" uniqueName="[deepseek_csv_20260408_349e04 1]" caption="deepseek_csv_20260408_349e04 1"/>
    <dimension measure="1" name="Measures" uniqueName="[Measures]" caption="Measures"/>
  </dimensions>
  <measureGroups count="2">
    <measureGroup name="deepseek_csv_20260408_349e04" caption="deepseek_csv_20260408_349e04"/>
    <measureGroup name="deepseek_csv_20260408_349e04 1" caption="deepseek_csv_20260408_349e04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0.648266782409" backgroundQuery="1" createdVersion="3" refreshedVersion="7" minRefreshableVersion="3" recordCount="0" supportSubquery="1" supportAdvancedDrill="1" xr:uid="{5190CD18-7CAC-4FC9-8054-2AC39FD1E30A}">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eepseek_csv_20260408_349e04].[Customer Name]" caption="Customer Name" attribute="1" defaultMemberUniqueName="[deepseek_csv_20260408_349e04].[Customer Name].[All]" allUniqueName="[deepseek_csv_20260408_349e04].[Customer Name].[All]" dimensionUniqueName="[deepseek_csv_20260408_349e04]" displayFolder="" count="0" memberValueDatatype="130" unbalanced="0"/>
    <cacheHierarchy uniqueName="[deepseek_csv_20260408_349e04].[Category]" caption="Category" attribute="1" defaultMemberUniqueName="[deepseek_csv_20260408_349e04].[Category].[All]" allUniqueName="[deepseek_csv_20260408_349e04].[Category].[All]" dimensionUniqueName="[deepseek_csv_20260408_349e04]" displayFolder="" count="0" memberValueDatatype="130" unbalanced="0"/>
    <cacheHierarchy uniqueName="[deepseek_csv_20260408_349e04].[Region]" caption="Region" attribute="1" defaultMemberUniqueName="[deepseek_csv_20260408_349e04].[Region].[All]" allUniqueName="[deepseek_csv_20260408_349e04].[Region].[All]" dimensionUniqueName="[deepseek_csv_20260408_349e04]" displayFolder="" count="0" memberValueDatatype="130" unbalanced="0"/>
    <cacheHierarchy uniqueName="[deepseek_csv_20260408_349e04].[Customer ID]" caption="Customer ID" attribute="1" defaultMemberUniqueName="[deepseek_csv_20260408_349e04].[Customer ID].[All]" allUniqueName="[deepseek_csv_20260408_349e04].[Customer ID].[All]" dimensionUniqueName="[deepseek_csv_20260408_349e04]" displayFolder="" count="0" memberValueDatatype="130" unbalanced="0"/>
    <cacheHierarchy uniqueName="[deepseek_csv_20260408_349e04].[Quantity]" caption="Quantity" attribute="1" defaultMemberUniqueName="[deepseek_csv_20260408_349e04].[Quantity].[All]" allUniqueName="[deepseek_csv_20260408_349e04].[Quantity].[All]" dimensionUniqueName="[deepseek_csv_20260408_349e04]" displayFolder="" count="0" memberValueDatatype="20" unbalanced="0"/>
    <cacheHierarchy uniqueName="[deepseek_csv_20260408_349e04].[Returned]" caption="Returned" attribute="1" defaultMemberUniqueName="[deepseek_csv_20260408_349e04].[Returned].[All]" allUniqueName="[deepseek_csv_20260408_349e04].[Returned].[All]" dimensionUniqueName="[deepseek_csv_20260408_349e04]" displayFolder="" count="0" memberValueDatatype="130" unbalanced="0"/>
    <cacheHierarchy uniqueName="[deepseek_csv_20260408_349e04].[Price]" caption="Price" attribute="1" defaultMemberUniqueName="[deepseek_csv_20260408_349e04].[Price].[All]" allUniqueName="[deepseek_csv_20260408_349e04].[Price].[All]" dimensionUniqueName="[deepseek_csv_20260408_349e04]" displayFolder="" count="0" memberValueDatatype="5" unbalanced="0"/>
    <cacheHierarchy uniqueName="[deepseek_csv_20260408_349e04].[Date Of Purchase]" caption="Date Of Purchase" attribute="1" time="1" defaultMemberUniqueName="[deepseek_csv_20260408_349e04].[Date Of Purchase].[All]" allUniqueName="[deepseek_csv_20260408_349e04].[Date Of Purchase].[All]" dimensionUniqueName="[deepseek_csv_20260408_349e04]" displayFolder="" count="0" memberValueDatatype="7" unbalanced="0"/>
    <cacheHierarchy uniqueName="[deepseek_csv_20260408_349e04 1].[Customer Name]" caption="Customer Name" attribute="1" defaultMemberUniqueName="[deepseek_csv_20260408_349e04 1].[Customer Name].[All]" allUniqueName="[deepseek_csv_20260408_349e04 1].[Customer Name].[All]" dimensionUniqueName="[deepseek_csv_20260408_349e04 1]" displayFolder="" count="0" memberValueDatatype="130" unbalanced="0"/>
    <cacheHierarchy uniqueName="[deepseek_csv_20260408_349e04 1].[Category]" caption="Category" attribute="1" defaultMemberUniqueName="[deepseek_csv_20260408_349e04 1].[Category].[All]" allUniqueName="[deepseek_csv_20260408_349e04 1].[Category].[All]" dimensionUniqueName="[deepseek_csv_20260408_349e04 1]" displayFolder="" count="2" memberValueDatatype="130" unbalanced="0"/>
    <cacheHierarchy uniqueName="[deepseek_csv_20260408_349e04 1].[Region]" caption="Region" attribute="1" defaultMemberUniqueName="[deepseek_csv_20260408_349e04 1].[Region].[All]" allUniqueName="[deepseek_csv_20260408_349e04 1].[Region].[All]" dimensionUniqueName="[deepseek_csv_20260408_349e04 1]" displayFolder="" count="2" memberValueDatatype="130" unbalanced="0"/>
    <cacheHierarchy uniqueName="[deepseek_csv_20260408_349e04 1].[Customer ID]" caption="Customer ID" attribute="1" defaultMemberUniqueName="[deepseek_csv_20260408_349e04 1].[Customer ID].[All]" allUniqueName="[deepseek_csv_20260408_349e04 1].[Customer ID].[All]" dimensionUniqueName="[deepseek_csv_20260408_349e04 1]" displayFolder="" count="0" memberValueDatatype="130" unbalanced="0"/>
    <cacheHierarchy uniqueName="[deepseek_csv_20260408_349e04 1].[Quantity]" caption="Quantity" attribute="1" defaultMemberUniqueName="[deepseek_csv_20260408_349e04 1].[Quantity].[All]" allUniqueName="[deepseek_csv_20260408_349e04 1].[Quantity].[All]" dimensionUniqueName="[deepseek_csv_20260408_349e04 1]" displayFolder="" count="0" memberValueDatatype="20" unbalanced="0"/>
    <cacheHierarchy uniqueName="[deepseek_csv_20260408_349e04 1].[Returned]" caption="Returned" attribute="1" defaultMemberUniqueName="[deepseek_csv_20260408_349e04 1].[Returned].[All]" allUniqueName="[deepseek_csv_20260408_349e04 1].[Returned].[All]" dimensionUniqueName="[deepseek_csv_20260408_349e04 1]" displayFolder="" count="0" memberValueDatatype="130" unbalanced="0"/>
    <cacheHierarchy uniqueName="[deepseek_csv_20260408_349e04 1].[Price]" caption="Price" attribute="1" defaultMemberUniqueName="[deepseek_csv_20260408_349e04 1].[Price].[All]" allUniqueName="[deepseek_csv_20260408_349e04 1].[Price].[All]" dimensionUniqueName="[deepseek_csv_20260408_349e04 1]" displayFolder="" count="0" memberValueDatatype="5" unbalanced="0"/>
    <cacheHierarchy uniqueName="[deepseek_csv_20260408_349e04 1].[Date Of Purchase]" caption="Date Of Purchase" attribute="1" time="1" defaultMemberUniqueName="[deepseek_csv_20260408_349e04 1].[Date Of Purchase].[All]" allUniqueName="[deepseek_csv_20260408_349e04 1].[Date Of Purchase].[All]" dimensionUniqueName="[deepseek_csv_20260408_349e04 1]" displayFolder="" count="0" memberValueDatatype="7" unbalanced="0"/>
    <cacheHierarchy uniqueName="[deepseek_csv_20260408_349e04 1].[Day]" caption="Day" attribute="1" defaultMemberUniqueName="[deepseek_csv_20260408_349e04 1].[Day].[All]" allUniqueName="[deepseek_csv_20260408_349e04 1].[Day].[All]" dimensionUniqueName="[deepseek_csv_20260408_349e04 1]" displayFolder="" count="0" memberValueDatatype="130" unbalanced="0"/>
    <cacheHierarchy uniqueName="[deepseek_csv_20260408_349e04 1].[Month]" caption="Month" attribute="1" defaultMemberUniqueName="[deepseek_csv_20260408_349e04 1].[Month].[All]" allUniqueName="[deepseek_csv_20260408_349e04 1].[Month].[All]" dimensionUniqueName="[deepseek_csv_20260408_349e04 1]" displayFolder="" count="0" memberValueDatatype="130" unbalanced="0"/>
    <cacheHierarchy uniqueName="[deepseek_csv_20260408_349e04 1].[Date Of Purchase (Month)]" caption="Date Of Purchase (Month)" attribute="1" defaultMemberUniqueName="[deepseek_csv_20260408_349e04 1].[Date Of Purchase (Month)].[All]" allUniqueName="[deepseek_csv_20260408_349e04 1].[Date Of Purchase (Month)].[All]" dimensionUniqueName="[deepseek_csv_20260408_349e04 1]" displayFolder="" count="0" memberValueDatatype="130" unbalanced="0"/>
    <cacheHierarchy uniqueName="[deepseek_csv_20260408_349e04 1].[Date Of Purchase (Month Index)]" caption="Date Of Purchase (Month Index)" attribute="1" defaultMemberUniqueName="[deepseek_csv_20260408_349e04 1].[Date Of Purchase (Month Index)].[All]" allUniqueName="[deepseek_csv_20260408_349e04 1].[Date Of Purchase (Month Index)].[All]" dimensionUniqueName="[deepseek_csv_20260408_349e04 1]" displayFolder="" count="0" memberValueDatatype="20" unbalanced="0" hidden="1"/>
    <cacheHierarchy uniqueName="[Measures].[Sum of Price 2]" caption="Sum of Price 2" measure="1" displayFolder="" measureGroup="deepseek_csv_20260408_349e04" count="0">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deepseek_csv_20260408_349e04 1"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eepseek_csv_20260408_349e04 1" count="0">
      <extLst>
        <ext xmlns:x15="http://schemas.microsoft.com/office/spreadsheetml/2010/11/main" uri="{B97F6D7D-B522-45F9-BDA1-12C45D357490}">
          <x15:cacheHierarchy aggregatedColumn="12"/>
        </ext>
      </extLst>
    </cacheHierarchy>
    <cacheHierarchy uniqueName="[Measures].[Min of Price]" caption="Min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Max of Price]" caption="Max of Price" measure="1" displayFolder="" measureGroup="deepseek_csv_20260408_349e04 1"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deepseek_csv_20260408_349e04 1" count="0"/>
    <cacheHierarchy uniqueName="[Measures].[Total Number Of Customers]" caption="Total Number Of Customers" measure="1" displayFolder="" measureGroup="deepseek_csv_20260408_349e04 1" count="0"/>
    <cacheHierarchy uniqueName="[Measures].[Average Order Value]" caption="Average Order Value" measure="1" displayFolder="" measureGroup="deepseek_csv_20260408_349e04 1" count="0"/>
    <cacheHierarchy uniqueName="[Measures].[__XL_Count deepseek_csv_20260408_349e04]" caption="__XL_Count deepseek_csv_20260408_349e04" measure="1" displayFolder="" measureGroup="deepseek_csv_20260408_349e04" count="0" hidden="1"/>
    <cacheHierarchy uniqueName="[Measures].[__XL_Count deepseek_csv_20260408_349e04 1]" caption="__XL_Count deepseek_csv_20260408_349e04 1" measure="1" displayFolder="" measureGroup="deepseek_csv_20260408_349e04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025628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1AD6A3-E2D5-4550-9E2A-118DBC55B456}" name="PivotTable24" cacheId="55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6:A1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CFF3EF-9309-4488-BAA6-F3755B8CC0A6}" name="PivotTable23" cacheId="55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2:A1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6C48B6-26C3-4E34-934D-D1C52FE806F3}" name="PivotTable22" cacheId="5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9:A1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58F47-BA02-417A-B90E-793B7124F5A7}" name="PivotTable21" cacheId="5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Category">
  <location ref="A84:D88"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Average of Price" fld="3" subtotal="average" baseField="0" baseItem="0"/>
    <dataField name="Min of Price" fld="1" subtotal="min" baseField="0" baseItem="0"/>
    <dataField name="Max of Price" fld="2" subtotal="max" baseField="0" baseItem="0"/>
  </dataFields>
  <formats count="2">
    <format dxfId="5">
      <pivotArea outline="0" collapsedLevelsAreSubtotals="1" fieldPosition="0"/>
    </format>
    <format dxfId="4">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pivotHierarchy dragToData="1"/>
    <pivotHierarchy dragToData="1" caption="Min of Price"/>
    <pivotHierarchy dragToData="1" caption="Max of Pric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1A84C1-2A83-4CF5-A3A6-74D193618014}" name="PivotTable20" cacheId="5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Days">
  <location ref="A73:C8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Sum of Price" fld="1" baseField="0" baseItem="0" numFmtId="165"/>
    <dataField name="Count of Customer ID" fld="2" subtotal="count" baseField="0" baseItem="0"/>
  </dataFields>
  <formats count="2">
    <format dxfId="7">
      <pivotArea outline="0" collapsedLevelsAreSubtotals="1" fieldPosition="0">
        <references count="1">
          <reference field="4294967294" count="1" selected="0">
            <x v="0"/>
          </reference>
        </references>
      </pivotArea>
    </format>
    <format dxfId="6">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BF2934-C9D0-4AC0-9BE5-881F60B185E2}" name="PivotTable19" cacheId="53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turned">
  <location ref="A68:B7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ice" fld="1" baseField="0" baseItem="0" numFmtId="165"/>
  </dataFields>
  <formats count="2">
    <format dxfId="9">
      <pivotArea outline="0" collapsedLevelsAreSubtotals="1" fieldPosition="0"/>
    </format>
    <format dxfId="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A348F9-355F-42D3-903D-E7EA5F9BD94A}" name="PivotTable18" cacheId="5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Region" colHeaderCaption="Category">
  <location ref="A59:E65"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Sum of Quantity" fld="2"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005438-974D-47BA-AB95-114F33B6E927}" name="PivotTable17" cacheId="5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Customer Name">
  <location ref="A45:B56"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ice" fld="1" baseField="0" baseItem="0" numFmtId="165"/>
  </dataFields>
  <formats count="2">
    <format dxfId="11">
      <pivotArea outline="0" collapsedLevelsAreSubtotals="1"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78D5FA-92C2-4E12-857F-16B4590E3681}" name="PivotTable16" cacheId="5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ategory">
  <location ref="A38:B4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Price" fld="1" subtotal="average" baseField="0" baseItem="0" numFmtId="165"/>
  </dataFields>
  <formats count="2">
    <format dxfId="13">
      <pivotArea outline="0" collapsedLevelsAreSubtotals="1"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D61355-CA86-4495-BE72-0CB8A216D21A}" name="PivotTable15" cacheId="5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ategory">
  <location ref="A26:B3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ice" fld="1" baseField="0" baseItem="0" numFmtId="165"/>
  </dataFields>
  <formats count="2">
    <format dxfId="19">
      <pivotArea outline="0" collapsedLevelsAreSubtotals="1" fieldPosition="0"/>
    </format>
    <format dxfId="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E6ADBA-DA97-4327-8D6A-C91CCCBB42FD}" name="PivotTable14" cacheId="5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A19:B2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ice" fld="1" baseField="0" baseItem="0" numFmtId="165"/>
  </dataFields>
  <formats count="2">
    <format dxfId="17">
      <pivotArea outline="0" collapsedLevelsAreSubtotals="1" fieldPosition="0"/>
    </format>
    <format dxfId="1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2929C0-5111-41A7-BE6F-C8F5ECDA03CE}" name="PivotTable13" cacheId="5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
  <location ref="A11:B1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ice" fld="1" baseField="0" baseItem="0" numFmtId="165"/>
  </dataFields>
  <formats count="2">
    <format dxfId="15">
      <pivotArea outline="0" collapsedLevelsAreSubtotals="1" fieldPosition="0"/>
    </format>
    <format dxfId="1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DDE9C4-D6BE-414C-9319-A3B6F9DAA9A9}" name="PivotTable12" cacheId="5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ategory" colHeaderCaption="Returned">
  <location ref="A3:D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Customer I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eepseek_csv_20260408_349e04">
        <x15:activeTabTopLevelEntity name="[deepseek_csv_20260408_349e04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73CEE6C-3D62-4166-9361-B79CE66CD681}" autoFormatId="16" applyNumberFormats="0" applyBorderFormats="0" applyFontFormats="0" applyPatternFormats="0" applyAlignmentFormats="0" applyWidthHeightFormats="0">
  <queryTableRefresh nextId="14" unboundColumnsRight="3">
    <queryTableFields count="10">
      <queryTableField id="1" name="Customer Name" tableColumnId="1"/>
      <queryTableField id="2" name="Category" tableColumnId="2"/>
      <queryTableField id="3" name="Region" tableColumnId="3"/>
      <queryTableField id="4" name="Customer ID" tableColumnId="4"/>
      <queryTableField id="5" name="Quantity" tableColumnId="5"/>
      <queryTableField id="6" name="Returned" tableColumnId="6"/>
      <queryTableField id="7" name="Price" tableColumnId="7"/>
      <queryTableField id="8" dataBound="0" tableColumnId="8"/>
      <queryTableField id="10" dataBound="0" tableColumnId="10"/>
      <queryTableField id="11" dataBound="0" tableColumnId="11"/>
    </queryTableFields>
    <queryTableDeletedFields count="3">
      <deletedField name="Date Of Purchase"/>
      <deletedField name="Date Of Purchase"/>
      <deletedField name="Date Of Purchase"/>
    </queryTableDeletedFields>
  </queryTableRefresh>
  <extLst>
    <ext xmlns:x15="http://schemas.microsoft.com/office/spreadsheetml/2010/11/main" uri="{883FBD77-0823-4a55-B5E3-86C4891E6966}">
      <x15:queryTable sourceDataName="Query - deepseek_csv_20260408_349e04"/>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89718C-3D0F-4DE3-97A6-95942EF8BBA4}" sourceName="[deepseek_csv_20260408_349e04 1].[Region]">
  <pivotTables>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22"/>
    <pivotTable tabId="7" name="PivotTable23"/>
    <pivotTable tabId="7" name="PivotTable24"/>
  </pivotTables>
  <data>
    <olap pivotCacheId="1402562887">
      <levels count="2">
        <level uniqueName="[deepseek_csv_20260408_349e04 1].[Region].[(All)]" sourceCaption="(All)" count="0"/>
        <level uniqueName="[deepseek_csv_20260408_349e04 1].[Region].[Region]" sourceCaption="Region" count="4">
          <ranges>
            <range startItem="0">
              <i n="[deepseek_csv_20260408_349e04 1].[Region].&amp;[East]" c="East"/>
              <i n="[deepseek_csv_20260408_349e04 1].[Region].&amp;[North]" c="North"/>
              <i n="[deepseek_csv_20260408_349e04 1].[Region].&amp;[South]" c="South"/>
              <i n="[deepseek_csv_20260408_349e04 1].[Region].&amp;[West]" c="West"/>
            </range>
          </ranges>
        </level>
      </levels>
      <selections count="1">
        <selection n="[deepseek_csv_20260408_349e04 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2882DD-27BE-491F-B102-6504A09C76FA}" sourceName="[deepseek_csv_20260408_349e04 1].[Category]">
  <pivotTables>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22"/>
    <pivotTable tabId="7" name="PivotTable23"/>
    <pivotTable tabId="7" name="PivotTable24"/>
  </pivotTables>
  <data>
    <olap pivotCacheId="1402562887">
      <levels count="2">
        <level uniqueName="[deepseek_csv_20260408_349e04 1].[Category].[(All)]" sourceCaption="(All)" count="0"/>
        <level uniqueName="[deepseek_csv_20260408_349e04 1].[Category].[Category]" sourceCaption="Category" count="3">
          <ranges>
            <range startItem="0">
              <i n="[deepseek_csv_20260408_349e04 1].[Category].&amp;[Clothing]" c="Clothing"/>
              <i n="[deepseek_csv_20260408_349e04 1].[Category].&amp;[Electronics]" c="Electronics"/>
              <i n="[deepseek_csv_20260408_349e04 1].[Category].&amp;[Home]" c="Home"/>
            </range>
          </ranges>
        </level>
      </levels>
      <selections count="1">
        <selection n="[deepseek_csv_20260408_349e04 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72186C-90DC-41C6-89DE-A0C0B74C930A}" cache="Slicer_Region" caption="Region" columnCount="4" level="1" rowHeight="241300"/>
  <slicer name="Category" xr10:uid="{82E56BBC-BBA2-41E0-BC9B-AA17F783CDA9}" cache="Slicer_Category" caption="Category" columnCount="3"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7B3D329-1C08-443B-94A8-8606BBCC39C0}" cache="Slicer_Region" caption="Region" columnCount="4" level="1" style="Slicer Style 1" rowHeight="241300"/>
  <slicer name="Category 1" xr10:uid="{5904A388-7C0D-4774-9E36-41FC476D12E5}" cache="Slicer_Category" caption="Category" columnCount="3" level="1" style="Slicer Style 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BDCE9F-DF3A-4AC5-A86F-EA772D294714}" name="deepseek_csv_20260408_349e04" displayName="deepseek_csv_20260408_349e04" ref="A1:J113" tableType="queryTable" totalsRowShown="0">
  <autoFilter ref="A1:J113" xr:uid="{86BDCE9F-DF3A-4AC5-A86F-EA772D294714}"/>
  <tableColumns count="10">
    <tableColumn id="1" xr3:uid="{42FB166A-9186-4F83-949A-9709CC26617C}" uniqueName="1" name="Customer Name" queryTableFieldId="1" dataDxfId="27"/>
    <tableColumn id="2" xr3:uid="{7CE39EFF-1BC8-47A5-8568-48D872F9CAAA}" uniqueName="2" name="Category" queryTableFieldId="2" dataDxfId="26"/>
    <tableColumn id="3" xr3:uid="{AD7BD236-31B6-4F20-A707-F9707F0D3D06}" uniqueName="3" name="Region" queryTableFieldId="3" dataDxfId="25"/>
    <tableColumn id="4" xr3:uid="{78075830-0993-4518-9788-F5DDC26D06CB}" uniqueName="4" name="Customer ID" queryTableFieldId="4" dataDxfId="24"/>
    <tableColumn id="5" xr3:uid="{189F749D-8EC2-4CC0-9C9B-C26C8AD9EFF8}" uniqueName="5" name="Quantity" queryTableFieldId="5" dataDxfId="23"/>
    <tableColumn id="6" xr3:uid="{90F3C83D-1A64-41C9-AC07-4B18BD9FBF68}" uniqueName="6" name="Returned" queryTableFieldId="6" dataDxfId="22"/>
    <tableColumn id="7" xr3:uid="{57AA9BC7-E2F9-4796-87BD-32C853897D1E}" uniqueName="7" name="Price" queryTableFieldId="7" dataDxfId="21"/>
    <tableColumn id="8" xr3:uid="{D5877183-9321-45AB-8F51-15D07F8A37CB}" uniqueName="8" name="Date Of Purchase " queryTableFieldId="8" dataDxfId="20"/>
    <tableColumn id="10" xr3:uid="{715D5D9C-92ED-4227-929D-FE8D61859DF4}" uniqueName="10" name="Day" queryTableFieldId="10" dataDxfId="29">
      <calculatedColumnFormula>TEXT(deepseek_csv_20260408_349e04[[#This Row],[Date Of Purchase ]], "dddd")</calculatedColumnFormula>
    </tableColumn>
    <tableColumn id="11" xr3:uid="{F2537DA2-010C-42AE-8091-DC7D1F86CA44}" uniqueName="11" name="Month" queryTableFieldId="11" dataDxfId="28">
      <calculatedColumnFormula>TEXT(deepseek_csv_20260408_349e04[[#This Row],[Date Of Purchase ]],"mmmm")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9F87-077E-4524-8479-15F045E33477}">
  <dimension ref="A3:E117"/>
  <sheetViews>
    <sheetView zoomScale="75" zoomScaleNormal="75" workbookViewId="0">
      <selection activeCell="C99" sqref="C99"/>
    </sheetView>
  </sheetViews>
  <sheetFormatPr defaultRowHeight="15" x14ac:dyDescent="0.25"/>
  <cols>
    <col min="1" max="1" width="27.140625" bestFit="1" customWidth="1"/>
    <col min="2" max="2" width="22.28515625" bestFit="1" customWidth="1"/>
    <col min="3" max="3" width="16.7109375" bestFit="1" customWidth="1"/>
    <col min="4" max="4" width="17.28515625" bestFit="1" customWidth="1"/>
    <col min="5" max="5" width="16.28515625" bestFit="1" customWidth="1"/>
    <col min="6" max="7" width="14.85546875" bestFit="1" customWidth="1"/>
    <col min="8" max="111" width="21.42578125" bestFit="1" customWidth="1"/>
    <col min="112" max="112" width="14.85546875" bestFit="1" customWidth="1"/>
  </cols>
  <sheetData>
    <row r="3" spans="1:4" x14ac:dyDescent="0.25">
      <c r="A3" s="5" t="s">
        <v>248</v>
      </c>
      <c r="B3" s="5" t="s">
        <v>5</v>
      </c>
    </row>
    <row r="4" spans="1:4" x14ac:dyDescent="0.25">
      <c r="A4" s="5" t="s">
        <v>1</v>
      </c>
      <c r="B4" t="s">
        <v>11</v>
      </c>
      <c r="C4" t="s">
        <v>16</v>
      </c>
      <c r="D4" t="s">
        <v>239</v>
      </c>
    </row>
    <row r="5" spans="1:4" x14ac:dyDescent="0.25">
      <c r="A5" s="6" t="s">
        <v>13</v>
      </c>
      <c r="B5" s="1">
        <v>23</v>
      </c>
      <c r="C5" s="1">
        <v>17</v>
      </c>
      <c r="D5" s="1">
        <v>40</v>
      </c>
    </row>
    <row r="6" spans="1:4" x14ac:dyDescent="0.25">
      <c r="A6" s="6" t="s">
        <v>8</v>
      </c>
      <c r="B6" s="1">
        <v>26</v>
      </c>
      <c r="C6" s="1">
        <v>13</v>
      </c>
      <c r="D6" s="1">
        <v>39</v>
      </c>
    </row>
    <row r="7" spans="1:4" x14ac:dyDescent="0.25">
      <c r="A7" s="6" t="s">
        <v>34</v>
      </c>
      <c r="B7" s="1">
        <v>17</v>
      </c>
      <c r="C7" s="1">
        <v>16</v>
      </c>
      <c r="D7" s="1">
        <v>33</v>
      </c>
    </row>
    <row r="8" spans="1:4" x14ac:dyDescent="0.25">
      <c r="A8" s="6" t="s">
        <v>239</v>
      </c>
      <c r="B8" s="1">
        <v>66</v>
      </c>
      <c r="C8" s="1">
        <v>46</v>
      </c>
      <c r="D8" s="1">
        <v>112</v>
      </c>
    </row>
    <row r="11" spans="1:4" x14ac:dyDescent="0.25">
      <c r="A11" s="5" t="s">
        <v>242</v>
      </c>
      <c r="B11" s="2" t="s">
        <v>240</v>
      </c>
    </row>
    <row r="12" spans="1:4" x14ac:dyDescent="0.25">
      <c r="A12" s="6" t="s">
        <v>243</v>
      </c>
      <c r="B12" s="2">
        <v>4830.33</v>
      </c>
    </row>
    <row r="13" spans="1:4" x14ac:dyDescent="0.25">
      <c r="A13" s="6" t="s">
        <v>244</v>
      </c>
      <c r="B13" s="2">
        <v>2994.89</v>
      </c>
    </row>
    <row r="14" spans="1:4" x14ac:dyDescent="0.25">
      <c r="A14" s="6" t="s">
        <v>245</v>
      </c>
      <c r="B14" s="2">
        <v>7189.75</v>
      </c>
    </row>
    <row r="15" spans="1:4" x14ac:dyDescent="0.25">
      <c r="A15" s="6" t="s">
        <v>246</v>
      </c>
      <c r="B15" s="2">
        <v>1744.93</v>
      </c>
    </row>
    <row r="16" spans="1:4" x14ac:dyDescent="0.25">
      <c r="A16" s="6" t="s">
        <v>247</v>
      </c>
      <c r="B16" s="2">
        <v>6994.75</v>
      </c>
    </row>
    <row r="17" spans="1:2" x14ac:dyDescent="0.25">
      <c r="A17" s="6" t="s">
        <v>239</v>
      </c>
      <c r="B17" s="2">
        <v>23754.65</v>
      </c>
    </row>
    <row r="19" spans="1:2" x14ac:dyDescent="0.25">
      <c r="A19" s="5" t="s">
        <v>2</v>
      </c>
      <c r="B19" s="2" t="s">
        <v>240</v>
      </c>
    </row>
    <row r="20" spans="1:2" x14ac:dyDescent="0.25">
      <c r="A20" s="6" t="s">
        <v>18</v>
      </c>
      <c r="B20" s="2">
        <v>7249.74</v>
      </c>
    </row>
    <row r="21" spans="1:2" x14ac:dyDescent="0.25">
      <c r="A21" s="6" t="s">
        <v>9</v>
      </c>
      <c r="B21" s="2">
        <v>6144.82</v>
      </c>
    </row>
    <row r="22" spans="1:2" x14ac:dyDescent="0.25">
      <c r="A22" s="6" t="s">
        <v>14</v>
      </c>
      <c r="B22" s="2">
        <v>4674.8</v>
      </c>
    </row>
    <row r="23" spans="1:2" x14ac:dyDescent="0.25">
      <c r="A23" s="6" t="s">
        <v>25</v>
      </c>
      <c r="B23" s="2">
        <v>5685.29</v>
      </c>
    </row>
    <row r="24" spans="1:2" x14ac:dyDescent="0.25">
      <c r="A24" s="6" t="s">
        <v>239</v>
      </c>
      <c r="B24" s="2">
        <v>23754.65</v>
      </c>
    </row>
    <row r="26" spans="1:2" x14ac:dyDescent="0.25">
      <c r="A26" s="5" t="s">
        <v>1</v>
      </c>
      <c r="B26" s="2" t="s">
        <v>240</v>
      </c>
    </row>
    <row r="27" spans="1:2" x14ac:dyDescent="0.25">
      <c r="A27" s="6" t="s">
        <v>13</v>
      </c>
      <c r="B27" s="2">
        <v>2600.2399999999998</v>
      </c>
    </row>
    <row r="28" spans="1:2" x14ac:dyDescent="0.25">
      <c r="A28" s="6" t="s">
        <v>8</v>
      </c>
      <c r="B28" s="2">
        <v>17119.669999999998</v>
      </c>
    </row>
    <row r="29" spans="1:2" x14ac:dyDescent="0.25">
      <c r="A29" s="6" t="s">
        <v>34</v>
      </c>
      <c r="B29" s="2">
        <v>4034.74</v>
      </c>
    </row>
    <row r="30" spans="1:2" x14ac:dyDescent="0.25">
      <c r="A30" s="6" t="s">
        <v>239</v>
      </c>
      <c r="B30" s="2">
        <v>23754.65</v>
      </c>
    </row>
    <row r="38" spans="1:2" x14ac:dyDescent="0.25">
      <c r="A38" s="5" t="s">
        <v>1</v>
      </c>
      <c r="B38" s="2" t="s">
        <v>250</v>
      </c>
    </row>
    <row r="39" spans="1:2" x14ac:dyDescent="0.25">
      <c r="A39" s="6" t="s">
        <v>13</v>
      </c>
      <c r="B39" s="2">
        <v>65.006</v>
      </c>
    </row>
    <row r="40" spans="1:2" x14ac:dyDescent="0.25">
      <c r="A40" s="6" t="s">
        <v>8</v>
      </c>
      <c r="B40" s="2">
        <v>438.96589743589738</v>
      </c>
    </row>
    <row r="41" spans="1:2" x14ac:dyDescent="0.25">
      <c r="A41" s="6" t="s">
        <v>34</v>
      </c>
      <c r="B41" s="2">
        <v>122.26484848484847</v>
      </c>
    </row>
    <row r="42" spans="1:2" x14ac:dyDescent="0.25">
      <c r="A42" s="6" t="s">
        <v>239</v>
      </c>
      <c r="B42" s="2">
        <v>212.09508928571429</v>
      </c>
    </row>
    <row r="45" spans="1:2" x14ac:dyDescent="0.25">
      <c r="A45" s="5" t="s">
        <v>0</v>
      </c>
      <c r="B45" s="2" t="s">
        <v>240</v>
      </c>
    </row>
    <row r="46" spans="1:2" x14ac:dyDescent="0.25">
      <c r="A46" s="6" t="s">
        <v>217</v>
      </c>
      <c r="B46" s="2">
        <v>799.99</v>
      </c>
    </row>
    <row r="47" spans="1:2" x14ac:dyDescent="0.25">
      <c r="A47" s="6" t="s">
        <v>116</v>
      </c>
      <c r="B47" s="2">
        <v>599.99</v>
      </c>
    </row>
    <row r="48" spans="1:2" x14ac:dyDescent="0.25">
      <c r="A48" s="6" t="s">
        <v>170</v>
      </c>
      <c r="B48" s="2">
        <v>679.99</v>
      </c>
    </row>
    <row r="49" spans="1:5" x14ac:dyDescent="0.25">
      <c r="A49" s="6" t="s">
        <v>122</v>
      </c>
      <c r="B49" s="2">
        <v>749.99</v>
      </c>
    </row>
    <row r="50" spans="1:5" x14ac:dyDescent="0.25">
      <c r="A50" s="6" t="s">
        <v>182</v>
      </c>
      <c r="B50" s="2">
        <v>749.99</v>
      </c>
    </row>
    <row r="51" spans="1:5" x14ac:dyDescent="0.25">
      <c r="A51" s="6" t="s">
        <v>38</v>
      </c>
      <c r="B51" s="2">
        <v>599.99</v>
      </c>
    </row>
    <row r="52" spans="1:5" x14ac:dyDescent="0.25">
      <c r="A52" s="6" t="s">
        <v>90</v>
      </c>
      <c r="B52" s="2">
        <v>899.99</v>
      </c>
    </row>
    <row r="53" spans="1:5" x14ac:dyDescent="0.25">
      <c r="A53" s="6" t="s">
        <v>48</v>
      </c>
      <c r="B53" s="2">
        <v>999.99</v>
      </c>
    </row>
    <row r="54" spans="1:5" x14ac:dyDescent="0.25">
      <c r="A54" s="6" t="s">
        <v>146</v>
      </c>
      <c r="B54" s="2">
        <v>899.99</v>
      </c>
    </row>
    <row r="55" spans="1:5" x14ac:dyDescent="0.25">
      <c r="A55" s="6" t="s">
        <v>211</v>
      </c>
      <c r="B55" s="2">
        <v>629.99</v>
      </c>
    </row>
    <row r="56" spans="1:5" x14ac:dyDescent="0.25">
      <c r="A56" s="6" t="s">
        <v>239</v>
      </c>
      <c r="B56" s="2">
        <v>7609.9</v>
      </c>
    </row>
    <row r="59" spans="1:5" x14ac:dyDescent="0.25">
      <c r="A59" s="5" t="s">
        <v>251</v>
      </c>
      <c r="B59" s="5" t="s">
        <v>1</v>
      </c>
    </row>
    <row r="60" spans="1:5" x14ac:dyDescent="0.25">
      <c r="A60" s="5" t="s">
        <v>2</v>
      </c>
      <c r="B60" t="s">
        <v>13</v>
      </c>
      <c r="C60" t="s">
        <v>8</v>
      </c>
      <c r="D60" t="s">
        <v>34</v>
      </c>
      <c r="E60" t="s">
        <v>239</v>
      </c>
    </row>
    <row r="61" spans="1:5" x14ac:dyDescent="0.25">
      <c r="A61" s="6" t="s">
        <v>18</v>
      </c>
      <c r="B61" s="1">
        <v>13</v>
      </c>
      <c r="C61" s="1">
        <v>17</v>
      </c>
      <c r="D61" s="1">
        <v>15</v>
      </c>
      <c r="E61" s="1">
        <v>45</v>
      </c>
    </row>
    <row r="62" spans="1:5" x14ac:dyDescent="0.25">
      <c r="A62" s="6" t="s">
        <v>9</v>
      </c>
      <c r="B62" s="1">
        <v>21</v>
      </c>
      <c r="C62" s="1">
        <v>21</v>
      </c>
      <c r="D62" s="1">
        <v>13</v>
      </c>
      <c r="E62" s="1">
        <v>55</v>
      </c>
    </row>
    <row r="63" spans="1:5" x14ac:dyDescent="0.25">
      <c r="A63" s="6" t="s">
        <v>14</v>
      </c>
      <c r="B63" s="1">
        <v>18</v>
      </c>
      <c r="C63" s="1">
        <v>14</v>
      </c>
      <c r="D63" s="1">
        <v>18</v>
      </c>
      <c r="E63" s="1">
        <v>50</v>
      </c>
    </row>
    <row r="64" spans="1:5" x14ac:dyDescent="0.25">
      <c r="A64" s="6" t="s">
        <v>25</v>
      </c>
      <c r="B64" s="1">
        <v>20</v>
      </c>
      <c r="C64" s="1">
        <v>16</v>
      </c>
      <c r="D64" s="1">
        <v>14</v>
      </c>
      <c r="E64" s="1">
        <v>50</v>
      </c>
    </row>
    <row r="65" spans="1:5" x14ac:dyDescent="0.25">
      <c r="A65" s="6" t="s">
        <v>239</v>
      </c>
      <c r="B65" s="1">
        <v>72</v>
      </c>
      <c r="C65" s="1">
        <v>68</v>
      </c>
      <c r="D65" s="1">
        <v>60</v>
      </c>
      <c r="E65" s="1">
        <v>200</v>
      </c>
    </row>
    <row r="68" spans="1:5" x14ac:dyDescent="0.25">
      <c r="A68" s="5" t="s">
        <v>5</v>
      </c>
      <c r="B68" s="2" t="s">
        <v>240</v>
      </c>
    </row>
    <row r="69" spans="1:5" x14ac:dyDescent="0.25">
      <c r="A69" s="6" t="s">
        <v>11</v>
      </c>
      <c r="B69" s="2">
        <v>14659.51</v>
      </c>
    </row>
    <row r="70" spans="1:5" x14ac:dyDescent="0.25">
      <c r="A70" s="6" t="s">
        <v>16</v>
      </c>
      <c r="B70" s="2">
        <v>9095.14</v>
      </c>
    </row>
    <row r="71" spans="1:5" x14ac:dyDescent="0.25">
      <c r="A71" s="6" t="s">
        <v>239</v>
      </c>
      <c r="B71" s="2">
        <v>23754.65</v>
      </c>
    </row>
    <row r="73" spans="1:5" x14ac:dyDescent="0.25">
      <c r="A73" s="5" t="s">
        <v>259</v>
      </c>
      <c r="B73" s="2" t="s">
        <v>240</v>
      </c>
      <c r="C73" t="s">
        <v>248</v>
      </c>
    </row>
    <row r="74" spans="1:5" x14ac:dyDescent="0.25">
      <c r="A74" s="6" t="s">
        <v>252</v>
      </c>
      <c r="B74" s="2">
        <v>3854.84</v>
      </c>
      <c r="C74" s="1">
        <v>19</v>
      </c>
    </row>
    <row r="75" spans="1:5" x14ac:dyDescent="0.25">
      <c r="A75" s="6" t="s">
        <v>253</v>
      </c>
      <c r="B75" s="2">
        <v>3920.36</v>
      </c>
      <c r="C75" s="1">
        <v>17</v>
      </c>
    </row>
    <row r="76" spans="1:5" x14ac:dyDescent="0.25">
      <c r="A76" s="6" t="s">
        <v>254</v>
      </c>
      <c r="B76" s="2">
        <v>2949.88</v>
      </c>
      <c r="C76" s="1">
        <v>14</v>
      </c>
    </row>
    <row r="77" spans="1:5" x14ac:dyDescent="0.25">
      <c r="A77" s="6" t="s">
        <v>255</v>
      </c>
      <c r="B77" s="2">
        <v>3454.91</v>
      </c>
      <c r="C77" s="1">
        <v>15</v>
      </c>
    </row>
    <row r="78" spans="1:5" x14ac:dyDescent="0.25">
      <c r="A78" s="6" t="s">
        <v>256</v>
      </c>
      <c r="B78" s="2">
        <v>3104.9</v>
      </c>
      <c r="C78" s="1">
        <v>15</v>
      </c>
    </row>
    <row r="79" spans="1:5" x14ac:dyDescent="0.25">
      <c r="A79" s="6" t="s">
        <v>257</v>
      </c>
      <c r="B79" s="2">
        <v>2639.89</v>
      </c>
      <c r="C79" s="1">
        <v>16</v>
      </c>
    </row>
    <row r="80" spans="1:5" x14ac:dyDescent="0.25">
      <c r="A80" s="6" t="s">
        <v>258</v>
      </c>
      <c r="B80" s="2">
        <v>3829.87</v>
      </c>
      <c r="C80" s="1">
        <v>16</v>
      </c>
    </row>
    <row r="81" spans="1:4" x14ac:dyDescent="0.25">
      <c r="A81" s="6" t="s">
        <v>239</v>
      </c>
      <c r="B81" s="2">
        <v>23754.65</v>
      </c>
      <c r="C81" s="1">
        <v>112</v>
      </c>
    </row>
    <row r="84" spans="1:4" x14ac:dyDescent="0.25">
      <c r="A84" s="5" t="s">
        <v>1</v>
      </c>
      <c r="B84" s="2" t="s">
        <v>250</v>
      </c>
      <c r="C84" s="2" t="s">
        <v>260</v>
      </c>
      <c r="D84" s="2" t="s">
        <v>261</v>
      </c>
    </row>
    <row r="85" spans="1:4" x14ac:dyDescent="0.25">
      <c r="A85" s="6" t="s">
        <v>13</v>
      </c>
      <c r="B85" s="2">
        <v>65.006</v>
      </c>
      <c r="C85" s="2">
        <v>0</v>
      </c>
      <c r="D85" s="2">
        <v>120.5</v>
      </c>
    </row>
    <row r="86" spans="1:4" x14ac:dyDescent="0.25">
      <c r="A86" s="6" t="s">
        <v>8</v>
      </c>
      <c r="B86" s="2">
        <v>438.96589743589738</v>
      </c>
      <c r="C86" s="2">
        <v>0</v>
      </c>
      <c r="D86" s="2">
        <v>999.99</v>
      </c>
    </row>
    <row r="87" spans="1:4" x14ac:dyDescent="0.25">
      <c r="A87" s="6" t="s">
        <v>34</v>
      </c>
      <c r="B87" s="2">
        <v>122.26484848484847</v>
      </c>
      <c r="C87" s="2">
        <v>0</v>
      </c>
      <c r="D87" s="2">
        <v>399.99</v>
      </c>
    </row>
    <row r="88" spans="1:4" x14ac:dyDescent="0.25">
      <c r="A88" s="6" t="s">
        <v>239</v>
      </c>
      <c r="B88" s="2">
        <v>212.09508928571429</v>
      </c>
      <c r="C88" s="2">
        <v>0</v>
      </c>
      <c r="D88" s="2">
        <v>999.99</v>
      </c>
    </row>
    <row r="109" spans="1:1" x14ac:dyDescent="0.25">
      <c r="A109" t="s">
        <v>262</v>
      </c>
    </row>
    <row r="110" spans="1:1" x14ac:dyDescent="0.25">
      <c r="A110" s="2">
        <v>23754.65</v>
      </c>
    </row>
    <row r="112" spans="1:1" x14ac:dyDescent="0.25">
      <c r="A112" t="s">
        <v>263</v>
      </c>
    </row>
    <row r="113" spans="1:1" x14ac:dyDescent="0.25">
      <c r="A113" s="1">
        <v>112</v>
      </c>
    </row>
    <row r="116" spans="1:1" x14ac:dyDescent="0.25">
      <c r="A116" t="s">
        <v>264</v>
      </c>
    </row>
    <row r="117" spans="1:1" x14ac:dyDescent="0.25">
      <c r="A117" s="2">
        <v>212.09508928571429</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9000-F7FA-4BFE-BBE1-CEB3F8384D29}">
  <dimension ref="A1"/>
  <sheetViews>
    <sheetView tabSelected="1" zoomScale="51" zoomScaleNormal="51" workbookViewId="0">
      <selection activeCell="R36" sqref="R36"/>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76E8B-7E96-4BC1-9531-83797C005958}">
  <dimension ref="A1:J113"/>
  <sheetViews>
    <sheetView workbookViewId="0">
      <selection sqref="A1:J113"/>
    </sheetView>
  </sheetViews>
  <sheetFormatPr defaultRowHeight="15" x14ac:dyDescent="0.25"/>
  <cols>
    <col min="1" max="1" width="18.28515625" bestFit="1" customWidth="1"/>
    <col min="2" max="2" width="11.140625" bestFit="1" customWidth="1"/>
    <col min="3" max="3" width="9.42578125" bestFit="1" customWidth="1"/>
    <col min="4" max="4" width="14.140625" bestFit="1" customWidth="1"/>
    <col min="5" max="5" width="11" style="4" bestFit="1" customWidth="1"/>
    <col min="6" max="6" width="11.5703125" bestFit="1" customWidth="1"/>
    <col min="7" max="7" width="7.7109375" style="2" bestFit="1" customWidth="1"/>
    <col min="8" max="8" width="18.5703125" style="2" bestFit="1" customWidth="1"/>
    <col min="9" max="9" width="19.7109375" style="3" bestFit="1" customWidth="1"/>
    <col min="10" max="10" width="11.42578125" bestFit="1" customWidth="1"/>
    <col min="11" max="11" width="9.28515625" bestFit="1" customWidth="1"/>
  </cols>
  <sheetData>
    <row r="1" spans="1:10" x14ac:dyDescent="0.25">
      <c r="A1" t="s">
        <v>0</v>
      </c>
      <c r="B1" t="s">
        <v>1</v>
      </c>
      <c r="C1" t="s">
        <v>2</v>
      </c>
      <c r="D1" t="s">
        <v>3</v>
      </c>
      <c r="E1" s="4" t="s">
        <v>4</v>
      </c>
      <c r="F1" t="s">
        <v>5</v>
      </c>
      <c r="G1" s="2" t="s">
        <v>6</v>
      </c>
      <c r="H1" s="3" t="s">
        <v>249</v>
      </c>
      <c r="I1" t="s">
        <v>241</v>
      </c>
      <c r="J1" t="s">
        <v>242</v>
      </c>
    </row>
    <row r="2" spans="1:10" x14ac:dyDescent="0.25">
      <c r="A2" s="1" t="s">
        <v>7</v>
      </c>
      <c r="B2" s="1" t="s">
        <v>8</v>
      </c>
      <c r="C2" s="1" t="s">
        <v>9</v>
      </c>
      <c r="D2" s="1" t="s">
        <v>10</v>
      </c>
      <c r="E2" s="4">
        <v>2</v>
      </c>
      <c r="F2" s="1" t="s">
        <v>11</v>
      </c>
      <c r="G2" s="2">
        <v>299.99</v>
      </c>
      <c r="H2" s="3">
        <v>45366</v>
      </c>
      <c r="I2" t="str">
        <f>TEXT(deepseek_csv_20260408_349e04[[#This Row],[Date Of Purchase ]], "dddd")</f>
        <v>Friday</v>
      </c>
      <c r="J2" t="str">
        <f>TEXT(deepseek_csv_20260408_349e04[[#This Row],[Date Of Purchase ]],"mmmm")</f>
        <v>March</v>
      </c>
    </row>
    <row r="3" spans="1:10" x14ac:dyDescent="0.25">
      <c r="A3" s="1" t="s">
        <v>12</v>
      </c>
      <c r="B3" s="1" t="s">
        <v>13</v>
      </c>
      <c r="C3" s="1" t="s">
        <v>14</v>
      </c>
      <c r="D3" s="1" t="s">
        <v>15</v>
      </c>
      <c r="E3" s="4">
        <v>1</v>
      </c>
      <c r="F3" s="1" t="s">
        <v>16</v>
      </c>
      <c r="G3" s="2">
        <v>49.99</v>
      </c>
      <c r="H3" s="3">
        <v>45367</v>
      </c>
      <c r="I3" t="str">
        <f>TEXT(deepseek_csv_20260408_349e04[[#This Row],[Date Of Purchase ]], "dddd")</f>
        <v>Saturday</v>
      </c>
      <c r="J3" t="str">
        <f>TEXT(deepseek_csv_20260408_349e04[[#This Row],[Date Of Purchase ]],"mmmm")</f>
        <v>March</v>
      </c>
    </row>
    <row r="4" spans="1:10" x14ac:dyDescent="0.25">
      <c r="A4" s="1" t="s">
        <v>17</v>
      </c>
      <c r="B4" s="1" t="s">
        <v>8</v>
      </c>
      <c r="C4" s="1" t="s">
        <v>18</v>
      </c>
      <c r="D4" s="1" t="s">
        <v>19</v>
      </c>
      <c r="E4" s="4">
        <v>3</v>
      </c>
      <c r="F4" s="1" t="s">
        <v>11</v>
      </c>
      <c r="G4" s="2">
        <v>0</v>
      </c>
      <c r="H4" s="3">
        <v>45368</v>
      </c>
      <c r="I4" t="str">
        <f>TEXT(deepseek_csv_20260408_349e04[[#This Row],[Date Of Purchase ]], "dddd")</f>
        <v>Sunday</v>
      </c>
      <c r="J4" t="str">
        <f>TEXT(deepseek_csv_20260408_349e04[[#This Row],[Date Of Purchase ]],"mmmm")</f>
        <v>March</v>
      </c>
    </row>
    <row r="5" spans="1:10" x14ac:dyDescent="0.25">
      <c r="A5" s="1" t="s">
        <v>20</v>
      </c>
      <c r="B5" s="1" t="s">
        <v>13</v>
      </c>
      <c r="C5" s="1" t="s">
        <v>9</v>
      </c>
      <c r="D5" s="1" t="s">
        <v>21</v>
      </c>
      <c r="E5" s="4">
        <v>2</v>
      </c>
      <c r="F5" s="1" t="s">
        <v>11</v>
      </c>
      <c r="G5" s="2">
        <v>79.989999999999995</v>
      </c>
      <c r="H5" s="3">
        <v>45369</v>
      </c>
      <c r="I5" t="str">
        <f>TEXT(deepseek_csv_20260408_349e04[[#This Row],[Date Of Purchase ]], "dddd")</f>
        <v>Monday</v>
      </c>
      <c r="J5" t="str">
        <f>TEXT(deepseek_csv_20260408_349e04[[#This Row],[Date Of Purchase ]],"mmmm")</f>
        <v>March</v>
      </c>
    </row>
    <row r="6" spans="1:10" x14ac:dyDescent="0.25">
      <c r="A6" s="1" t="s">
        <v>22</v>
      </c>
      <c r="B6" s="1" t="s">
        <v>8</v>
      </c>
      <c r="C6" s="1" t="s">
        <v>14</v>
      </c>
      <c r="D6" s="1" t="s">
        <v>23</v>
      </c>
      <c r="E6" s="4">
        <v>1</v>
      </c>
      <c r="F6" s="1" t="s">
        <v>16</v>
      </c>
      <c r="G6" s="2">
        <v>399.99</v>
      </c>
      <c r="H6" s="3">
        <v>45371</v>
      </c>
      <c r="I6" t="str">
        <f>TEXT(deepseek_csv_20260408_349e04[[#This Row],[Date Of Purchase ]], "dddd")</f>
        <v>Wednesday</v>
      </c>
      <c r="J6" t="str">
        <f>TEXT(deepseek_csv_20260408_349e04[[#This Row],[Date Of Purchase ]],"mmmm")</f>
        <v>March</v>
      </c>
    </row>
    <row r="7" spans="1:10" x14ac:dyDescent="0.25">
      <c r="A7" s="1" t="s">
        <v>24</v>
      </c>
      <c r="B7" s="1" t="s">
        <v>13</v>
      </c>
      <c r="C7" s="1" t="s">
        <v>25</v>
      </c>
      <c r="D7" s="1" t="s">
        <v>26</v>
      </c>
      <c r="E7" s="4">
        <v>2</v>
      </c>
      <c r="F7" s="1" t="s">
        <v>16</v>
      </c>
      <c r="G7" s="2">
        <v>59.99</v>
      </c>
      <c r="H7" s="3">
        <v>45373</v>
      </c>
      <c r="I7" t="str">
        <f>TEXT(deepseek_csv_20260408_349e04[[#This Row],[Date Of Purchase ]], "dddd")</f>
        <v>Friday</v>
      </c>
      <c r="J7" t="str">
        <f>TEXT(deepseek_csv_20260408_349e04[[#This Row],[Date Of Purchase ]],"mmmm")</f>
        <v>March</v>
      </c>
    </row>
    <row r="8" spans="1:10" x14ac:dyDescent="0.25">
      <c r="A8" s="1" t="s">
        <v>27</v>
      </c>
      <c r="B8" s="1" t="s">
        <v>8</v>
      </c>
      <c r="C8" s="1" t="s">
        <v>9</v>
      </c>
      <c r="D8" s="1" t="s">
        <v>28</v>
      </c>
      <c r="E8" s="4">
        <v>3</v>
      </c>
      <c r="F8" s="1" t="s">
        <v>11</v>
      </c>
      <c r="G8" s="2">
        <v>0</v>
      </c>
      <c r="H8" s="3">
        <v>45373</v>
      </c>
      <c r="I8" t="str">
        <f>TEXT(deepseek_csv_20260408_349e04[[#This Row],[Date Of Purchase ]], "dddd")</f>
        <v>Friday</v>
      </c>
      <c r="J8" t="str">
        <f>TEXT(deepseek_csv_20260408_349e04[[#This Row],[Date Of Purchase ]],"mmmm")</f>
        <v>March</v>
      </c>
    </row>
    <row r="9" spans="1:10" x14ac:dyDescent="0.25">
      <c r="A9" s="1" t="s">
        <v>29</v>
      </c>
      <c r="B9" s="1" t="s">
        <v>13</v>
      </c>
      <c r="C9" s="1" t="s">
        <v>18</v>
      </c>
      <c r="D9" s="1" t="s">
        <v>30</v>
      </c>
      <c r="E9" s="4">
        <v>1</v>
      </c>
      <c r="F9" s="1" t="s">
        <v>16</v>
      </c>
      <c r="G9" s="2">
        <v>89.99</v>
      </c>
      <c r="H9" s="3">
        <v>45376</v>
      </c>
      <c r="I9" t="str">
        <f>TEXT(deepseek_csv_20260408_349e04[[#This Row],[Date Of Purchase ]], "dddd")</f>
        <v>Monday</v>
      </c>
      <c r="J9" t="str">
        <f>TEXT(deepseek_csv_20260408_349e04[[#This Row],[Date Of Purchase ]],"mmmm")</f>
        <v>March</v>
      </c>
    </row>
    <row r="10" spans="1:10" x14ac:dyDescent="0.25">
      <c r="A10" s="1" t="s">
        <v>31</v>
      </c>
      <c r="B10" s="1" t="s">
        <v>8</v>
      </c>
      <c r="C10" s="1" t="s">
        <v>25</v>
      </c>
      <c r="D10" s="1" t="s">
        <v>32</v>
      </c>
      <c r="E10" s="4">
        <v>2</v>
      </c>
      <c r="F10" s="1" t="s">
        <v>11</v>
      </c>
      <c r="G10" s="2">
        <v>0</v>
      </c>
      <c r="H10" s="3">
        <v>45377</v>
      </c>
      <c r="I10" t="str">
        <f>TEXT(deepseek_csv_20260408_349e04[[#This Row],[Date Of Purchase ]], "dddd")</f>
        <v>Tuesday</v>
      </c>
      <c r="J10" t="str">
        <f>TEXT(deepseek_csv_20260408_349e04[[#This Row],[Date Of Purchase ]],"mmmm")</f>
        <v>March</v>
      </c>
    </row>
    <row r="11" spans="1:10" x14ac:dyDescent="0.25">
      <c r="A11" s="1" t="s">
        <v>33</v>
      </c>
      <c r="B11" s="1" t="s">
        <v>34</v>
      </c>
      <c r="C11" s="1" t="s">
        <v>9</v>
      </c>
      <c r="D11" s="1" t="s">
        <v>35</v>
      </c>
      <c r="E11" s="4">
        <v>1</v>
      </c>
      <c r="F11" s="1" t="s">
        <v>11</v>
      </c>
      <c r="G11" s="2">
        <v>120</v>
      </c>
      <c r="H11" s="3">
        <v>45378</v>
      </c>
      <c r="I11" t="str">
        <f>TEXT(deepseek_csv_20260408_349e04[[#This Row],[Date Of Purchase ]], "dddd")</f>
        <v>Wednesday</v>
      </c>
      <c r="J11" t="str">
        <f>TEXT(deepseek_csv_20260408_349e04[[#This Row],[Date Of Purchase ]],"mmmm")</f>
        <v>March</v>
      </c>
    </row>
    <row r="12" spans="1:10" x14ac:dyDescent="0.25">
      <c r="A12" s="1" t="s">
        <v>36</v>
      </c>
      <c r="B12" s="1" t="s">
        <v>13</v>
      </c>
      <c r="C12" s="1" t="s">
        <v>14</v>
      </c>
      <c r="D12" s="1" t="s">
        <v>37</v>
      </c>
      <c r="E12" s="4">
        <v>3</v>
      </c>
      <c r="F12" s="1" t="s">
        <v>16</v>
      </c>
      <c r="G12" s="2">
        <v>0</v>
      </c>
      <c r="H12" s="3">
        <v>45379</v>
      </c>
      <c r="I12" t="str">
        <f>TEXT(deepseek_csv_20260408_349e04[[#This Row],[Date Of Purchase ]], "dddd")</f>
        <v>Thursday</v>
      </c>
      <c r="J12" t="str">
        <f>TEXT(deepseek_csv_20260408_349e04[[#This Row],[Date Of Purchase ]],"mmmm")</f>
        <v>March</v>
      </c>
    </row>
    <row r="13" spans="1:10" x14ac:dyDescent="0.25">
      <c r="A13" s="1" t="s">
        <v>38</v>
      </c>
      <c r="B13" s="1" t="s">
        <v>8</v>
      </c>
      <c r="C13" s="1" t="s">
        <v>18</v>
      </c>
      <c r="D13" s="1" t="s">
        <v>39</v>
      </c>
      <c r="E13" s="4">
        <v>1</v>
      </c>
      <c r="F13" s="1" t="s">
        <v>11</v>
      </c>
      <c r="G13" s="2">
        <v>599.99</v>
      </c>
      <c r="H13" s="3">
        <v>45380</v>
      </c>
      <c r="I13" t="str">
        <f>TEXT(deepseek_csv_20260408_349e04[[#This Row],[Date Of Purchase ]], "dddd")</f>
        <v>Friday</v>
      </c>
      <c r="J13" t="str">
        <f>TEXT(deepseek_csv_20260408_349e04[[#This Row],[Date Of Purchase ]],"mmmm")</f>
        <v>March</v>
      </c>
    </row>
    <row r="14" spans="1:10" x14ac:dyDescent="0.25">
      <c r="A14" s="1" t="s">
        <v>40</v>
      </c>
      <c r="B14" s="1" t="s">
        <v>13</v>
      </c>
      <c r="C14" s="1" t="s">
        <v>9</v>
      </c>
      <c r="D14" s="1" t="s">
        <v>41</v>
      </c>
      <c r="E14" s="4">
        <v>2</v>
      </c>
      <c r="F14" s="1" t="s">
        <v>11</v>
      </c>
      <c r="G14" s="2">
        <v>45</v>
      </c>
      <c r="H14" s="3">
        <v>45382</v>
      </c>
      <c r="I14" t="str">
        <f>TEXT(deepseek_csv_20260408_349e04[[#This Row],[Date Of Purchase ]], "dddd")</f>
        <v>Sunday</v>
      </c>
      <c r="J14" t="str">
        <f>TEXT(deepseek_csv_20260408_349e04[[#This Row],[Date Of Purchase ]],"mmmm")</f>
        <v>March</v>
      </c>
    </row>
    <row r="15" spans="1:10" x14ac:dyDescent="0.25">
      <c r="A15" s="1" t="s">
        <v>42</v>
      </c>
      <c r="B15" s="1" t="s">
        <v>8</v>
      </c>
      <c r="C15" s="1" t="s">
        <v>14</v>
      </c>
      <c r="D15" s="1" t="s">
        <v>43</v>
      </c>
      <c r="E15" s="4">
        <v>3</v>
      </c>
      <c r="F15" s="1" t="s">
        <v>16</v>
      </c>
      <c r="G15" s="2">
        <v>299.99</v>
      </c>
      <c r="H15" s="3">
        <v>45383</v>
      </c>
      <c r="I15" t="str">
        <f>TEXT(deepseek_csv_20260408_349e04[[#This Row],[Date Of Purchase ]], "dddd")</f>
        <v>Monday</v>
      </c>
      <c r="J15" t="str">
        <f>TEXT(deepseek_csv_20260408_349e04[[#This Row],[Date Of Purchase ]],"mmmm")</f>
        <v>April</v>
      </c>
    </row>
    <row r="16" spans="1:10" x14ac:dyDescent="0.25">
      <c r="A16" s="1" t="s">
        <v>44</v>
      </c>
      <c r="B16" s="1" t="s">
        <v>34</v>
      </c>
      <c r="C16" s="1" t="s">
        <v>18</v>
      </c>
      <c r="D16" s="1" t="s">
        <v>45</v>
      </c>
      <c r="E16" s="4">
        <v>1</v>
      </c>
      <c r="F16" s="1" t="s">
        <v>11</v>
      </c>
      <c r="G16" s="2">
        <v>49.99</v>
      </c>
      <c r="H16" s="3">
        <v>45384</v>
      </c>
      <c r="I16" t="str">
        <f>TEXT(deepseek_csv_20260408_349e04[[#This Row],[Date Of Purchase ]], "dddd")</f>
        <v>Tuesday</v>
      </c>
      <c r="J16" t="str">
        <f>TEXT(deepseek_csv_20260408_349e04[[#This Row],[Date Of Purchase ]],"mmmm")</f>
        <v>April</v>
      </c>
    </row>
    <row r="17" spans="1:10" x14ac:dyDescent="0.25">
      <c r="A17" s="1" t="s">
        <v>46</v>
      </c>
      <c r="B17" s="1" t="s">
        <v>13</v>
      </c>
      <c r="C17" s="1" t="s">
        <v>25</v>
      </c>
      <c r="D17" s="1" t="s">
        <v>47</v>
      </c>
      <c r="E17" s="4">
        <v>2</v>
      </c>
      <c r="F17" s="1" t="s">
        <v>16</v>
      </c>
      <c r="G17" s="2">
        <v>65</v>
      </c>
      <c r="H17" s="3">
        <v>45385</v>
      </c>
      <c r="I17" t="str">
        <f>TEXT(deepseek_csv_20260408_349e04[[#This Row],[Date Of Purchase ]], "dddd")</f>
        <v>Wednesday</v>
      </c>
      <c r="J17" t="str">
        <f>TEXT(deepseek_csv_20260408_349e04[[#This Row],[Date Of Purchase ]],"mmmm")</f>
        <v>April</v>
      </c>
    </row>
    <row r="18" spans="1:10" x14ac:dyDescent="0.25">
      <c r="A18" s="1" t="s">
        <v>48</v>
      </c>
      <c r="B18" s="1" t="s">
        <v>8</v>
      </c>
      <c r="C18" s="1" t="s">
        <v>9</v>
      </c>
      <c r="D18" s="1" t="s">
        <v>49</v>
      </c>
      <c r="E18" s="4">
        <v>1</v>
      </c>
      <c r="F18" s="1" t="s">
        <v>11</v>
      </c>
      <c r="G18" s="2">
        <v>999.99</v>
      </c>
      <c r="H18" s="3">
        <v>45386</v>
      </c>
      <c r="I18" t="str">
        <f>TEXT(deepseek_csv_20260408_349e04[[#This Row],[Date Of Purchase ]], "dddd")</f>
        <v>Thursday</v>
      </c>
      <c r="J18" t="str">
        <f>TEXT(deepseek_csv_20260408_349e04[[#This Row],[Date Of Purchase ]],"mmmm")</f>
        <v>April</v>
      </c>
    </row>
    <row r="19" spans="1:10" x14ac:dyDescent="0.25">
      <c r="A19" s="1" t="s">
        <v>50</v>
      </c>
      <c r="B19" s="1" t="s">
        <v>34</v>
      </c>
      <c r="C19" s="1" t="s">
        <v>14</v>
      </c>
      <c r="D19" s="1" t="s">
        <v>51</v>
      </c>
      <c r="E19" s="4">
        <v>2</v>
      </c>
      <c r="F19" s="1" t="s">
        <v>16</v>
      </c>
      <c r="G19" s="2">
        <v>0</v>
      </c>
      <c r="H19" s="3">
        <v>45387</v>
      </c>
      <c r="I19" t="str">
        <f>TEXT(deepseek_csv_20260408_349e04[[#This Row],[Date Of Purchase ]], "dddd")</f>
        <v>Friday</v>
      </c>
      <c r="J19" t="str">
        <f>TEXT(deepseek_csv_20260408_349e04[[#This Row],[Date Of Purchase ]],"mmmm")</f>
        <v>April</v>
      </c>
    </row>
    <row r="20" spans="1:10" x14ac:dyDescent="0.25">
      <c r="A20" s="1" t="s">
        <v>52</v>
      </c>
      <c r="B20" s="1" t="s">
        <v>13</v>
      </c>
      <c r="C20" s="1" t="s">
        <v>18</v>
      </c>
      <c r="D20" s="1" t="s">
        <v>53</v>
      </c>
      <c r="E20" s="4">
        <v>1</v>
      </c>
      <c r="F20" s="1" t="s">
        <v>11</v>
      </c>
      <c r="G20" s="2">
        <v>39.99</v>
      </c>
      <c r="H20" s="3">
        <v>45388</v>
      </c>
      <c r="I20" t="str">
        <f>TEXT(deepseek_csv_20260408_349e04[[#This Row],[Date Of Purchase ]], "dddd")</f>
        <v>Saturday</v>
      </c>
      <c r="J20" t="str">
        <f>TEXT(deepseek_csv_20260408_349e04[[#This Row],[Date Of Purchase ]],"mmmm")</f>
        <v>April</v>
      </c>
    </row>
    <row r="21" spans="1:10" x14ac:dyDescent="0.25">
      <c r="A21" s="1" t="s">
        <v>54</v>
      </c>
      <c r="B21" s="1" t="s">
        <v>34</v>
      </c>
      <c r="C21" s="1" t="s">
        <v>9</v>
      </c>
      <c r="D21" s="1" t="s">
        <v>55</v>
      </c>
      <c r="E21" s="4">
        <v>3</v>
      </c>
      <c r="F21" s="1" t="s">
        <v>11</v>
      </c>
      <c r="G21" s="2">
        <v>149.99</v>
      </c>
      <c r="H21" s="3">
        <v>45390</v>
      </c>
      <c r="I21" t="str">
        <f>TEXT(deepseek_csv_20260408_349e04[[#This Row],[Date Of Purchase ]], "dddd")</f>
        <v>Monday</v>
      </c>
      <c r="J21" t="str">
        <f>TEXT(deepseek_csv_20260408_349e04[[#This Row],[Date Of Purchase ]],"mmmm")</f>
        <v>April</v>
      </c>
    </row>
    <row r="22" spans="1:10" x14ac:dyDescent="0.25">
      <c r="A22" s="1" t="s">
        <v>56</v>
      </c>
      <c r="B22" s="1" t="s">
        <v>13</v>
      </c>
      <c r="C22" s="1" t="s">
        <v>14</v>
      </c>
      <c r="D22" s="1" t="s">
        <v>57</v>
      </c>
      <c r="E22" s="4">
        <v>2</v>
      </c>
      <c r="F22" s="1" t="s">
        <v>11</v>
      </c>
      <c r="G22" s="2">
        <v>69.989999999999995</v>
      </c>
      <c r="H22" s="3">
        <v>45391</v>
      </c>
      <c r="I22" t="str">
        <f>TEXT(deepseek_csv_20260408_349e04[[#This Row],[Date Of Purchase ]], "dddd")</f>
        <v>Tuesday</v>
      </c>
      <c r="J22" t="str">
        <f>TEXT(deepseek_csv_20260408_349e04[[#This Row],[Date Of Purchase ]],"mmmm")</f>
        <v>April</v>
      </c>
    </row>
    <row r="23" spans="1:10" x14ac:dyDescent="0.25">
      <c r="A23" s="1" t="s">
        <v>58</v>
      </c>
      <c r="B23" s="1" t="s">
        <v>8</v>
      </c>
      <c r="C23" s="1" t="s">
        <v>18</v>
      </c>
      <c r="D23" s="1" t="s">
        <v>59</v>
      </c>
      <c r="E23" s="4">
        <v>1</v>
      </c>
      <c r="F23" s="1" t="s">
        <v>11</v>
      </c>
      <c r="G23" s="2">
        <v>499.99</v>
      </c>
      <c r="H23" s="3">
        <v>45392</v>
      </c>
      <c r="I23" t="str">
        <f>TEXT(deepseek_csv_20260408_349e04[[#This Row],[Date Of Purchase ]], "dddd")</f>
        <v>Wednesday</v>
      </c>
      <c r="J23" t="str">
        <f>TEXT(deepseek_csv_20260408_349e04[[#This Row],[Date Of Purchase ]],"mmmm")</f>
        <v>April</v>
      </c>
    </row>
    <row r="24" spans="1:10" x14ac:dyDescent="0.25">
      <c r="A24" s="1" t="s">
        <v>60</v>
      </c>
      <c r="B24" s="1" t="s">
        <v>34</v>
      </c>
      <c r="C24" s="1" t="s">
        <v>25</v>
      </c>
      <c r="D24" s="1" t="s">
        <v>61</v>
      </c>
      <c r="E24" s="4">
        <v>1</v>
      </c>
      <c r="F24" s="1" t="s">
        <v>16</v>
      </c>
      <c r="G24" s="2">
        <v>29.99</v>
      </c>
      <c r="H24" s="3">
        <v>45393</v>
      </c>
      <c r="I24" t="str">
        <f>TEXT(deepseek_csv_20260408_349e04[[#This Row],[Date Of Purchase ]], "dddd")</f>
        <v>Thursday</v>
      </c>
      <c r="J24" t="str">
        <f>TEXT(deepseek_csv_20260408_349e04[[#This Row],[Date Of Purchase ]],"mmmm")</f>
        <v>April</v>
      </c>
    </row>
    <row r="25" spans="1:10" x14ac:dyDescent="0.25">
      <c r="A25" s="1" t="s">
        <v>62</v>
      </c>
      <c r="B25" s="1" t="s">
        <v>13</v>
      </c>
      <c r="C25" s="1" t="s">
        <v>9</v>
      </c>
      <c r="D25" s="1" t="s">
        <v>63</v>
      </c>
      <c r="E25" s="4">
        <v>2</v>
      </c>
      <c r="F25" s="1" t="s">
        <v>16</v>
      </c>
      <c r="G25" s="2">
        <v>85</v>
      </c>
      <c r="H25" s="3">
        <v>45394</v>
      </c>
      <c r="I25" t="str">
        <f>TEXT(deepseek_csv_20260408_349e04[[#This Row],[Date Of Purchase ]], "dddd")</f>
        <v>Friday</v>
      </c>
      <c r="J25" t="str">
        <f>TEXT(deepseek_csv_20260408_349e04[[#This Row],[Date Of Purchase ]],"mmmm")</f>
        <v>April</v>
      </c>
    </row>
    <row r="26" spans="1:10" x14ac:dyDescent="0.25">
      <c r="A26" s="1" t="s">
        <v>64</v>
      </c>
      <c r="B26" s="1" t="s">
        <v>34</v>
      </c>
      <c r="C26" s="1" t="s">
        <v>18</v>
      </c>
      <c r="D26" s="1" t="s">
        <v>65</v>
      </c>
      <c r="E26" s="4">
        <v>1</v>
      </c>
      <c r="F26" s="1" t="s">
        <v>11</v>
      </c>
      <c r="G26" s="2">
        <v>0</v>
      </c>
      <c r="H26" s="3">
        <v>45396</v>
      </c>
      <c r="I26" t="str">
        <f>TEXT(deepseek_csv_20260408_349e04[[#This Row],[Date Of Purchase ]], "dddd")</f>
        <v>Sunday</v>
      </c>
      <c r="J26" t="str">
        <f>TEXT(deepseek_csv_20260408_349e04[[#This Row],[Date Of Purchase ]],"mmmm")</f>
        <v>April</v>
      </c>
    </row>
    <row r="27" spans="1:10" x14ac:dyDescent="0.25">
      <c r="A27" s="1" t="s">
        <v>66</v>
      </c>
      <c r="B27" s="1" t="s">
        <v>13</v>
      </c>
      <c r="C27" s="1" t="s">
        <v>25</v>
      </c>
      <c r="D27" s="1" t="s">
        <v>67</v>
      </c>
      <c r="E27" s="4">
        <v>2</v>
      </c>
      <c r="F27" s="1" t="s">
        <v>16</v>
      </c>
      <c r="G27" s="2">
        <v>120.5</v>
      </c>
      <c r="H27" s="3">
        <v>45397</v>
      </c>
      <c r="I27" t="str">
        <f>TEXT(deepseek_csv_20260408_349e04[[#This Row],[Date Of Purchase ]], "dddd")</f>
        <v>Monday</v>
      </c>
      <c r="J27" t="str">
        <f>TEXT(deepseek_csv_20260408_349e04[[#This Row],[Date Of Purchase ]],"mmmm")</f>
        <v>April</v>
      </c>
    </row>
    <row r="28" spans="1:10" x14ac:dyDescent="0.25">
      <c r="A28" s="1" t="s">
        <v>68</v>
      </c>
      <c r="B28" s="1" t="s">
        <v>8</v>
      </c>
      <c r="C28" s="1" t="s">
        <v>9</v>
      </c>
      <c r="D28" s="1" t="s">
        <v>69</v>
      </c>
      <c r="E28" s="4">
        <v>1</v>
      </c>
      <c r="F28" s="1" t="s">
        <v>11</v>
      </c>
      <c r="G28" s="2">
        <v>0.01</v>
      </c>
      <c r="H28" s="3">
        <v>45398</v>
      </c>
      <c r="I28" t="str">
        <f>TEXT(deepseek_csv_20260408_349e04[[#This Row],[Date Of Purchase ]], "dddd")</f>
        <v>Tuesday</v>
      </c>
      <c r="J28" t="str">
        <f>TEXT(deepseek_csv_20260408_349e04[[#This Row],[Date Of Purchase ]],"mmmm")</f>
        <v>April</v>
      </c>
    </row>
    <row r="29" spans="1:10" x14ac:dyDescent="0.25">
      <c r="A29" s="1" t="s">
        <v>70</v>
      </c>
      <c r="B29" s="1" t="s">
        <v>13</v>
      </c>
      <c r="C29" s="1" t="s">
        <v>18</v>
      </c>
      <c r="D29" s="1" t="s">
        <v>71</v>
      </c>
      <c r="E29" s="4">
        <v>2</v>
      </c>
      <c r="F29" s="1" t="s">
        <v>11</v>
      </c>
      <c r="G29" s="2">
        <v>49.99</v>
      </c>
      <c r="H29" s="3">
        <v>45400</v>
      </c>
      <c r="I29" t="str">
        <f>TEXT(deepseek_csv_20260408_349e04[[#This Row],[Date Of Purchase ]], "dddd")</f>
        <v>Thursday</v>
      </c>
      <c r="J29" t="str">
        <f>TEXT(deepseek_csv_20260408_349e04[[#This Row],[Date Of Purchase ]],"mmmm")</f>
        <v>April</v>
      </c>
    </row>
    <row r="30" spans="1:10" x14ac:dyDescent="0.25">
      <c r="A30" s="1" t="s">
        <v>72</v>
      </c>
      <c r="B30" s="1" t="s">
        <v>8</v>
      </c>
      <c r="C30" s="1" t="s">
        <v>25</v>
      </c>
      <c r="D30" s="1" t="s">
        <v>73</v>
      </c>
      <c r="E30" s="4">
        <v>3</v>
      </c>
      <c r="F30" s="1" t="s">
        <v>11</v>
      </c>
      <c r="G30" s="2">
        <v>299.99</v>
      </c>
      <c r="H30" s="3">
        <v>45401</v>
      </c>
      <c r="I30" t="str">
        <f>TEXT(deepseek_csv_20260408_349e04[[#This Row],[Date Of Purchase ]], "dddd")</f>
        <v>Friday</v>
      </c>
      <c r="J30" t="str">
        <f>TEXT(deepseek_csv_20260408_349e04[[#This Row],[Date Of Purchase ]],"mmmm")</f>
        <v>April</v>
      </c>
    </row>
    <row r="31" spans="1:10" x14ac:dyDescent="0.25">
      <c r="A31" s="1" t="s">
        <v>74</v>
      </c>
      <c r="B31" s="1" t="s">
        <v>34</v>
      </c>
      <c r="C31" s="1" t="s">
        <v>9</v>
      </c>
      <c r="D31" s="1" t="s">
        <v>75</v>
      </c>
      <c r="E31" s="4">
        <v>1</v>
      </c>
      <c r="F31" s="1" t="s">
        <v>16</v>
      </c>
      <c r="G31" s="2">
        <v>75</v>
      </c>
      <c r="H31" s="3">
        <v>45402</v>
      </c>
      <c r="I31" t="str">
        <f>TEXT(deepseek_csv_20260408_349e04[[#This Row],[Date Of Purchase ]], "dddd")</f>
        <v>Saturday</v>
      </c>
      <c r="J31" t="str">
        <f>TEXT(deepseek_csv_20260408_349e04[[#This Row],[Date Of Purchase ]],"mmmm")</f>
        <v>April</v>
      </c>
    </row>
    <row r="32" spans="1:10" x14ac:dyDescent="0.25">
      <c r="A32" s="1" t="s">
        <v>76</v>
      </c>
      <c r="B32" s="1" t="s">
        <v>13</v>
      </c>
      <c r="C32" s="1" t="s">
        <v>14</v>
      </c>
      <c r="D32" s="1" t="s">
        <v>77</v>
      </c>
      <c r="E32" s="4">
        <v>2</v>
      </c>
      <c r="F32" s="1" t="s">
        <v>11</v>
      </c>
      <c r="G32" s="2">
        <v>95</v>
      </c>
      <c r="H32" s="3">
        <v>45403</v>
      </c>
      <c r="I32" t="str">
        <f>TEXT(deepseek_csv_20260408_349e04[[#This Row],[Date Of Purchase ]], "dddd")</f>
        <v>Sunday</v>
      </c>
      <c r="J32" t="str">
        <f>TEXT(deepseek_csv_20260408_349e04[[#This Row],[Date Of Purchase ]],"mmmm")</f>
        <v>April</v>
      </c>
    </row>
    <row r="33" spans="1:10" x14ac:dyDescent="0.25">
      <c r="A33" s="1" t="s">
        <v>78</v>
      </c>
      <c r="B33" s="1" t="s">
        <v>8</v>
      </c>
      <c r="C33" s="1" t="s">
        <v>18</v>
      </c>
      <c r="D33" s="1" t="s">
        <v>79</v>
      </c>
      <c r="E33" s="4">
        <v>1</v>
      </c>
      <c r="F33" s="1" t="s">
        <v>11</v>
      </c>
      <c r="G33" s="2">
        <v>449.99</v>
      </c>
      <c r="H33" s="3">
        <v>45404</v>
      </c>
      <c r="I33" t="str">
        <f>TEXT(deepseek_csv_20260408_349e04[[#This Row],[Date Of Purchase ]], "dddd")</f>
        <v>Monday</v>
      </c>
      <c r="J33" t="str">
        <f>TEXT(deepseek_csv_20260408_349e04[[#This Row],[Date Of Purchase ]],"mmmm")</f>
        <v>April</v>
      </c>
    </row>
    <row r="34" spans="1:10" x14ac:dyDescent="0.25">
      <c r="A34" s="1" t="s">
        <v>80</v>
      </c>
      <c r="B34" s="1" t="s">
        <v>34</v>
      </c>
      <c r="C34" s="1" t="s">
        <v>25</v>
      </c>
      <c r="D34" s="1" t="s">
        <v>81</v>
      </c>
      <c r="E34" s="4">
        <v>2</v>
      </c>
      <c r="F34" s="1" t="s">
        <v>11</v>
      </c>
      <c r="G34" s="2">
        <v>199.99</v>
      </c>
      <c r="H34" s="3">
        <v>45405</v>
      </c>
      <c r="I34" t="str">
        <f>TEXT(deepseek_csv_20260408_349e04[[#This Row],[Date Of Purchase ]], "dddd")</f>
        <v>Tuesday</v>
      </c>
      <c r="J34" t="str">
        <f>TEXT(deepseek_csv_20260408_349e04[[#This Row],[Date Of Purchase ]],"mmmm")</f>
        <v>April</v>
      </c>
    </row>
    <row r="35" spans="1:10" x14ac:dyDescent="0.25">
      <c r="A35" s="1" t="s">
        <v>82</v>
      </c>
      <c r="B35" s="1" t="s">
        <v>13</v>
      </c>
      <c r="C35" s="1" t="s">
        <v>9</v>
      </c>
      <c r="D35" s="1" t="s">
        <v>83</v>
      </c>
      <c r="E35" s="4">
        <v>3</v>
      </c>
      <c r="F35" s="1" t="s">
        <v>16</v>
      </c>
      <c r="G35" s="2">
        <v>59.99</v>
      </c>
      <c r="H35" s="3">
        <v>45406</v>
      </c>
      <c r="I35" t="str">
        <f>TEXT(deepseek_csv_20260408_349e04[[#This Row],[Date Of Purchase ]], "dddd")</f>
        <v>Wednesday</v>
      </c>
      <c r="J35" t="str">
        <f>TEXT(deepseek_csv_20260408_349e04[[#This Row],[Date Of Purchase ]],"mmmm")</f>
        <v>April</v>
      </c>
    </row>
    <row r="36" spans="1:10" x14ac:dyDescent="0.25">
      <c r="A36" s="1" t="s">
        <v>84</v>
      </c>
      <c r="B36" s="1" t="s">
        <v>8</v>
      </c>
      <c r="C36" s="1" t="s">
        <v>14</v>
      </c>
      <c r="D36" s="1" t="s">
        <v>85</v>
      </c>
      <c r="E36" s="4">
        <v>1</v>
      </c>
      <c r="F36" s="1" t="s">
        <v>11</v>
      </c>
      <c r="G36" s="2">
        <v>0</v>
      </c>
      <c r="H36" s="3">
        <v>45407</v>
      </c>
      <c r="I36" t="str">
        <f>TEXT(deepseek_csv_20260408_349e04[[#This Row],[Date Of Purchase ]], "dddd")</f>
        <v>Thursday</v>
      </c>
      <c r="J36" t="str">
        <f>TEXT(deepseek_csv_20260408_349e04[[#This Row],[Date Of Purchase ]],"mmmm")</f>
        <v>April</v>
      </c>
    </row>
    <row r="37" spans="1:10" x14ac:dyDescent="0.25">
      <c r="A37" s="1" t="s">
        <v>86</v>
      </c>
      <c r="B37" s="1" t="s">
        <v>34</v>
      </c>
      <c r="C37" s="1" t="s">
        <v>18</v>
      </c>
      <c r="D37" s="1" t="s">
        <v>87</v>
      </c>
      <c r="E37" s="4">
        <v>2</v>
      </c>
      <c r="F37" s="1" t="s">
        <v>16</v>
      </c>
      <c r="G37" s="2">
        <v>129.99</v>
      </c>
      <c r="H37" s="3">
        <v>45408</v>
      </c>
      <c r="I37" t="str">
        <f>TEXT(deepseek_csv_20260408_349e04[[#This Row],[Date Of Purchase ]], "dddd")</f>
        <v>Friday</v>
      </c>
      <c r="J37" t="str">
        <f>TEXT(deepseek_csv_20260408_349e04[[#This Row],[Date Of Purchase ]],"mmmm")</f>
        <v>April</v>
      </c>
    </row>
    <row r="38" spans="1:10" x14ac:dyDescent="0.25">
      <c r="A38" s="1" t="s">
        <v>88</v>
      </c>
      <c r="B38" s="1" t="s">
        <v>13</v>
      </c>
      <c r="C38" s="1" t="s">
        <v>25</v>
      </c>
      <c r="D38" s="1" t="s">
        <v>89</v>
      </c>
      <c r="E38" s="4">
        <v>1</v>
      </c>
      <c r="F38" s="1" t="s">
        <v>16</v>
      </c>
      <c r="G38" s="2">
        <v>39.99</v>
      </c>
      <c r="H38" s="3">
        <v>45409</v>
      </c>
      <c r="I38" t="str">
        <f>TEXT(deepseek_csv_20260408_349e04[[#This Row],[Date Of Purchase ]], "dddd")</f>
        <v>Saturday</v>
      </c>
      <c r="J38" t="str">
        <f>TEXT(deepseek_csv_20260408_349e04[[#This Row],[Date Of Purchase ]],"mmmm")</f>
        <v>April</v>
      </c>
    </row>
    <row r="39" spans="1:10" x14ac:dyDescent="0.25">
      <c r="A39" s="1" t="s">
        <v>90</v>
      </c>
      <c r="B39" s="1" t="s">
        <v>8</v>
      </c>
      <c r="C39" s="1" t="s">
        <v>9</v>
      </c>
      <c r="D39" s="1" t="s">
        <v>91</v>
      </c>
      <c r="E39" s="4">
        <v>2</v>
      </c>
      <c r="F39" s="1" t="s">
        <v>11</v>
      </c>
      <c r="G39" s="2">
        <v>899.99</v>
      </c>
      <c r="H39" s="3">
        <v>45410</v>
      </c>
      <c r="I39" t="str">
        <f>TEXT(deepseek_csv_20260408_349e04[[#This Row],[Date Of Purchase ]], "dddd")</f>
        <v>Sunday</v>
      </c>
      <c r="J39" t="str">
        <f>TEXT(deepseek_csv_20260408_349e04[[#This Row],[Date Of Purchase ]],"mmmm")</f>
        <v>April</v>
      </c>
    </row>
    <row r="40" spans="1:10" x14ac:dyDescent="0.25">
      <c r="A40" s="1" t="s">
        <v>92</v>
      </c>
      <c r="B40" s="1" t="s">
        <v>34</v>
      </c>
      <c r="C40" s="1" t="s">
        <v>14</v>
      </c>
      <c r="D40" s="1" t="s">
        <v>93</v>
      </c>
      <c r="E40" s="4">
        <v>3</v>
      </c>
      <c r="F40" s="1" t="s">
        <v>16</v>
      </c>
      <c r="G40" s="2">
        <v>49.99</v>
      </c>
      <c r="H40" s="3">
        <v>45411</v>
      </c>
      <c r="I40" t="str">
        <f>TEXT(deepseek_csv_20260408_349e04[[#This Row],[Date Of Purchase ]], "dddd")</f>
        <v>Monday</v>
      </c>
      <c r="J40" t="str">
        <f>TEXT(deepseek_csv_20260408_349e04[[#This Row],[Date Of Purchase ]],"mmmm")</f>
        <v>April</v>
      </c>
    </row>
    <row r="41" spans="1:10" x14ac:dyDescent="0.25">
      <c r="A41" s="1" t="s">
        <v>94</v>
      </c>
      <c r="B41" s="1" t="s">
        <v>13</v>
      </c>
      <c r="C41" s="1" t="s">
        <v>18</v>
      </c>
      <c r="D41" s="1" t="s">
        <v>95</v>
      </c>
      <c r="E41" s="4">
        <v>1</v>
      </c>
      <c r="F41" s="1" t="s">
        <v>11</v>
      </c>
      <c r="G41" s="2">
        <v>69.989999999999995</v>
      </c>
      <c r="H41" s="3">
        <v>45412</v>
      </c>
      <c r="I41" t="str">
        <f>TEXT(deepseek_csv_20260408_349e04[[#This Row],[Date Of Purchase ]], "dddd")</f>
        <v>Tuesday</v>
      </c>
      <c r="J41" t="str">
        <f>TEXT(deepseek_csv_20260408_349e04[[#This Row],[Date Of Purchase ]],"mmmm")</f>
        <v>April</v>
      </c>
    </row>
    <row r="42" spans="1:10" x14ac:dyDescent="0.25">
      <c r="A42" s="1" t="s">
        <v>96</v>
      </c>
      <c r="B42" s="1" t="s">
        <v>8</v>
      </c>
      <c r="C42" s="1" t="s">
        <v>25</v>
      </c>
      <c r="D42" s="1" t="s">
        <v>97</v>
      </c>
      <c r="E42" s="4">
        <v>2</v>
      </c>
      <c r="F42" s="1" t="s">
        <v>16</v>
      </c>
      <c r="G42" s="2">
        <v>549.99</v>
      </c>
      <c r="H42" s="3">
        <v>45413</v>
      </c>
      <c r="I42" t="str">
        <f>TEXT(deepseek_csv_20260408_349e04[[#This Row],[Date Of Purchase ]], "dddd")</f>
        <v>Wednesday</v>
      </c>
      <c r="J42" t="str">
        <f>TEXT(deepseek_csv_20260408_349e04[[#This Row],[Date Of Purchase ]],"mmmm")</f>
        <v>May</v>
      </c>
    </row>
    <row r="43" spans="1:10" x14ac:dyDescent="0.25">
      <c r="A43" s="1" t="s">
        <v>98</v>
      </c>
      <c r="B43" s="1" t="s">
        <v>8</v>
      </c>
      <c r="C43" s="1" t="s">
        <v>18</v>
      </c>
      <c r="D43" s="1" t="s">
        <v>99</v>
      </c>
      <c r="E43" s="4">
        <v>1</v>
      </c>
      <c r="F43" s="1" t="s">
        <v>11</v>
      </c>
      <c r="G43" s="2">
        <v>299.99</v>
      </c>
      <c r="H43" s="3">
        <v>45415</v>
      </c>
      <c r="I43" t="str">
        <f>TEXT(deepseek_csv_20260408_349e04[[#This Row],[Date Of Purchase ]], "dddd")</f>
        <v>Friday</v>
      </c>
      <c r="J43" t="str">
        <f>TEXT(deepseek_csv_20260408_349e04[[#This Row],[Date Of Purchase ]],"mmmm")</f>
        <v>May</v>
      </c>
    </row>
    <row r="44" spans="1:10" x14ac:dyDescent="0.25">
      <c r="A44" s="1" t="s">
        <v>100</v>
      </c>
      <c r="B44" s="1" t="s">
        <v>13</v>
      </c>
      <c r="C44" s="1" t="s">
        <v>14</v>
      </c>
      <c r="D44" s="1" t="s">
        <v>101</v>
      </c>
      <c r="E44" s="4">
        <v>2</v>
      </c>
      <c r="F44" s="1" t="s">
        <v>11</v>
      </c>
      <c r="G44" s="2">
        <v>79.989999999999995</v>
      </c>
      <c r="H44" s="3">
        <v>45416</v>
      </c>
      <c r="I44" t="str">
        <f>TEXT(deepseek_csv_20260408_349e04[[#This Row],[Date Of Purchase ]], "dddd")</f>
        <v>Saturday</v>
      </c>
      <c r="J44" t="str">
        <f>TEXT(deepseek_csv_20260408_349e04[[#This Row],[Date Of Purchase ]],"mmmm")</f>
        <v>May</v>
      </c>
    </row>
    <row r="45" spans="1:10" x14ac:dyDescent="0.25">
      <c r="A45" s="1" t="s">
        <v>102</v>
      </c>
      <c r="B45" s="1" t="s">
        <v>34</v>
      </c>
      <c r="C45" s="1" t="s">
        <v>25</v>
      </c>
      <c r="D45" s="1" t="s">
        <v>103</v>
      </c>
      <c r="E45" s="4">
        <v>3</v>
      </c>
      <c r="F45" s="1" t="s">
        <v>11</v>
      </c>
      <c r="G45" s="2">
        <v>149.99</v>
      </c>
      <c r="H45" s="3">
        <v>45417</v>
      </c>
      <c r="I45" t="str">
        <f>TEXT(deepseek_csv_20260408_349e04[[#This Row],[Date Of Purchase ]], "dddd")</f>
        <v>Sunday</v>
      </c>
      <c r="J45" t="str">
        <f>TEXT(deepseek_csv_20260408_349e04[[#This Row],[Date Of Purchase ]],"mmmm")</f>
        <v>May</v>
      </c>
    </row>
    <row r="46" spans="1:10" x14ac:dyDescent="0.25">
      <c r="A46" s="1" t="s">
        <v>104</v>
      </c>
      <c r="B46" s="1" t="s">
        <v>8</v>
      </c>
      <c r="C46" s="1" t="s">
        <v>9</v>
      </c>
      <c r="D46" s="1" t="s">
        <v>105</v>
      </c>
      <c r="E46" s="4">
        <v>1</v>
      </c>
      <c r="F46" s="1" t="s">
        <v>16</v>
      </c>
      <c r="G46" s="2">
        <v>399.99</v>
      </c>
      <c r="H46" s="3">
        <v>45418</v>
      </c>
      <c r="I46" t="str">
        <f>TEXT(deepseek_csv_20260408_349e04[[#This Row],[Date Of Purchase ]], "dddd")</f>
        <v>Monday</v>
      </c>
      <c r="J46" t="str">
        <f>TEXT(deepseek_csv_20260408_349e04[[#This Row],[Date Of Purchase ]],"mmmm")</f>
        <v>May</v>
      </c>
    </row>
    <row r="47" spans="1:10" x14ac:dyDescent="0.25">
      <c r="A47" s="1" t="s">
        <v>106</v>
      </c>
      <c r="B47" s="1" t="s">
        <v>13</v>
      </c>
      <c r="C47" s="1" t="s">
        <v>18</v>
      </c>
      <c r="D47" s="1" t="s">
        <v>107</v>
      </c>
      <c r="E47" s="4">
        <v>2</v>
      </c>
      <c r="F47" s="1" t="s">
        <v>11</v>
      </c>
      <c r="G47" s="2">
        <v>45</v>
      </c>
      <c r="H47" s="3">
        <v>45419</v>
      </c>
      <c r="I47" t="str">
        <f>TEXT(deepseek_csv_20260408_349e04[[#This Row],[Date Of Purchase ]], "dddd")</f>
        <v>Tuesday</v>
      </c>
      <c r="J47" t="str">
        <f>TEXT(deepseek_csv_20260408_349e04[[#This Row],[Date Of Purchase ]],"mmmm")</f>
        <v>May</v>
      </c>
    </row>
    <row r="48" spans="1:10" x14ac:dyDescent="0.25">
      <c r="A48" s="1" t="s">
        <v>108</v>
      </c>
      <c r="B48" s="1" t="s">
        <v>34</v>
      </c>
      <c r="C48" s="1" t="s">
        <v>14</v>
      </c>
      <c r="D48" s="1" t="s">
        <v>109</v>
      </c>
      <c r="E48" s="4">
        <v>1</v>
      </c>
      <c r="F48" s="1" t="s">
        <v>11</v>
      </c>
      <c r="G48" s="2">
        <v>0</v>
      </c>
      <c r="H48" s="3">
        <v>45420</v>
      </c>
      <c r="I48" t="str">
        <f>TEXT(deepseek_csv_20260408_349e04[[#This Row],[Date Of Purchase ]], "dddd")</f>
        <v>Wednesday</v>
      </c>
      <c r="J48" t="str">
        <f>TEXT(deepseek_csv_20260408_349e04[[#This Row],[Date Of Purchase ]],"mmmm")</f>
        <v>May</v>
      </c>
    </row>
    <row r="49" spans="1:10" x14ac:dyDescent="0.25">
      <c r="A49" s="1" t="s">
        <v>110</v>
      </c>
      <c r="B49" s="1" t="s">
        <v>8</v>
      </c>
      <c r="C49" s="1" t="s">
        <v>25</v>
      </c>
      <c r="D49" s="1" t="s">
        <v>111</v>
      </c>
      <c r="E49" s="4">
        <v>2</v>
      </c>
      <c r="F49" s="1" t="s">
        <v>16</v>
      </c>
      <c r="G49" s="2">
        <v>199.99</v>
      </c>
      <c r="H49" s="3">
        <v>45421</v>
      </c>
      <c r="I49" t="str">
        <f>TEXT(deepseek_csv_20260408_349e04[[#This Row],[Date Of Purchase ]], "dddd")</f>
        <v>Thursday</v>
      </c>
      <c r="J49" t="str">
        <f>TEXT(deepseek_csv_20260408_349e04[[#This Row],[Date Of Purchase ]],"mmmm")</f>
        <v>May</v>
      </c>
    </row>
    <row r="50" spans="1:10" x14ac:dyDescent="0.25">
      <c r="A50" s="1" t="s">
        <v>112</v>
      </c>
      <c r="B50" s="1" t="s">
        <v>13</v>
      </c>
      <c r="C50" s="1" t="s">
        <v>9</v>
      </c>
      <c r="D50" s="1" t="s">
        <v>113</v>
      </c>
      <c r="E50" s="4">
        <v>3</v>
      </c>
      <c r="F50" s="1" t="s">
        <v>11</v>
      </c>
      <c r="G50" s="2">
        <v>29.99</v>
      </c>
      <c r="H50" s="3">
        <v>45422</v>
      </c>
      <c r="I50" t="str">
        <f>TEXT(deepseek_csv_20260408_349e04[[#This Row],[Date Of Purchase ]], "dddd")</f>
        <v>Friday</v>
      </c>
      <c r="J50" t="str">
        <f>TEXT(deepseek_csv_20260408_349e04[[#This Row],[Date Of Purchase ]],"mmmm")</f>
        <v>May</v>
      </c>
    </row>
    <row r="51" spans="1:10" x14ac:dyDescent="0.25">
      <c r="A51" s="1" t="s">
        <v>114</v>
      </c>
      <c r="B51" s="1" t="s">
        <v>34</v>
      </c>
      <c r="C51" s="1" t="s">
        <v>18</v>
      </c>
      <c r="D51" s="1" t="s">
        <v>115</v>
      </c>
      <c r="E51" s="4">
        <v>1</v>
      </c>
      <c r="F51" s="1" t="s">
        <v>16</v>
      </c>
      <c r="G51" s="2">
        <v>399.99</v>
      </c>
      <c r="H51" s="3">
        <v>45423</v>
      </c>
      <c r="I51" t="str">
        <f>TEXT(deepseek_csv_20260408_349e04[[#This Row],[Date Of Purchase ]], "dddd")</f>
        <v>Saturday</v>
      </c>
      <c r="J51" t="str">
        <f>TEXT(deepseek_csv_20260408_349e04[[#This Row],[Date Of Purchase ]],"mmmm")</f>
        <v>May</v>
      </c>
    </row>
    <row r="52" spans="1:10" x14ac:dyDescent="0.25">
      <c r="A52" s="1" t="s">
        <v>116</v>
      </c>
      <c r="B52" s="1" t="s">
        <v>8</v>
      </c>
      <c r="C52" s="1" t="s">
        <v>14</v>
      </c>
      <c r="D52" s="1" t="s">
        <v>117</v>
      </c>
      <c r="E52" s="4">
        <v>2</v>
      </c>
      <c r="F52" s="1" t="s">
        <v>11</v>
      </c>
      <c r="G52" s="2">
        <v>599.99</v>
      </c>
      <c r="H52" s="3">
        <v>45424</v>
      </c>
      <c r="I52" t="str">
        <f>TEXT(deepseek_csv_20260408_349e04[[#This Row],[Date Of Purchase ]], "dddd")</f>
        <v>Sunday</v>
      </c>
      <c r="J52" t="str">
        <f>TEXT(deepseek_csv_20260408_349e04[[#This Row],[Date Of Purchase ]],"mmmm")</f>
        <v>May</v>
      </c>
    </row>
    <row r="53" spans="1:10" x14ac:dyDescent="0.25">
      <c r="A53" s="1" t="s">
        <v>118</v>
      </c>
      <c r="B53" s="1" t="s">
        <v>13</v>
      </c>
      <c r="C53" s="1" t="s">
        <v>25</v>
      </c>
      <c r="D53" s="1" t="s">
        <v>119</v>
      </c>
      <c r="E53" s="4">
        <v>1</v>
      </c>
      <c r="F53" s="1" t="s">
        <v>11</v>
      </c>
      <c r="G53" s="2">
        <v>85</v>
      </c>
      <c r="H53" s="3">
        <v>45425</v>
      </c>
      <c r="I53" t="str">
        <f>TEXT(deepseek_csv_20260408_349e04[[#This Row],[Date Of Purchase ]], "dddd")</f>
        <v>Monday</v>
      </c>
      <c r="J53" t="str">
        <f>TEXT(deepseek_csv_20260408_349e04[[#This Row],[Date Of Purchase ]],"mmmm")</f>
        <v>May</v>
      </c>
    </row>
    <row r="54" spans="1:10" x14ac:dyDescent="0.25">
      <c r="A54" s="1" t="s">
        <v>120</v>
      </c>
      <c r="B54" s="1" t="s">
        <v>34</v>
      </c>
      <c r="C54" s="1" t="s">
        <v>9</v>
      </c>
      <c r="D54" s="1" t="s">
        <v>121</v>
      </c>
      <c r="E54" s="4">
        <v>2</v>
      </c>
      <c r="F54" s="1" t="s">
        <v>16</v>
      </c>
      <c r="G54" s="2">
        <v>125</v>
      </c>
      <c r="H54" s="3">
        <v>45426</v>
      </c>
      <c r="I54" t="str">
        <f>TEXT(deepseek_csv_20260408_349e04[[#This Row],[Date Of Purchase ]], "dddd")</f>
        <v>Tuesday</v>
      </c>
      <c r="J54" t="str">
        <f>TEXT(deepseek_csv_20260408_349e04[[#This Row],[Date Of Purchase ]],"mmmm")</f>
        <v>May</v>
      </c>
    </row>
    <row r="55" spans="1:10" x14ac:dyDescent="0.25">
      <c r="A55" s="1" t="s">
        <v>122</v>
      </c>
      <c r="B55" s="1" t="s">
        <v>8</v>
      </c>
      <c r="C55" s="1" t="s">
        <v>18</v>
      </c>
      <c r="D55" s="1" t="s">
        <v>123</v>
      </c>
      <c r="E55" s="4">
        <v>3</v>
      </c>
      <c r="F55" s="1" t="s">
        <v>11</v>
      </c>
      <c r="G55" s="2">
        <v>749.99</v>
      </c>
      <c r="H55" s="3">
        <v>45427</v>
      </c>
      <c r="I55" t="str">
        <f>TEXT(deepseek_csv_20260408_349e04[[#This Row],[Date Of Purchase ]], "dddd")</f>
        <v>Wednesday</v>
      </c>
      <c r="J55" t="str">
        <f>TEXT(deepseek_csv_20260408_349e04[[#This Row],[Date Of Purchase ]],"mmmm")</f>
        <v>May</v>
      </c>
    </row>
    <row r="56" spans="1:10" x14ac:dyDescent="0.25">
      <c r="A56" s="1" t="s">
        <v>124</v>
      </c>
      <c r="B56" s="1" t="s">
        <v>13</v>
      </c>
      <c r="C56" s="1" t="s">
        <v>14</v>
      </c>
      <c r="D56" s="1" t="s">
        <v>125</v>
      </c>
      <c r="E56" s="4">
        <v>1</v>
      </c>
      <c r="F56" s="1" t="s">
        <v>16</v>
      </c>
      <c r="G56" s="2">
        <v>55</v>
      </c>
      <c r="H56" s="3">
        <v>45428</v>
      </c>
      <c r="I56" t="str">
        <f>TEXT(deepseek_csv_20260408_349e04[[#This Row],[Date Of Purchase ]], "dddd")</f>
        <v>Thursday</v>
      </c>
      <c r="J56" t="str">
        <f>TEXT(deepseek_csv_20260408_349e04[[#This Row],[Date Of Purchase ]],"mmmm")</f>
        <v>May</v>
      </c>
    </row>
    <row r="57" spans="1:10" x14ac:dyDescent="0.25">
      <c r="A57" s="1" t="s">
        <v>126</v>
      </c>
      <c r="B57" s="1" t="s">
        <v>34</v>
      </c>
      <c r="C57" s="1" t="s">
        <v>25</v>
      </c>
      <c r="D57" s="1" t="s">
        <v>127</v>
      </c>
      <c r="E57" s="4">
        <v>2</v>
      </c>
      <c r="F57" s="1" t="s">
        <v>11</v>
      </c>
      <c r="G57" s="2">
        <v>179.99</v>
      </c>
      <c r="H57" s="3">
        <v>45429</v>
      </c>
      <c r="I57" t="str">
        <f>TEXT(deepseek_csv_20260408_349e04[[#This Row],[Date Of Purchase ]], "dddd")</f>
        <v>Friday</v>
      </c>
      <c r="J57" t="str">
        <f>TEXT(deepseek_csv_20260408_349e04[[#This Row],[Date Of Purchase ]],"mmmm")</f>
        <v>May</v>
      </c>
    </row>
    <row r="58" spans="1:10" x14ac:dyDescent="0.25">
      <c r="A58" s="1" t="s">
        <v>128</v>
      </c>
      <c r="B58" s="1" t="s">
        <v>8</v>
      </c>
      <c r="C58" s="1" t="s">
        <v>9</v>
      </c>
      <c r="D58" s="1" t="s">
        <v>129</v>
      </c>
      <c r="E58" s="4">
        <v>1</v>
      </c>
      <c r="F58" s="1" t="s">
        <v>16</v>
      </c>
      <c r="G58" s="2">
        <v>299.99</v>
      </c>
      <c r="H58" s="3">
        <v>45430</v>
      </c>
      <c r="I58" t="str">
        <f>TEXT(deepseek_csv_20260408_349e04[[#This Row],[Date Of Purchase ]], "dddd")</f>
        <v>Saturday</v>
      </c>
      <c r="J58" t="str">
        <f>TEXT(deepseek_csv_20260408_349e04[[#This Row],[Date Of Purchase ]],"mmmm")</f>
        <v>May</v>
      </c>
    </row>
    <row r="59" spans="1:10" x14ac:dyDescent="0.25">
      <c r="A59" s="1" t="s">
        <v>130</v>
      </c>
      <c r="B59" s="1" t="s">
        <v>13</v>
      </c>
      <c r="C59" s="1" t="s">
        <v>18</v>
      </c>
      <c r="D59" s="1" t="s">
        <v>131</v>
      </c>
      <c r="E59" s="4">
        <v>2</v>
      </c>
      <c r="F59" s="1" t="s">
        <v>11</v>
      </c>
      <c r="G59" s="2">
        <v>99.99</v>
      </c>
      <c r="H59" s="3">
        <v>45431</v>
      </c>
      <c r="I59" t="str">
        <f>TEXT(deepseek_csv_20260408_349e04[[#This Row],[Date Of Purchase ]], "dddd")</f>
        <v>Sunday</v>
      </c>
      <c r="J59" t="str">
        <f>TEXT(deepseek_csv_20260408_349e04[[#This Row],[Date Of Purchase ]],"mmmm")</f>
        <v>May</v>
      </c>
    </row>
    <row r="60" spans="1:10" x14ac:dyDescent="0.25">
      <c r="A60" s="1" t="s">
        <v>132</v>
      </c>
      <c r="B60" s="1" t="s">
        <v>34</v>
      </c>
      <c r="C60" s="1" t="s">
        <v>14</v>
      </c>
      <c r="D60" s="1" t="s">
        <v>133</v>
      </c>
      <c r="E60" s="4">
        <v>3</v>
      </c>
      <c r="F60" s="1" t="s">
        <v>11</v>
      </c>
      <c r="G60" s="2">
        <v>49.99</v>
      </c>
      <c r="H60" s="3">
        <v>45432</v>
      </c>
      <c r="I60" t="str">
        <f>TEXT(deepseek_csv_20260408_349e04[[#This Row],[Date Of Purchase ]], "dddd")</f>
        <v>Monday</v>
      </c>
      <c r="J60" t="str">
        <f>TEXT(deepseek_csv_20260408_349e04[[#This Row],[Date Of Purchase ]],"mmmm")</f>
        <v>May</v>
      </c>
    </row>
    <row r="61" spans="1:10" x14ac:dyDescent="0.25">
      <c r="A61" s="1" t="s">
        <v>134</v>
      </c>
      <c r="B61" s="1" t="s">
        <v>8</v>
      </c>
      <c r="C61" s="1" t="s">
        <v>25</v>
      </c>
      <c r="D61" s="1" t="s">
        <v>135</v>
      </c>
      <c r="E61" s="4">
        <v>1</v>
      </c>
      <c r="F61" s="1" t="s">
        <v>16</v>
      </c>
      <c r="G61" s="2">
        <v>429.99</v>
      </c>
      <c r="H61" s="3">
        <v>45433</v>
      </c>
      <c r="I61" t="str">
        <f>TEXT(deepseek_csv_20260408_349e04[[#This Row],[Date Of Purchase ]], "dddd")</f>
        <v>Tuesday</v>
      </c>
      <c r="J61" t="str">
        <f>TEXT(deepseek_csv_20260408_349e04[[#This Row],[Date Of Purchase ]],"mmmm")</f>
        <v>May</v>
      </c>
    </row>
    <row r="62" spans="1:10" x14ac:dyDescent="0.25">
      <c r="A62" s="1" t="s">
        <v>136</v>
      </c>
      <c r="B62" s="1" t="s">
        <v>13</v>
      </c>
      <c r="C62" s="1" t="s">
        <v>9</v>
      </c>
      <c r="D62" s="1" t="s">
        <v>137</v>
      </c>
      <c r="E62" s="4">
        <v>2</v>
      </c>
      <c r="F62" s="1" t="s">
        <v>16</v>
      </c>
      <c r="G62" s="2">
        <v>69.989999999999995</v>
      </c>
      <c r="H62" s="3">
        <v>45434</v>
      </c>
      <c r="I62" t="str">
        <f>TEXT(deepseek_csv_20260408_349e04[[#This Row],[Date Of Purchase ]], "dddd")</f>
        <v>Wednesday</v>
      </c>
      <c r="J62" t="str">
        <f>TEXT(deepseek_csv_20260408_349e04[[#This Row],[Date Of Purchase ]],"mmmm")</f>
        <v>May</v>
      </c>
    </row>
    <row r="63" spans="1:10" x14ac:dyDescent="0.25">
      <c r="A63" s="1" t="s">
        <v>138</v>
      </c>
      <c r="B63" s="1" t="s">
        <v>34</v>
      </c>
      <c r="C63" s="1" t="s">
        <v>18</v>
      </c>
      <c r="D63" s="1" t="s">
        <v>139</v>
      </c>
      <c r="E63" s="4">
        <v>1</v>
      </c>
      <c r="F63" s="1" t="s">
        <v>11</v>
      </c>
      <c r="G63" s="2">
        <v>89.99</v>
      </c>
      <c r="H63" s="3">
        <v>45435</v>
      </c>
      <c r="I63" t="str">
        <f>TEXT(deepseek_csv_20260408_349e04[[#This Row],[Date Of Purchase ]], "dddd")</f>
        <v>Thursday</v>
      </c>
      <c r="J63" t="str">
        <f>TEXT(deepseek_csv_20260408_349e04[[#This Row],[Date Of Purchase ]],"mmmm")</f>
        <v>May</v>
      </c>
    </row>
    <row r="64" spans="1:10" x14ac:dyDescent="0.25">
      <c r="A64" s="1" t="s">
        <v>140</v>
      </c>
      <c r="B64" s="1" t="s">
        <v>8</v>
      </c>
      <c r="C64" s="1" t="s">
        <v>14</v>
      </c>
      <c r="D64" s="1" t="s">
        <v>141</v>
      </c>
      <c r="E64" s="4">
        <v>2</v>
      </c>
      <c r="F64" s="1" t="s">
        <v>11</v>
      </c>
      <c r="G64" s="2">
        <v>349.99</v>
      </c>
      <c r="H64" s="3">
        <v>45436</v>
      </c>
      <c r="I64" t="str">
        <f>TEXT(deepseek_csv_20260408_349e04[[#This Row],[Date Of Purchase ]], "dddd")</f>
        <v>Friday</v>
      </c>
      <c r="J64" t="str">
        <f>TEXT(deepseek_csv_20260408_349e04[[#This Row],[Date Of Purchase ]],"mmmm")</f>
        <v>May</v>
      </c>
    </row>
    <row r="65" spans="1:10" x14ac:dyDescent="0.25">
      <c r="A65" s="1" t="s">
        <v>142</v>
      </c>
      <c r="B65" s="1" t="s">
        <v>13</v>
      </c>
      <c r="C65" s="1" t="s">
        <v>25</v>
      </c>
      <c r="D65" s="1" t="s">
        <v>143</v>
      </c>
      <c r="E65" s="4">
        <v>3</v>
      </c>
      <c r="F65" s="1" t="s">
        <v>16</v>
      </c>
      <c r="G65" s="2">
        <v>119.99</v>
      </c>
      <c r="H65" s="3">
        <v>45437</v>
      </c>
      <c r="I65" t="str">
        <f>TEXT(deepseek_csv_20260408_349e04[[#This Row],[Date Of Purchase ]], "dddd")</f>
        <v>Saturday</v>
      </c>
      <c r="J65" t="str">
        <f>TEXT(deepseek_csv_20260408_349e04[[#This Row],[Date Of Purchase ]],"mmmm")</f>
        <v>May</v>
      </c>
    </row>
    <row r="66" spans="1:10" x14ac:dyDescent="0.25">
      <c r="A66" s="1" t="s">
        <v>144</v>
      </c>
      <c r="B66" s="1" t="s">
        <v>34</v>
      </c>
      <c r="C66" s="1" t="s">
        <v>9</v>
      </c>
      <c r="D66" s="1" t="s">
        <v>145</v>
      </c>
      <c r="E66" s="4">
        <v>1</v>
      </c>
      <c r="F66" s="1" t="s">
        <v>11</v>
      </c>
      <c r="G66" s="2">
        <v>199.99</v>
      </c>
      <c r="H66" s="3">
        <v>45438</v>
      </c>
      <c r="I66" t="str">
        <f>TEXT(deepseek_csv_20260408_349e04[[#This Row],[Date Of Purchase ]], "dddd")</f>
        <v>Sunday</v>
      </c>
      <c r="J66" t="str">
        <f>TEXT(deepseek_csv_20260408_349e04[[#This Row],[Date Of Purchase ]],"mmmm")</f>
        <v>May</v>
      </c>
    </row>
    <row r="67" spans="1:10" x14ac:dyDescent="0.25">
      <c r="A67" s="1" t="s">
        <v>146</v>
      </c>
      <c r="B67" s="1" t="s">
        <v>8</v>
      </c>
      <c r="C67" s="1" t="s">
        <v>18</v>
      </c>
      <c r="D67" s="1" t="s">
        <v>147</v>
      </c>
      <c r="E67" s="4">
        <v>2</v>
      </c>
      <c r="F67" s="1" t="s">
        <v>11</v>
      </c>
      <c r="G67" s="2">
        <v>899.99</v>
      </c>
      <c r="H67" s="3">
        <v>45439</v>
      </c>
      <c r="I67" t="str">
        <f>TEXT(deepseek_csv_20260408_349e04[[#This Row],[Date Of Purchase ]], "dddd")</f>
        <v>Monday</v>
      </c>
      <c r="J67" t="str">
        <f>TEXT(deepseek_csv_20260408_349e04[[#This Row],[Date Of Purchase ]],"mmmm")</f>
        <v>May</v>
      </c>
    </row>
    <row r="68" spans="1:10" x14ac:dyDescent="0.25">
      <c r="A68" s="1" t="s">
        <v>148</v>
      </c>
      <c r="B68" s="1" t="s">
        <v>13</v>
      </c>
      <c r="C68" s="1" t="s">
        <v>14</v>
      </c>
      <c r="D68" s="1" t="s">
        <v>149</v>
      </c>
      <c r="E68" s="4">
        <v>1</v>
      </c>
      <c r="F68" s="1" t="s">
        <v>16</v>
      </c>
      <c r="G68" s="2">
        <v>49.99</v>
      </c>
      <c r="H68" s="3">
        <v>45440</v>
      </c>
      <c r="I68" t="str">
        <f>TEXT(deepseek_csv_20260408_349e04[[#This Row],[Date Of Purchase ]], "dddd")</f>
        <v>Tuesday</v>
      </c>
      <c r="J68" t="str">
        <f>TEXT(deepseek_csv_20260408_349e04[[#This Row],[Date Of Purchase ]],"mmmm")</f>
        <v>May</v>
      </c>
    </row>
    <row r="69" spans="1:10" x14ac:dyDescent="0.25">
      <c r="A69" s="1" t="s">
        <v>150</v>
      </c>
      <c r="B69" s="1" t="s">
        <v>34</v>
      </c>
      <c r="C69" s="1" t="s">
        <v>25</v>
      </c>
      <c r="D69" s="1" t="s">
        <v>151</v>
      </c>
      <c r="E69" s="4">
        <v>2</v>
      </c>
      <c r="F69" s="1" t="s">
        <v>11</v>
      </c>
      <c r="G69" s="2">
        <v>74.989999999999995</v>
      </c>
      <c r="H69" s="3">
        <v>45441</v>
      </c>
      <c r="I69" t="str">
        <f>TEXT(deepseek_csv_20260408_349e04[[#This Row],[Date Of Purchase ]], "dddd")</f>
        <v>Wednesday</v>
      </c>
      <c r="J69" t="str">
        <f>TEXT(deepseek_csv_20260408_349e04[[#This Row],[Date Of Purchase ]],"mmmm")</f>
        <v>May</v>
      </c>
    </row>
    <row r="70" spans="1:10" x14ac:dyDescent="0.25">
      <c r="A70" s="1" t="s">
        <v>152</v>
      </c>
      <c r="B70" s="1" t="s">
        <v>8</v>
      </c>
      <c r="C70" s="1" t="s">
        <v>9</v>
      </c>
      <c r="D70" s="1" t="s">
        <v>153</v>
      </c>
      <c r="E70" s="4">
        <v>3</v>
      </c>
      <c r="F70" s="1" t="s">
        <v>11</v>
      </c>
      <c r="G70" s="2">
        <v>269.99</v>
      </c>
      <c r="H70" s="3">
        <v>45442</v>
      </c>
      <c r="I70" t="str">
        <f>TEXT(deepseek_csv_20260408_349e04[[#This Row],[Date Of Purchase ]], "dddd")</f>
        <v>Thursday</v>
      </c>
      <c r="J70" t="str">
        <f>TEXT(deepseek_csv_20260408_349e04[[#This Row],[Date Of Purchase ]],"mmmm")</f>
        <v>May</v>
      </c>
    </row>
    <row r="71" spans="1:10" x14ac:dyDescent="0.25">
      <c r="A71" s="1" t="s">
        <v>154</v>
      </c>
      <c r="B71" s="1" t="s">
        <v>13</v>
      </c>
      <c r="C71" s="1" t="s">
        <v>18</v>
      </c>
      <c r="D71" s="1" t="s">
        <v>155</v>
      </c>
      <c r="E71" s="4">
        <v>1</v>
      </c>
      <c r="F71" s="1" t="s">
        <v>11</v>
      </c>
      <c r="G71" s="2">
        <v>39.99</v>
      </c>
      <c r="H71" s="3">
        <v>45443</v>
      </c>
      <c r="I71" t="str">
        <f>TEXT(deepseek_csv_20260408_349e04[[#This Row],[Date Of Purchase ]], "dddd")</f>
        <v>Friday</v>
      </c>
      <c r="J71" t="str">
        <f>TEXT(deepseek_csv_20260408_349e04[[#This Row],[Date Of Purchase ]],"mmmm")</f>
        <v>May</v>
      </c>
    </row>
    <row r="72" spans="1:10" x14ac:dyDescent="0.25">
      <c r="A72" s="1" t="s">
        <v>156</v>
      </c>
      <c r="B72" s="1" t="s">
        <v>34</v>
      </c>
      <c r="C72" s="1" t="s">
        <v>14</v>
      </c>
      <c r="D72" s="1" t="s">
        <v>157</v>
      </c>
      <c r="E72" s="4">
        <v>2</v>
      </c>
      <c r="F72" s="1" t="s">
        <v>16</v>
      </c>
      <c r="G72" s="2">
        <v>159.99</v>
      </c>
      <c r="H72" s="3">
        <v>45444</v>
      </c>
      <c r="I72" t="str">
        <f>TEXT(deepseek_csv_20260408_349e04[[#This Row],[Date Of Purchase ]], "dddd")</f>
        <v>Saturday</v>
      </c>
      <c r="J72" t="str">
        <f>TEXT(deepseek_csv_20260408_349e04[[#This Row],[Date Of Purchase ]],"mmmm")</f>
        <v>June</v>
      </c>
    </row>
    <row r="73" spans="1:10" x14ac:dyDescent="0.25">
      <c r="A73" s="1" t="s">
        <v>158</v>
      </c>
      <c r="B73" s="1" t="s">
        <v>8</v>
      </c>
      <c r="C73" s="1" t="s">
        <v>25</v>
      </c>
      <c r="D73" s="1" t="s">
        <v>159</v>
      </c>
      <c r="E73" s="4">
        <v>1</v>
      </c>
      <c r="F73" s="1" t="s">
        <v>11</v>
      </c>
      <c r="G73" s="2">
        <v>549.99</v>
      </c>
      <c r="H73" s="3">
        <v>45445</v>
      </c>
      <c r="I73" t="str">
        <f>TEXT(deepseek_csv_20260408_349e04[[#This Row],[Date Of Purchase ]], "dddd")</f>
        <v>Sunday</v>
      </c>
      <c r="J73" t="str">
        <f>TEXT(deepseek_csv_20260408_349e04[[#This Row],[Date Of Purchase ]],"mmmm")</f>
        <v>June</v>
      </c>
    </row>
    <row r="74" spans="1:10" x14ac:dyDescent="0.25">
      <c r="A74" s="1" t="s">
        <v>160</v>
      </c>
      <c r="B74" s="1" t="s">
        <v>13</v>
      </c>
      <c r="C74" s="1" t="s">
        <v>9</v>
      </c>
      <c r="D74" s="1" t="s">
        <v>161</v>
      </c>
      <c r="E74" s="4">
        <v>2</v>
      </c>
      <c r="F74" s="1" t="s">
        <v>16</v>
      </c>
      <c r="G74" s="2">
        <v>79.989999999999995</v>
      </c>
      <c r="H74" s="3">
        <v>45446</v>
      </c>
      <c r="I74" t="str">
        <f>TEXT(deepseek_csv_20260408_349e04[[#This Row],[Date Of Purchase ]], "dddd")</f>
        <v>Monday</v>
      </c>
      <c r="J74" t="str">
        <f>TEXT(deepseek_csv_20260408_349e04[[#This Row],[Date Of Purchase ]],"mmmm")</f>
        <v>June</v>
      </c>
    </row>
    <row r="75" spans="1:10" x14ac:dyDescent="0.25">
      <c r="A75" s="1" t="s">
        <v>162</v>
      </c>
      <c r="B75" s="1" t="s">
        <v>34</v>
      </c>
      <c r="C75" s="1" t="s">
        <v>18</v>
      </c>
      <c r="D75" s="1" t="s">
        <v>163</v>
      </c>
      <c r="E75" s="4">
        <v>3</v>
      </c>
      <c r="F75" s="1" t="s">
        <v>11</v>
      </c>
      <c r="G75" s="2">
        <v>99.99</v>
      </c>
      <c r="H75" s="3">
        <v>45447</v>
      </c>
      <c r="I75" t="str">
        <f>TEXT(deepseek_csv_20260408_349e04[[#This Row],[Date Of Purchase ]], "dddd")</f>
        <v>Tuesday</v>
      </c>
      <c r="J75" t="str">
        <f>TEXT(deepseek_csv_20260408_349e04[[#This Row],[Date Of Purchase ]],"mmmm")</f>
        <v>June</v>
      </c>
    </row>
    <row r="76" spans="1:10" x14ac:dyDescent="0.25">
      <c r="A76" s="1" t="s">
        <v>164</v>
      </c>
      <c r="B76" s="1" t="s">
        <v>8</v>
      </c>
      <c r="C76" s="1" t="s">
        <v>14</v>
      </c>
      <c r="D76" s="1" t="s">
        <v>165</v>
      </c>
      <c r="E76" s="4">
        <v>1</v>
      </c>
      <c r="F76" s="1" t="s">
        <v>16</v>
      </c>
      <c r="G76" s="2">
        <v>399.99</v>
      </c>
      <c r="H76" s="3">
        <v>45448</v>
      </c>
      <c r="I76" t="str">
        <f>TEXT(deepseek_csv_20260408_349e04[[#This Row],[Date Of Purchase ]], "dddd")</f>
        <v>Wednesday</v>
      </c>
      <c r="J76" t="str">
        <f>TEXT(deepseek_csv_20260408_349e04[[#This Row],[Date Of Purchase ]],"mmmm")</f>
        <v>June</v>
      </c>
    </row>
    <row r="77" spans="1:10" x14ac:dyDescent="0.25">
      <c r="A77" s="1" t="s">
        <v>166</v>
      </c>
      <c r="B77" s="1" t="s">
        <v>13</v>
      </c>
      <c r="C77" s="1" t="s">
        <v>25</v>
      </c>
      <c r="D77" s="1" t="s">
        <v>167</v>
      </c>
      <c r="E77" s="4">
        <v>2</v>
      </c>
      <c r="F77" s="1" t="s">
        <v>11</v>
      </c>
      <c r="G77" s="2">
        <v>65</v>
      </c>
      <c r="H77" s="3">
        <v>45449</v>
      </c>
      <c r="I77" t="str">
        <f>TEXT(deepseek_csv_20260408_349e04[[#This Row],[Date Of Purchase ]], "dddd")</f>
        <v>Thursday</v>
      </c>
      <c r="J77" t="str">
        <f>TEXT(deepseek_csv_20260408_349e04[[#This Row],[Date Of Purchase ]],"mmmm")</f>
        <v>June</v>
      </c>
    </row>
    <row r="78" spans="1:10" x14ac:dyDescent="0.25">
      <c r="A78" s="1" t="s">
        <v>168</v>
      </c>
      <c r="B78" s="1" t="s">
        <v>34</v>
      </c>
      <c r="C78" s="1" t="s">
        <v>9</v>
      </c>
      <c r="D78" s="1" t="s">
        <v>169</v>
      </c>
      <c r="E78" s="4">
        <v>1</v>
      </c>
      <c r="F78" s="1" t="s">
        <v>16</v>
      </c>
      <c r="G78" s="2">
        <v>119.99</v>
      </c>
      <c r="H78" s="3">
        <v>45450</v>
      </c>
      <c r="I78" t="str">
        <f>TEXT(deepseek_csv_20260408_349e04[[#This Row],[Date Of Purchase ]], "dddd")</f>
        <v>Friday</v>
      </c>
      <c r="J78" t="str">
        <f>TEXT(deepseek_csv_20260408_349e04[[#This Row],[Date Of Purchase ]],"mmmm")</f>
        <v>June</v>
      </c>
    </row>
    <row r="79" spans="1:10" x14ac:dyDescent="0.25">
      <c r="A79" s="1" t="s">
        <v>170</v>
      </c>
      <c r="B79" s="1" t="s">
        <v>8</v>
      </c>
      <c r="C79" s="1" t="s">
        <v>18</v>
      </c>
      <c r="D79" s="1" t="s">
        <v>171</v>
      </c>
      <c r="E79" s="4">
        <v>2</v>
      </c>
      <c r="F79" s="1" t="s">
        <v>16</v>
      </c>
      <c r="G79" s="2">
        <v>679.99</v>
      </c>
      <c r="H79" s="3">
        <v>45451</v>
      </c>
      <c r="I79" t="str">
        <f>TEXT(deepseek_csv_20260408_349e04[[#This Row],[Date Of Purchase ]], "dddd")</f>
        <v>Saturday</v>
      </c>
      <c r="J79" t="str">
        <f>TEXT(deepseek_csv_20260408_349e04[[#This Row],[Date Of Purchase ]],"mmmm")</f>
        <v>June</v>
      </c>
    </row>
    <row r="80" spans="1:10" x14ac:dyDescent="0.25">
      <c r="A80" s="1" t="s">
        <v>172</v>
      </c>
      <c r="B80" s="1" t="s">
        <v>13</v>
      </c>
      <c r="C80" s="1" t="s">
        <v>14</v>
      </c>
      <c r="D80" s="1" t="s">
        <v>173</v>
      </c>
      <c r="E80" s="4">
        <v>3</v>
      </c>
      <c r="F80" s="1" t="s">
        <v>11</v>
      </c>
      <c r="G80" s="2">
        <v>45</v>
      </c>
      <c r="H80" s="3">
        <v>45452</v>
      </c>
      <c r="I80" t="str">
        <f>TEXT(deepseek_csv_20260408_349e04[[#This Row],[Date Of Purchase ]], "dddd")</f>
        <v>Sunday</v>
      </c>
      <c r="J80" t="str">
        <f>TEXT(deepseek_csv_20260408_349e04[[#This Row],[Date Of Purchase ]],"mmmm")</f>
        <v>June</v>
      </c>
    </row>
    <row r="81" spans="1:10" x14ac:dyDescent="0.25">
      <c r="A81" s="1" t="s">
        <v>174</v>
      </c>
      <c r="B81" s="1" t="s">
        <v>34</v>
      </c>
      <c r="C81" s="1" t="s">
        <v>25</v>
      </c>
      <c r="D81" s="1" t="s">
        <v>175</v>
      </c>
      <c r="E81" s="4">
        <v>1</v>
      </c>
      <c r="F81" s="1" t="s">
        <v>16</v>
      </c>
      <c r="G81" s="2">
        <v>189.99</v>
      </c>
      <c r="H81" s="3">
        <v>45453</v>
      </c>
      <c r="I81" t="str">
        <f>TEXT(deepseek_csv_20260408_349e04[[#This Row],[Date Of Purchase ]], "dddd")</f>
        <v>Monday</v>
      </c>
      <c r="J81" t="str">
        <f>TEXT(deepseek_csv_20260408_349e04[[#This Row],[Date Of Purchase ]],"mmmm")</f>
        <v>June</v>
      </c>
    </row>
    <row r="82" spans="1:10" x14ac:dyDescent="0.25">
      <c r="A82" s="1" t="s">
        <v>176</v>
      </c>
      <c r="B82" s="1" t="s">
        <v>8</v>
      </c>
      <c r="C82" s="1" t="s">
        <v>9</v>
      </c>
      <c r="D82" s="1" t="s">
        <v>177</v>
      </c>
      <c r="E82" s="4">
        <v>2</v>
      </c>
      <c r="F82" s="1" t="s">
        <v>11</v>
      </c>
      <c r="G82" s="2">
        <v>499.99</v>
      </c>
      <c r="H82" s="3">
        <v>45454</v>
      </c>
      <c r="I82" t="str">
        <f>TEXT(deepseek_csv_20260408_349e04[[#This Row],[Date Of Purchase ]], "dddd")</f>
        <v>Tuesday</v>
      </c>
      <c r="J82" t="str">
        <f>TEXT(deepseek_csv_20260408_349e04[[#This Row],[Date Of Purchase ]],"mmmm")</f>
        <v>June</v>
      </c>
    </row>
    <row r="83" spans="1:10" x14ac:dyDescent="0.25">
      <c r="A83" s="1" t="s">
        <v>178</v>
      </c>
      <c r="B83" s="1" t="s">
        <v>13</v>
      </c>
      <c r="C83" s="1" t="s">
        <v>18</v>
      </c>
      <c r="D83" s="1" t="s">
        <v>179</v>
      </c>
      <c r="E83" s="4">
        <v>1</v>
      </c>
      <c r="F83" s="1" t="s">
        <v>11</v>
      </c>
      <c r="G83" s="2">
        <v>59.99</v>
      </c>
      <c r="H83" s="3">
        <v>45455</v>
      </c>
      <c r="I83" t="str">
        <f>TEXT(deepseek_csv_20260408_349e04[[#This Row],[Date Of Purchase ]], "dddd")</f>
        <v>Wednesday</v>
      </c>
      <c r="J83" t="str">
        <f>TEXT(deepseek_csv_20260408_349e04[[#This Row],[Date Of Purchase ]],"mmmm")</f>
        <v>June</v>
      </c>
    </row>
    <row r="84" spans="1:10" x14ac:dyDescent="0.25">
      <c r="A84" s="1" t="s">
        <v>180</v>
      </c>
      <c r="B84" s="1" t="s">
        <v>34</v>
      </c>
      <c r="C84" s="1" t="s">
        <v>14</v>
      </c>
      <c r="D84" s="1" t="s">
        <v>181</v>
      </c>
      <c r="E84" s="4">
        <v>2</v>
      </c>
      <c r="F84" s="1" t="s">
        <v>16</v>
      </c>
      <c r="G84" s="2">
        <v>129.99</v>
      </c>
      <c r="H84" s="3">
        <v>45456</v>
      </c>
      <c r="I84" t="str">
        <f>TEXT(deepseek_csv_20260408_349e04[[#This Row],[Date Of Purchase ]], "dddd")</f>
        <v>Thursday</v>
      </c>
      <c r="J84" t="str">
        <f>TEXT(deepseek_csv_20260408_349e04[[#This Row],[Date Of Purchase ]],"mmmm")</f>
        <v>June</v>
      </c>
    </row>
    <row r="85" spans="1:10" x14ac:dyDescent="0.25">
      <c r="A85" s="1" t="s">
        <v>182</v>
      </c>
      <c r="B85" s="1" t="s">
        <v>8</v>
      </c>
      <c r="C85" s="1" t="s">
        <v>25</v>
      </c>
      <c r="D85" s="1" t="s">
        <v>183</v>
      </c>
      <c r="E85" s="4">
        <v>3</v>
      </c>
      <c r="F85" s="1" t="s">
        <v>11</v>
      </c>
      <c r="G85" s="2">
        <v>749.99</v>
      </c>
      <c r="H85" s="3">
        <v>45457</v>
      </c>
      <c r="I85" t="str">
        <f>TEXT(deepseek_csv_20260408_349e04[[#This Row],[Date Of Purchase ]], "dddd")</f>
        <v>Friday</v>
      </c>
      <c r="J85" t="str">
        <f>TEXT(deepseek_csv_20260408_349e04[[#This Row],[Date Of Purchase ]],"mmmm")</f>
        <v>June</v>
      </c>
    </row>
    <row r="86" spans="1:10" x14ac:dyDescent="0.25">
      <c r="A86" s="1" t="s">
        <v>184</v>
      </c>
      <c r="B86" s="1" t="s">
        <v>13</v>
      </c>
      <c r="C86" s="1" t="s">
        <v>9</v>
      </c>
      <c r="D86" s="1" t="s">
        <v>185</v>
      </c>
      <c r="E86" s="4">
        <v>1</v>
      </c>
      <c r="F86" s="1" t="s">
        <v>16</v>
      </c>
      <c r="G86" s="2">
        <v>85</v>
      </c>
      <c r="H86" s="3">
        <v>45458</v>
      </c>
      <c r="I86" t="str">
        <f>TEXT(deepseek_csv_20260408_349e04[[#This Row],[Date Of Purchase ]], "dddd")</f>
        <v>Saturday</v>
      </c>
      <c r="J86" t="str">
        <f>TEXT(deepseek_csv_20260408_349e04[[#This Row],[Date Of Purchase ]],"mmmm")</f>
        <v>June</v>
      </c>
    </row>
    <row r="87" spans="1:10" x14ac:dyDescent="0.25">
      <c r="A87" s="1" t="s">
        <v>186</v>
      </c>
      <c r="B87" s="1" t="s">
        <v>34</v>
      </c>
      <c r="C87" s="1" t="s">
        <v>18</v>
      </c>
      <c r="D87" s="1" t="s">
        <v>187</v>
      </c>
      <c r="E87" s="4">
        <v>2</v>
      </c>
      <c r="F87" s="1" t="s">
        <v>11</v>
      </c>
      <c r="G87" s="2">
        <v>94.99</v>
      </c>
      <c r="H87" s="3">
        <v>45459</v>
      </c>
      <c r="I87" t="str">
        <f>TEXT(deepseek_csv_20260408_349e04[[#This Row],[Date Of Purchase ]], "dddd")</f>
        <v>Sunday</v>
      </c>
      <c r="J87" t="str">
        <f>TEXT(deepseek_csv_20260408_349e04[[#This Row],[Date Of Purchase ]],"mmmm")</f>
        <v>June</v>
      </c>
    </row>
    <row r="88" spans="1:10" x14ac:dyDescent="0.25">
      <c r="A88" s="1" t="s">
        <v>188</v>
      </c>
      <c r="B88" s="1" t="s">
        <v>8</v>
      </c>
      <c r="C88" s="1" t="s">
        <v>14</v>
      </c>
      <c r="D88" s="1" t="s">
        <v>189</v>
      </c>
      <c r="E88" s="4">
        <v>1</v>
      </c>
      <c r="F88" s="1" t="s">
        <v>11</v>
      </c>
      <c r="G88" s="2">
        <v>299.99</v>
      </c>
      <c r="H88" s="3">
        <v>45460</v>
      </c>
      <c r="I88" t="str">
        <f>TEXT(deepseek_csv_20260408_349e04[[#This Row],[Date Of Purchase ]], "dddd")</f>
        <v>Monday</v>
      </c>
      <c r="J88" t="str">
        <f>TEXT(deepseek_csv_20260408_349e04[[#This Row],[Date Of Purchase ]],"mmmm")</f>
        <v>June</v>
      </c>
    </row>
    <row r="89" spans="1:10" x14ac:dyDescent="0.25">
      <c r="A89" s="1" t="s">
        <v>190</v>
      </c>
      <c r="B89" s="1" t="s">
        <v>13</v>
      </c>
      <c r="C89" s="1" t="s">
        <v>25</v>
      </c>
      <c r="D89" s="1" t="s">
        <v>191</v>
      </c>
      <c r="E89" s="4">
        <v>2</v>
      </c>
      <c r="F89" s="1" t="s">
        <v>16</v>
      </c>
      <c r="G89" s="2">
        <v>49.99</v>
      </c>
      <c r="H89" s="3">
        <v>45461</v>
      </c>
      <c r="I89" t="str">
        <f>TEXT(deepseek_csv_20260408_349e04[[#This Row],[Date Of Purchase ]], "dddd")</f>
        <v>Tuesday</v>
      </c>
      <c r="J89" t="str">
        <f>TEXT(deepseek_csv_20260408_349e04[[#This Row],[Date Of Purchase ]],"mmmm")</f>
        <v>June</v>
      </c>
    </row>
    <row r="90" spans="1:10" x14ac:dyDescent="0.25">
      <c r="A90" s="1" t="s">
        <v>192</v>
      </c>
      <c r="B90" s="1" t="s">
        <v>34</v>
      </c>
      <c r="C90" s="1" t="s">
        <v>9</v>
      </c>
      <c r="D90" s="1" t="s">
        <v>193</v>
      </c>
      <c r="E90" s="4">
        <v>3</v>
      </c>
      <c r="F90" s="1" t="s">
        <v>11</v>
      </c>
      <c r="G90" s="2">
        <v>149.99</v>
      </c>
      <c r="H90" s="3">
        <v>45462</v>
      </c>
      <c r="I90" t="str">
        <f>TEXT(deepseek_csv_20260408_349e04[[#This Row],[Date Of Purchase ]], "dddd")</f>
        <v>Wednesday</v>
      </c>
      <c r="J90" t="str">
        <f>TEXT(deepseek_csv_20260408_349e04[[#This Row],[Date Of Purchase ]],"mmmm")</f>
        <v>June</v>
      </c>
    </row>
    <row r="91" spans="1:10" x14ac:dyDescent="0.25">
      <c r="A91" s="1" t="s">
        <v>194</v>
      </c>
      <c r="B91" s="1" t="s">
        <v>8</v>
      </c>
      <c r="C91" s="1" t="s">
        <v>18</v>
      </c>
      <c r="D91" s="1" t="s">
        <v>195</v>
      </c>
      <c r="E91" s="4">
        <v>1</v>
      </c>
      <c r="F91" s="1" t="s">
        <v>16</v>
      </c>
      <c r="G91" s="2">
        <v>549.99</v>
      </c>
      <c r="H91" s="3">
        <v>45463</v>
      </c>
      <c r="I91" t="str">
        <f>TEXT(deepseek_csv_20260408_349e04[[#This Row],[Date Of Purchase ]], "dddd")</f>
        <v>Thursday</v>
      </c>
      <c r="J91" t="str">
        <f>TEXT(deepseek_csv_20260408_349e04[[#This Row],[Date Of Purchase ]],"mmmm")</f>
        <v>June</v>
      </c>
    </row>
    <row r="92" spans="1:10" x14ac:dyDescent="0.25">
      <c r="A92" s="1" t="s">
        <v>196</v>
      </c>
      <c r="B92" s="1" t="s">
        <v>13</v>
      </c>
      <c r="C92" s="1" t="s">
        <v>14</v>
      </c>
      <c r="D92" s="1" t="s">
        <v>197</v>
      </c>
      <c r="E92" s="4">
        <v>2</v>
      </c>
      <c r="F92" s="1" t="s">
        <v>11</v>
      </c>
      <c r="G92" s="2">
        <v>69.989999999999995</v>
      </c>
      <c r="H92" s="3">
        <v>45464</v>
      </c>
      <c r="I92" t="str">
        <f>TEXT(deepseek_csv_20260408_349e04[[#This Row],[Date Of Purchase ]], "dddd")</f>
        <v>Friday</v>
      </c>
      <c r="J92" t="str">
        <f>TEXT(deepseek_csv_20260408_349e04[[#This Row],[Date Of Purchase ]],"mmmm")</f>
        <v>June</v>
      </c>
    </row>
    <row r="93" spans="1:10" x14ac:dyDescent="0.25">
      <c r="A93" s="1" t="s">
        <v>198</v>
      </c>
      <c r="B93" s="1" t="s">
        <v>34</v>
      </c>
      <c r="C93" s="1" t="s">
        <v>25</v>
      </c>
      <c r="D93" s="1" t="s">
        <v>199</v>
      </c>
      <c r="E93" s="4">
        <v>1</v>
      </c>
      <c r="F93" s="1" t="s">
        <v>16</v>
      </c>
      <c r="G93" s="2">
        <v>199.99</v>
      </c>
      <c r="H93" s="3">
        <v>45465</v>
      </c>
      <c r="I93" t="str">
        <f>TEXT(deepseek_csv_20260408_349e04[[#This Row],[Date Of Purchase ]], "dddd")</f>
        <v>Saturday</v>
      </c>
      <c r="J93" t="str">
        <f>TEXT(deepseek_csv_20260408_349e04[[#This Row],[Date Of Purchase ]],"mmmm")</f>
        <v>June</v>
      </c>
    </row>
    <row r="94" spans="1:10" x14ac:dyDescent="0.25">
      <c r="A94" s="1" t="s">
        <v>200</v>
      </c>
      <c r="B94" s="1" t="s">
        <v>8</v>
      </c>
      <c r="C94" s="1" t="s">
        <v>9</v>
      </c>
      <c r="D94" s="1" t="s">
        <v>201</v>
      </c>
      <c r="E94" s="4">
        <v>2</v>
      </c>
      <c r="F94" s="1" t="s">
        <v>11</v>
      </c>
      <c r="G94" s="2">
        <v>399.99</v>
      </c>
      <c r="H94" s="3">
        <v>45466</v>
      </c>
      <c r="I94" t="str">
        <f>TEXT(deepseek_csv_20260408_349e04[[#This Row],[Date Of Purchase ]], "dddd")</f>
        <v>Sunday</v>
      </c>
      <c r="J94" t="str">
        <f>TEXT(deepseek_csv_20260408_349e04[[#This Row],[Date Of Purchase ]],"mmmm")</f>
        <v>June</v>
      </c>
    </row>
    <row r="95" spans="1:10" x14ac:dyDescent="0.25">
      <c r="A95" s="1" t="s">
        <v>52</v>
      </c>
      <c r="B95" s="1" t="s">
        <v>13</v>
      </c>
      <c r="C95" s="1" t="s">
        <v>18</v>
      </c>
      <c r="D95" s="1" t="s">
        <v>202</v>
      </c>
      <c r="E95" s="4">
        <v>1</v>
      </c>
      <c r="F95" s="1" t="s">
        <v>11</v>
      </c>
      <c r="G95" s="2">
        <v>39.99</v>
      </c>
      <c r="H95" s="3">
        <v>45467</v>
      </c>
      <c r="I95" t="str">
        <f>TEXT(deepseek_csv_20260408_349e04[[#This Row],[Date Of Purchase ]], "dddd")</f>
        <v>Monday</v>
      </c>
      <c r="J95" t="str">
        <f>TEXT(deepseek_csv_20260408_349e04[[#This Row],[Date Of Purchase ]],"mmmm")</f>
        <v>June</v>
      </c>
    </row>
    <row r="96" spans="1:10" x14ac:dyDescent="0.25">
      <c r="A96" s="1" t="s">
        <v>203</v>
      </c>
      <c r="B96" s="1" t="s">
        <v>34</v>
      </c>
      <c r="C96" s="1" t="s">
        <v>14</v>
      </c>
      <c r="D96" s="1" t="s">
        <v>204</v>
      </c>
      <c r="E96" s="4">
        <v>3</v>
      </c>
      <c r="F96" s="1" t="s">
        <v>16</v>
      </c>
      <c r="G96" s="2">
        <v>89.99</v>
      </c>
      <c r="H96" s="3">
        <v>45468</v>
      </c>
      <c r="I96" t="str">
        <f>TEXT(deepseek_csv_20260408_349e04[[#This Row],[Date Of Purchase ]], "dddd")</f>
        <v>Tuesday</v>
      </c>
      <c r="J96" t="str">
        <f>TEXT(deepseek_csv_20260408_349e04[[#This Row],[Date Of Purchase ]],"mmmm")</f>
        <v>June</v>
      </c>
    </row>
    <row r="97" spans="1:10" x14ac:dyDescent="0.25">
      <c r="A97" s="1" t="s">
        <v>205</v>
      </c>
      <c r="B97" s="1" t="s">
        <v>8</v>
      </c>
      <c r="C97" s="1" t="s">
        <v>25</v>
      </c>
      <c r="D97" s="1" t="s">
        <v>206</v>
      </c>
      <c r="E97" s="4">
        <v>1</v>
      </c>
      <c r="F97" s="1" t="s">
        <v>11</v>
      </c>
      <c r="G97" s="2">
        <v>459.99</v>
      </c>
      <c r="H97" s="3">
        <v>45469</v>
      </c>
      <c r="I97" t="str">
        <f>TEXT(deepseek_csv_20260408_349e04[[#This Row],[Date Of Purchase ]], "dddd")</f>
        <v>Wednesday</v>
      </c>
      <c r="J97" t="str">
        <f>TEXT(deepseek_csv_20260408_349e04[[#This Row],[Date Of Purchase ]],"mmmm")</f>
        <v>June</v>
      </c>
    </row>
    <row r="98" spans="1:10" x14ac:dyDescent="0.25">
      <c r="A98" s="1" t="s">
        <v>207</v>
      </c>
      <c r="B98" s="1" t="s">
        <v>13</v>
      </c>
      <c r="C98" s="1" t="s">
        <v>9</v>
      </c>
      <c r="D98" s="1" t="s">
        <v>208</v>
      </c>
      <c r="E98" s="4">
        <v>2</v>
      </c>
      <c r="F98" s="1" t="s">
        <v>11</v>
      </c>
      <c r="G98" s="2">
        <v>55</v>
      </c>
      <c r="H98" s="3">
        <v>45470</v>
      </c>
      <c r="I98" t="str">
        <f>TEXT(deepseek_csv_20260408_349e04[[#This Row],[Date Of Purchase ]], "dddd")</f>
        <v>Thursday</v>
      </c>
      <c r="J98" t="str">
        <f>TEXT(deepseek_csv_20260408_349e04[[#This Row],[Date Of Purchase ]],"mmmm")</f>
        <v>June</v>
      </c>
    </row>
    <row r="99" spans="1:10" x14ac:dyDescent="0.25">
      <c r="A99" s="1" t="s">
        <v>209</v>
      </c>
      <c r="B99" s="1" t="s">
        <v>34</v>
      </c>
      <c r="C99" s="1" t="s">
        <v>18</v>
      </c>
      <c r="D99" s="1" t="s">
        <v>210</v>
      </c>
      <c r="E99" s="4">
        <v>1</v>
      </c>
      <c r="F99" s="1" t="s">
        <v>16</v>
      </c>
      <c r="G99" s="2">
        <v>109.99</v>
      </c>
      <c r="H99" s="3">
        <v>45471</v>
      </c>
      <c r="I99" t="str">
        <f>TEXT(deepseek_csv_20260408_349e04[[#This Row],[Date Of Purchase ]], "dddd")</f>
        <v>Friday</v>
      </c>
      <c r="J99" t="str">
        <f>TEXT(deepseek_csv_20260408_349e04[[#This Row],[Date Of Purchase ]],"mmmm")</f>
        <v>June</v>
      </c>
    </row>
    <row r="100" spans="1:10" x14ac:dyDescent="0.25">
      <c r="A100" s="1" t="s">
        <v>211</v>
      </c>
      <c r="B100" s="1" t="s">
        <v>8</v>
      </c>
      <c r="C100" s="1" t="s">
        <v>14</v>
      </c>
      <c r="D100" s="1" t="s">
        <v>212</v>
      </c>
      <c r="E100" s="4">
        <v>2</v>
      </c>
      <c r="F100" s="1" t="s">
        <v>11</v>
      </c>
      <c r="G100" s="2">
        <v>629.99</v>
      </c>
      <c r="H100" s="3">
        <v>45472</v>
      </c>
      <c r="I100" t="str">
        <f>TEXT(deepseek_csv_20260408_349e04[[#This Row],[Date Of Purchase ]], "dddd")</f>
        <v>Saturday</v>
      </c>
      <c r="J100" t="str">
        <f>TEXT(deepseek_csv_20260408_349e04[[#This Row],[Date Of Purchase ]],"mmmm")</f>
        <v>June</v>
      </c>
    </row>
    <row r="101" spans="1:10" x14ac:dyDescent="0.25">
      <c r="A101" s="1" t="s">
        <v>213</v>
      </c>
      <c r="B101" s="1" t="s">
        <v>13</v>
      </c>
      <c r="C101" s="1" t="s">
        <v>25</v>
      </c>
      <c r="D101" s="1" t="s">
        <v>214</v>
      </c>
      <c r="E101" s="4">
        <v>3</v>
      </c>
      <c r="F101" s="1" t="s">
        <v>16</v>
      </c>
      <c r="G101" s="2">
        <v>75</v>
      </c>
      <c r="H101" s="3">
        <v>45473</v>
      </c>
      <c r="I101" t="str">
        <f>TEXT(deepseek_csv_20260408_349e04[[#This Row],[Date Of Purchase ]], "dddd")</f>
        <v>Sunday</v>
      </c>
      <c r="J101" t="str">
        <f>TEXT(deepseek_csv_20260408_349e04[[#This Row],[Date Of Purchase ]],"mmmm")</f>
        <v>June</v>
      </c>
    </row>
    <row r="102" spans="1:10" x14ac:dyDescent="0.25">
      <c r="A102" s="1" t="s">
        <v>215</v>
      </c>
      <c r="B102" s="1" t="s">
        <v>34</v>
      </c>
      <c r="C102" s="1" t="s">
        <v>9</v>
      </c>
      <c r="D102" s="1" t="s">
        <v>216</v>
      </c>
      <c r="E102" s="4">
        <v>1</v>
      </c>
      <c r="F102" s="1" t="s">
        <v>11</v>
      </c>
      <c r="G102" s="2">
        <v>135</v>
      </c>
      <c r="H102" s="3">
        <v>45474</v>
      </c>
      <c r="I102" t="str">
        <f>TEXT(deepseek_csv_20260408_349e04[[#This Row],[Date Of Purchase ]], "dddd")</f>
        <v>Monday</v>
      </c>
      <c r="J102" t="str">
        <f>TEXT(deepseek_csv_20260408_349e04[[#This Row],[Date Of Purchase ]],"mmmm")</f>
        <v>July</v>
      </c>
    </row>
    <row r="103" spans="1:10" x14ac:dyDescent="0.25">
      <c r="A103" s="1" t="s">
        <v>217</v>
      </c>
      <c r="B103" s="1" t="s">
        <v>8</v>
      </c>
      <c r="C103" s="1" t="s">
        <v>18</v>
      </c>
      <c r="D103" s="1" t="s">
        <v>218</v>
      </c>
      <c r="E103" s="4">
        <v>2</v>
      </c>
      <c r="F103" s="1" t="s">
        <v>16</v>
      </c>
      <c r="G103" s="2">
        <v>799.99</v>
      </c>
      <c r="H103" s="3">
        <v>45475</v>
      </c>
      <c r="I103" t="str">
        <f>TEXT(deepseek_csv_20260408_349e04[[#This Row],[Date Of Purchase ]], "dddd")</f>
        <v>Tuesday</v>
      </c>
      <c r="J103" t="str">
        <f>TEXT(deepseek_csv_20260408_349e04[[#This Row],[Date Of Purchase ]],"mmmm")</f>
        <v>July</v>
      </c>
    </row>
    <row r="104" spans="1:10" x14ac:dyDescent="0.25">
      <c r="A104" s="1" t="s">
        <v>219</v>
      </c>
      <c r="B104" s="1" t="s">
        <v>13</v>
      </c>
      <c r="C104" s="1" t="s">
        <v>14</v>
      </c>
      <c r="D104" s="1" t="s">
        <v>220</v>
      </c>
      <c r="E104" s="4">
        <v>1</v>
      </c>
      <c r="F104" s="1" t="s">
        <v>11</v>
      </c>
      <c r="G104" s="2">
        <v>49.99</v>
      </c>
      <c r="H104" s="3">
        <v>45476</v>
      </c>
      <c r="I104" t="str">
        <f>TEXT(deepseek_csv_20260408_349e04[[#This Row],[Date Of Purchase ]], "dddd")</f>
        <v>Wednesday</v>
      </c>
      <c r="J104" t="str">
        <f>TEXT(deepseek_csv_20260408_349e04[[#This Row],[Date Of Purchase ]],"mmmm")</f>
        <v>July</v>
      </c>
    </row>
    <row r="105" spans="1:10" x14ac:dyDescent="0.25">
      <c r="A105" s="1" t="s">
        <v>221</v>
      </c>
      <c r="B105" s="1" t="s">
        <v>34</v>
      </c>
      <c r="C105" s="1" t="s">
        <v>25</v>
      </c>
      <c r="D105" s="1" t="s">
        <v>222</v>
      </c>
      <c r="E105" s="4">
        <v>2</v>
      </c>
      <c r="F105" s="1" t="s">
        <v>11</v>
      </c>
      <c r="G105" s="2">
        <v>159.99</v>
      </c>
      <c r="H105" s="3">
        <v>45477</v>
      </c>
      <c r="I105" t="str">
        <f>TEXT(deepseek_csv_20260408_349e04[[#This Row],[Date Of Purchase ]], "dddd")</f>
        <v>Thursday</v>
      </c>
      <c r="J105" t="str">
        <f>TEXT(deepseek_csv_20260408_349e04[[#This Row],[Date Of Purchase ]],"mmmm")</f>
        <v>July</v>
      </c>
    </row>
    <row r="106" spans="1:10" x14ac:dyDescent="0.25">
      <c r="A106" s="1" t="s">
        <v>223</v>
      </c>
      <c r="B106" s="1" t="s">
        <v>8</v>
      </c>
      <c r="C106" s="1" t="s">
        <v>9</v>
      </c>
      <c r="D106" s="1" t="s">
        <v>224</v>
      </c>
      <c r="E106" s="4">
        <v>3</v>
      </c>
      <c r="F106" s="1" t="s">
        <v>16</v>
      </c>
      <c r="G106" s="2">
        <v>349.99</v>
      </c>
      <c r="H106" s="3">
        <v>45478</v>
      </c>
      <c r="I106" t="str">
        <f>TEXT(deepseek_csv_20260408_349e04[[#This Row],[Date Of Purchase ]], "dddd")</f>
        <v>Friday</v>
      </c>
      <c r="J106" t="str">
        <f>TEXT(deepseek_csv_20260408_349e04[[#This Row],[Date Of Purchase ]],"mmmm")</f>
        <v>July</v>
      </c>
    </row>
    <row r="107" spans="1:10" x14ac:dyDescent="0.25">
      <c r="A107" s="1" t="s">
        <v>225</v>
      </c>
      <c r="B107" s="1" t="s">
        <v>13</v>
      </c>
      <c r="C107" s="1" t="s">
        <v>18</v>
      </c>
      <c r="D107" s="1" t="s">
        <v>226</v>
      </c>
      <c r="E107" s="4">
        <v>1</v>
      </c>
      <c r="F107" s="1" t="s">
        <v>11</v>
      </c>
      <c r="G107" s="2">
        <v>89.99</v>
      </c>
      <c r="H107" s="3">
        <v>45479</v>
      </c>
      <c r="I107" t="str">
        <f>TEXT(deepseek_csv_20260408_349e04[[#This Row],[Date Of Purchase ]], "dddd")</f>
        <v>Saturday</v>
      </c>
      <c r="J107" t="str">
        <f>TEXT(deepseek_csv_20260408_349e04[[#This Row],[Date Of Purchase ]],"mmmm")</f>
        <v>July</v>
      </c>
    </row>
    <row r="108" spans="1:10" x14ac:dyDescent="0.25">
      <c r="A108" s="1" t="s">
        <v>227</v>
      </c>
      <c r="B108" s="1" t="s">
        <v>34</v>
      </c>
      <c r="C108" s="1" t="s">
        <v>14</v>
      </c>
      <c r="D108" s="1" t="s">
        <v>228</v>
      </c>
      <c r="E108" s="4">
        <v>2</v>
      </c>
      <c r="F108" s="1" t="s">
        <v>16</v>
      </c>
      <c r="G108" s="2">
        <v>199.99</v>
      </c>
      <c r="H108" s="3">
        <v>45480</v>
      </c>
      <c r="I108" t="str">
        <f>TEXT(deepseek_csv_20260408_349e04[[#This Row],[Date Of Purchase ]], "dddd")</f>
        <v>Sunday</v>
      </c>
      <c r="J108" t="str">
        <f>TEXT(deepseek_csv_20260408_349e04[[#This Row],[Date Of Purchase ]],"mmmm")</f>
        <v>July</v>
      </c>
    </row>
    <row r="109" spans="1:10" x14ac:dyDescent="0.25">
      <c r="A109" s="1" t="s">
        <v>229</v>
      </c>
      <c r="B109" s="1" t="s">
        <v>8</v>
      </c>
      <c r="C109" s="1" t="s">
        <v>25</v>
      </c>
      <c r="D109" s="1" t="s">
        <v>230</v>
      </c>
      <c r="E109" s="4">
        <v>1</v>
      </c>
      <c r="F109" s="1" t="s">
        <v>11</v>
      </c>
      <c r="G109" s="2">
        <v>499.99</v>
      </c>
      <c r="H109" s="3">
        <v>45481</v>
      </c>
      <c r="I109" t="str">
        <f>TEXT(deepseek_csv_20260408_349e04[[#This Row],[Date Of Purchase ]], "dddd")</f>
        <v>Monday</v>
      </c>
      <c r="J109" t="str">
        <f>TEXT(deepseek_csv_20260408_349e04[[#This Row],[Date Of Purchase ]],"mmmm")</f>
        <v>July</v>
      </c>
    </row>
    <row r="110" spans="1:10" x14ac:dyDescent="0.25">
      <c r="A110" s="1" t="s">
        <v>231</v>
      </c>
      <c r="B110" s="1" t="s">
        <v>13</v>
      </c>
      <c r="C110" s="1" t="s">
        <v>9</v>
      </c>
      <c r="D110" s="1" t="s">
        <v>232</v>
      </c>
      <c r="E110" s="4">
        <v>2</v>
      </c>
      <c r="F110" s="1" t="s">
        <v>11</v>
      </c>
      <c r="G110" s="2">
        <v>59.99</v>
      </c>
      <c r="H110" s="3">
        <v>45482</v>
      </c>
      <c r="I110" t="str">
        <f>TEXT(deepseek_csv_20260408_349e04[[#This Row],[Date Of Purchase ]], "dddd")</f>
        <v>Tuesday</v>
      </c>
      <c r="J110" t="str">
        <f>TEXT(deepseek_csv_20260408_349e04[[#This Row],[Date Of Purchase ]],"mmmm")</f>
        <v>July</v>
      </c>
    </row>
    <row r="111" spans="1:10" x14ac:dyDescent="0.25">
      <c r="A111" s="1" t="s">
        <v>233</v>
      </c>
      <c r="B111" s="1" t="s">
        <v>34</v>
      </c>
      <c r="C111" s="1" t="s">
        <v>18</v>
      </c>
      <c r="D111" s="1" t="s">
        <v>234</v>
      </c>
      <c r="E111" s="4">
        <v>3</v>
      </c>
      <c r="F111" s="1" t="s">
        <v>16</v>
      </c>
      <c r="G111" s="2">
        <v>119.99</v>
      </c>
      <c r="H111" s="3">
        <v>45483</v>
      </c>
      <c r="I111" t="str">
        <f>TEXT(deepseek_csv_20260408_349e04[[#This Row],[Date Of Purchase ]], "dddd")</f>
        <v>Wednesday</v>
      </c>
      <c r="J111" t="str">
        <f>TEXT(deepseek_csv_20260408_349e04[[#This Row],[Date Of Purchase ]],"mmmm")</f>
        <v>July</v>
      </c>
    </row>
    <row r="112" spans="1:10" x14ac:dyDescent="0.25">
      <c r="A112" s="1" t="s">
        <v>235</v>
      </c>
      <c r="B112" s="1" t="s">
        <v>8</v>
      </c>
      <c r="C112" s="1" t="s">
        <v>14</v>
      </c>
      <c r="D112" s="1" t="s">
        <v>236</v>
      </c>
      <c r="E112" s="4">
        <v>1</v>
      </c>
      <c r="F112" s="1" t="s">
        <v>16</v>
      </c>
      <c r="G112" s="2">
        <v>449.99</v>
      </c>
      <c r="H112" s="3">
        <v>45484</v>
      </c>
      <c r="I112" t="str">
        <f>TEXT(deepseek_csv_20260408_349e04[[#This Row],[Date Of Purchase ]], "dddd")</f>
        <v>Thursday</v>
      </c>
      <c r="J112" t="str">
        <f>TEXT(deepseek_csv_20260408_349e04[[#This Row],[Date Of Purchase ]],"mmmm")</f>
        <v>July</v>
      </c>
    </row>
    <row r="113" spans="1:10" x14ac:dyDescent="0.25">
      <c r="A113" s="1" t="s">
        <v>237</v>
      </c>
      <c r="B113" s="1" t="s">
        <v>13</v>
      </c>
      <c r="C113" s="1" t="s">
        <v>25</v>
      </c>
      <c r="D113" s="1" t="s">
        <v>238</v>
      </c>
      <c r="E113" s="4">
        <v>2</v>
      </c>
      <c r="F113" s="1" t="s">
        <v>11</v>
      </c>
      <c r="G113" s="2">
        <v>79.989999999999995</v>
      </c>
      <c r="H113" s="3">
        <v>45485</v>
      </c>
      <c r="I113" t="str">
        <f>TEXT(deepseek_csv_20260408_349e04[[#This Row],[Date Of Purchase ]], "dddd")</f>
        <v>Friday</v>
      </c>
      <c r="J113" t="str">
        <f>TEXT(deepseek_csv_20260408_349e04[[#This Row],[Date Of Purchase ]],"mmmm")</f>
        <v>July</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1560C0-2208-460B-B276-A1F966F2EB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2026-04-08T12:24:44Z</dcterms:created>
  <dcterms:modified xsi:type="dcterms:W3CDTF">2026-04-08T15:16:20Z</dcterms:modified>
</cp:coreProperties>
</file>