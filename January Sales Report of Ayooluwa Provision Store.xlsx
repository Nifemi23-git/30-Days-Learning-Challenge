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_Visualization_Olaleye_Praise\"/>
    </mc:Choice>
  </mc:AlternateContent>
  <xr:revisionPtr revIDLastSave="0" documentId="8_{F93398C2-5289-4944-872F-6BB0FC2683A2}" xr6:coauthVersionLast="47" xr6:coauthVersionMax="47" xr10:uidLastSave="{00000000-0000-0000-0000-000000000000}"/>
  <bookViews>
    <workbookView xWindow="-120" yWindow="-120" windowWidth="20730" windowHeight="11160" activeTab="2" xr2:uid="{AC283A8B-85A1-43BC-811E-0941826F9748}"/>
  </bookViews>
  <sheets>
    <sheet name="Chart for Profit&amp; S.P" sheetId="2" r:id="rId1"/>
    <sheet name="Sheet1" sheetId="1" r:id="rId2"/>
    <sheet name="Validated Chart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" l="1" a="1"/>
  <c r="C17" i="3" s="1"/>
  <c r="F5" i="1"/>
  <c r="F6" i="1"/>
  <c r="F7" i="1"/>
  <c r="F8" i="1"/>
  <c r="F9" i="1"/>
  <c r="F10" i="1"/>
  <c r="F11" i="1"/>
  <c r="F12" i="1"/>
  <c r="F13" i="1"/>
  <c r="F14" i="1"/>
  <c r="F4" i="1"/>
  <c r="E15" i="1"/>
  <c r="D15" i="1"/>
  <c r="C15" i="1"/>
  <c r="B15" i="1"/>
  <c r="E4" i="1"/>
  <c r="F15" i="1" l="1"/>
  <c r="E12" i="1"/>
  <c r="E8" i="1"/>
  <c r="E11" i="1"/>
  <c r="E7" i="1"/>
  <c r="E14" i="1"/>
  <c r="E10" i="1"/>
  <c r="E6" i="1"/>
  <c r="E13" i="1"/>
  <c r="E9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<sst xmlns="http://schemas.openxmlformats.org/spreadsheetml/2006/main" count="62" uniqueCount="24">
  <si>
    <t>Provision</t>
  </si>
  <si>
    <t xml:space="preserve"> JANUARY SALES REPORT FOR AYOOLUWA PROVISION STORE</t>
  </si>
  <si>
    <t>Quantity Sold</t>
  </si>
  <si>
    <t>Amount</t>
  </si>
  <si>
    <t>Profit</t>
  </si>
  <si>
    <t>Sugar</t>
  </si>
  <si>
    <t>Milk</t>
  </si>
  <si>
    <t>Milo</t>
  </si>
  <si>
    <t>Bournvita</t>
  </si>
  <si>
    <t>Golden Morn</t>
  </si>
  <si>
    <t>Cornflakes</t>
  </si>
  <si>
    <t>Biscuits</t>
  </si>
  <si>
    <t>Sweets</t>
  </si>
  <si>
    <t>Custard</t>
  </si>
  <si>
    <t>Lipton</t>
  </si>
  <si>
    <t>Coffee</t>
  </si>
  <si>
    <t>Grand Total</t>
  </si>
  <si>
    <t>Sum of Profit</t>
  </si>
  <si>
    <t>Max of Selling Price</t>
  </si>
  <si>
    <t>Provisions</t>
  </si>
  <si>
    <t>Total</t>
  </si>
  <si>
    <t>Cost Price/Unit</t>
  </si>
  <si>
    <t>Selling Price/Unit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</si>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</sst>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-468]\ #,##0.00"/>
    <numFmt numFmtId="165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 applyAlignment="1">
      <alignment horizontal="center"/>
    </xf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4">
    <dxf>
      <numFmt numFmtId="3" formatCode="#,##0"/>
    </dxf>
    <dxf>
      <numFmt numFmtId="165" formatCode="&quot;$&quot;#,##0"/>
    </dxf>
    <dxf>
      <numFmt numFmtId="3" formatCode="#,##0"/>
    </dxf>
    <dxf>
      <numFmt numFmtId="3" formatCode="#,##0"/>
    </dxf>
    <dxf>
      <numFmt numFmtId="165" formatCode="&quot;$&quot;#,##0"/>
    </dxf>
    <dxf>
      <numFmt numFmtId="165" formatCode="&quot;$&quot;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[$₦-468]\ #,##0.00"/>
    </dxf>
    <dxf>
      <numFmt numFmtId="164" formatCode="[$₦-468]\ #,##0.00"/>
    </dxf>
    <dxf>
      <numFmt numFmtId="164" formatCode="[$₦-468]\ #,##0.00"/>
    </dxf>
    <dxf>
      <numFmt numFmtId="164" formatCode="[$₦-468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[January Sales Report of Ayooluwa Provision Store.xlsx]Chart for Profit&amp; S.P!PivotTable1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</a:t>
            </a:r>
            <a:r>
              <a:rPr lang="en-US" baseline="0"/>
              <a:t> Sales Report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'Chart for Profit&amp; S.P'!$B$3</c:f>
              <c:strCache>
                <c:ptCount val="1"/>
                <c:pt idx="0">
                  <c:v>Max of Selling Price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'Chart for Profit&amp; S.P'!$A$4:$A$15</c:f>
              <c:strCache>
                <c:ptCount val="11"/>
                <c:pt idx="0">
                  <c:v>Biscuits</c:v>
                </c:pt>
                <c:pt idx="1">
                  <c:v>Bournvita</c:v>
                </c:pt>
                <c:pt idx="2">
                  <c:v>Coffee</c:v>
                </c:pt>
                <c:pt idx="3">
                  <c:v>Cornflakes</c:v>
                </c:pt>
                <c:pt idx="4">
                  <c:v>Custard</c:v>
                </c:pt>
                <c:pt idx="5">
                  <c:v>Golden Morn</c:v>
                </c:pt>
                <c:pt idx="6">
                  <c:v>Lipton</c:v>
                </c:pt>
                <c:pt idx="7">
                  <c:v>Milk</c:v>
                </c:pt>
                <c:pt idx="8">
                  <c:v>Milo</c:v>
                </c:pt>
                <c:pt idx="9">
                  <c:v>Sugar</c:v>
                </c:pt>
                <c:pt idx="10">
                  <c:v>Sweets</c:v>
                </c:pt>
              </c:strCache>
            </c:strRef>
          </c:cat>
          <c:val>
            <c:numRef>
              <c:f>'Chart for Profit&amp; S.P'!$B$4:$B$15</c:f>
              <c:numCache>
                <c:formatCode>"$"#,##0</c:formatCode>
                <c:ptCount val="11"/>
                <c:pt idx="0">
                  <c:v>1316</c:v>
                </c:pt>
                <c:pt idx="1">
                  <c:v>1493</c:v>
                </c:pt>
                <c:pt idx="2">
                  <c:v>1410</c:v>
                </c:pt>
                <c:pt idx="3">
                  <c:v>1619</c:v>
                </c:pt>
                <c:pt idx="4">
                  <c:v>1708</c:v>
                </c:pt>
                <c:pt idx="5">
                  <c:v>1508</c:v>
                </c:pt>
                <c:pt idx="6">
                  <c:v>1356</c:v>
                </c:pt>
                <c:pt idx="7">
                  <c:v>1705</c:v>
                </c:pt>
                <c:pt idx="8">
                  <c:v>1160</c:v>
                </c:pt>
                <c:pt idx="9">
                  <c:v>1490</c:v>
                </c:pt>
                <c:pt idx="10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E-4573-9D90-2C5477F949E0}"/>
            </c:ext>
          </c:extLst>
        </c:ser>
        <c:ser>
          <c:idx val="1"/>
          <c:order val="1"/>
          <c:tx>
            <c:strRef>
              <c:f>'Chart for Profit&amp; S.P'!$C$3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'Chart for Profit&amp; S.P'!$A$4:$A$15</c:f>
              <c:strCache>
                <c:ptCount val="11"/>
                <c:pt idx="0">
                  <c:v>Biscuits</c:v>
                </c:pt>
                <c:pt idx="1">
                  <c:v>Bournvita</c:v>
                </c:pt>
                <c:pt idx="2">
                  <c:v>Coffee</c:v>
                </c:pt>
                <c:pt idx="3">
                  <c:v>Cornflakes</c:v>
                </c:pt>
                <c:pt idx="4">
                  <c:v>Custard</c:v>
                </c:pt>
                <c:pt idx="5">
                  <c:v>Golden Morn</c:v>
                </c:pt>
                <c:pt idx="6">
                  <c:v>Lipton</c:v>
                </c:pt>
                <c:pt idx="7">
                  <c:v>Milk</c:v>
                </c:pt>
                <c:pt idx="8">
                  <c:v>Milo</c:v>
                </c:pt>
                <c:pt idx="9">
                  <c:v>Sugar</c:v>
                </c:pt>
                <c:pt idx="10">
                  <c:v>Sweets</c:v>
                </c:pt>
              </c:strCache>
            </c:strRef>
          </c:cat>
          <c:val>
            <c:numRef>
              <c:f>'Chart for Profit&amp; S.P'!$C$4:$C$15</c:f>
              <c:numCache>
                <c:formatCode>"$"#,##0</c:formatCode>
                <c:ptCount val="11"/>
                <c:pt idx="0">
                  <c:v>758</c:v>
                </c:pt>
                <c:pt idx="1">
                  <c:v>720</c:v>
                </c:pt>
                <c:pt idx="2">
                  <c:v>710</c:v>
                </c:pt>
                <c:pt idx="3">
                  <c:v>964</c:v>
                </c:pt>
                <c:pt idx="4">
                  <c:v>1120</c:v>
                </c:pt>
                <c:pt idx="5">
                  <c:v>551</c:v>
                </c:pt>
                <c:pt idx="6">
                  <c:v>447</c:v>
                </c:pt>
                <c:pt idx="7">
                  <c:v>1111</c:v>
                </c:pt>
                <c:pt idx="8">
                  <c:v>415</c:v>
                </c:pt>
                <c:pt idx="9">
                  <c:v>726</c:v>
                </c:pt>
                <c:pt idx="10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E-4573-9D90-2C5477F9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9668351"/>
        <c:axId val="139667935"/>
        <c:axId val="0"/>
      </c:bar3DChart>
      <c:catAx>
        <c:axId val="13966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7935"/>
        <c:crosses val="autoZero"/>
        <c:auto val="1"/>
        <c:lblAlgn val="ctr"/>
        <c:lblOffset val="100"/>
        <c:noMultiLvlLbl val="0"/>
      </c:catAx>
      <c:valAx>
        <c:axId val="139667935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'Validated Chart'!$C$16</c:f>
              <c:strCache>
                <c:ptCount val="1"/>
                <c:pt idx="0">
                  <c:v>Selling Price/Unit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'Validated Chart'!$B$17:$B$27</c:f>
              <c:strCache>
                <c:ptCount val="11"/>
                <c:pt idx="0">
                  <c:v>Sugar</c:v>
                </c:pt>
                <c:pt idx="1">
                  <c:v>Milk</c:v>
                </c:pt>
                <c:pt idx="2">
                  <c:v>Milo</c:v>
                </c:pt>
                <c:pt idx="3">
                  <c:v>Bournvita</c:v>
                </c:pt>
                <c:pt idx="4">
                  <c:v>Golden Morn</c:v>
                </c:pt>
                <c:pt idx="5">
                  <c:v>Cornflakes</c:v>
                </c:pt>
                <c:pt idx="6">
                  <c:v>Biscuits</c:v>
                </c:pt>
                <c:pt idx="7">
                  <c:v>Sweets</c:v>
                </c:pt>
                <c:pt idx="8">
                  <c:v>Custard</c:v>
                </c:pt>
                <c:pt idx="9">
                  <c:v>Lipton</c:v>
                </c:pt>
                <c:pt idx="10">
                  <c:v>Coffee</c:v>
                </c:pt>
              </c:strCache>
            </c:strRef>
          </c:cat>
          <c:val>
            <c:numRef>
              <c:f>'Validated Chart'!$C$17:$C$27</c:f>
              <c:numCache>
                <c:formatCode>"$"#,##0</c:formatCode>
                <c:ptCount val="11"/>
                <c:pt idx="0">
                  <c:v>1490</c:v>
                </c:pt>
                <c:pt idx="1">
                  <c:v>1705</c:v>
                </c:pt>
                <c:pt idx="2">
                  <c:v>1160</c:v>
                </c:pt>
                <c:pt idx="3">
                  <c:v>1493</c:v>
                </c:pt>
                <c:pt idx="4">
                  <c:v>1508</c:v>
                </c:pt>
                <c:pt idx="5">
                  <c:v>1619</c:v>
                </c:pt>
                <c:pt idx="6">
                  <c:v>1316</c:v>
                </c:pt>
                <c:pt idx="7">
                  <c:v>1212</c:v>
                </c:pt>
                <c:pt idx="8">
                  <c:v>1708</c:v>
                </c:pt>
                <c:pt idx="9">
                  <c:v>1356</c:v>
                </c:pt>
                <c:pt idx="10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9-4159-B301-BEEFA1854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904352"/>
        <c:axId val="1560904768"/>
      </c:barChart>
      <c:catAx>
        <c:axId val="15609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904768"/>
        <c:crosses val="autoZero"/>
        <c:auto val="1"/>
        <c:lblAlgn val="ctr"/>
        <c:lblOffset val="100"/>
        <c:noMultiLvlLbl val="0"/>
      </c:catAx>
      <c:valAx>
        <c:axId val="156090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90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166687</xdr:rowOff>
    </xdr:from>
    <xdr:to>
      <xdr:col>9</xdr:col>
      <xdr:colOff>352425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93E684-41CD-42EC-B2D9-88DD29457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14</xdr:row>
      <xdr:rowOff>61912</xdr:rowOff>
    </xdr:from>
    <xdr:to>
      <xdr:col>9</xdr:col>
      <xdr:colOff>409575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32866-52A3-4C63-B7E0-4083FD5BD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7.067407175928" createdVersion="7" refreshedVersion="7" minRefreshableVersion="3" recordCount="11" xr:uid="{DDB36A2F-C021-4C84-8A72-1C58319F88AD}">
  <cacheSource type="worksheet">
    <worksheetSource name="Table2"/>
  </cacheSource>
  <cacheFields count="6">
    <cacheField name="Provision" numFmtId="0">
      <sharedItems count="11">
        <s v="Sugar"/>
        <s v="Milk"/>
        <s v="Milo"/>
        <s v="Bournvita"/>
        <s v="Golden Morn"/>
        <s v="Cornflakes"/>
        <s v="Biscuits"/>
        <s v="Sweets"/>
        <s v="Custard"/>
        <s v="Lipton"/>
        <s v="Coffee"/>
      </sharedItems>
    </cacheField>
    <cacheField name="Cost Price" numFmtId="0">
      <sharedItems containsSemiMixedTypes="0" containsString="0" containsNumber="1" containsInteger="1" minValue="558" maxValue="957"/>
    </cacheField>
    <cacheField name="Selling Price" numFmtId="0">
      <sharedItems containsSemiMixedTypes="0" containsString="0" containsNumber="1" containsInteger="1" minValue="1160" maxValue="1708"/>
    </cacheField>
    <cacheField name="Quantity Sold" numFmtId="0">
      <sharedItems containsSemiMixedTypes="0" containsString="0" containsNumber="1" containsInteger="1" minValue="20" maxValue="49"/>
    </cacheField>
    <cacheField name="Amount" numFmtId="0">
      <sharedItems containsSemiMixedTypes="0" containsString="0" containsNumber="1" containsInteger="1" minValue="24240" maxValue="73892"/>
    </cacheField>
    <cacheField name="Profit" numFmtId="0">
      <sharedItems containsSemiMixedTypes="0" containsString="0" containsNumber="1" containsInteger="1" minValue="328" maxValue="1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764"/>
    <n v="1490"/>
    <n v="21"/>
    <n v="31290"/>
    <n v="726"/>
  </r>
  <r>
    <x v="1"/>
    <n v="594"/>
    <n v="1705"/>
    <n v="38"/>
    <n v="64790"/>
    <n v="1111"/>
  </r>
  <r>
    <x v="2"/>
    <n v="745"/>
    <n v="1160"/>
    <n v="42"/>
    <n v="48720"/>
    <n v="415"/>
  </r>
  <r>
    <x v="3"/>
    <n v="773"/>
    <n v="1493"/>
    <n v="23"/>
    <n v="34339"/>
    <n v="720"/>
  </r>
  <r>
    <x v="4"/>
    <n v="957"/>
    <n v="1508"/>
    <n v="49"/>
    <n v="73892"/>
    <n v="551"/>
  </r>
  <r>
    <x v="5"/>
    <n v="655"/>
    <n v="1619"/>
    <n v="32"/>
    <n v="51808"/>
    <n v="964"/>
  </r>
  <r>
    <x v="6"/>
    <n v="558"/>
    <n v="1316"/>
    <n v="42"/>
    <n v="55272"/>
    <n v="758"/>
  </r>
  <r>
    <x v="7"/>
    <n v="884"/>
    <n v="1212"/>
    <n v="20"/>
    <n v="24240"/>
    <n v="328"/>
  </r>
  <r>
    <x v="8"/>
    <n v="588"/>
    <n v="1708"/>
    <n v="25"/>
    <n v="42700"/>
    <n v="1120"/>
  </r>
  <r>
    <x v="9"/>
    <n v="909"/>
    <n v="1356"/>
    <n v="29"/>
    <n v="39324"/>
    <n v="447"/>
  </r>
  <r>
    <x v="10"/>
    <n v="700"/>
    <n v="1410"/>
    <n v="28"/>
    <n v="39480"/>
    <n v="7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4098E-677A-4B30-9FCB-F61F76706C3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Provisions">
  <location ref="A3:C15" firstHeaderRow="0" firstDataRow="1" firstDataCol="1"/>
  <pivotFields count="6">
    <pivotField axis="axisRow" showAll="0" sortType="ascending">
      <items count="12">
        <item x="6"/>
        <item x="3"/>
        <item x="10"/>
        <item x="5"/>
        <item x="8"/>
        <item x="4"/>
        <item x="9"/>
        <item x="1"/>
        <item x="2"/>
        <item x="0"/>
        <item x="7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Selling Price" fld="2" subtotal="max" baseField="0" baseItem="0" numFmtId="165"/>
    <dataField name="Sum of Profit" fld="5" baseField="0" baseItem="0" numFmtId="165"/>
  </dataFields>
  <formats count="4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41E46-CC64-4F6B-843B-8E137A317EC5}" name="Table2" displayName="Table2" ref="A3:F15" totalsRowShown="0">
  <autoFilter ref="A3:F15" xr:uid="{07441E46-CC64-4F6B-843B-8E137A317EC5}"/>
  <tableColumns count="6">
    <tableColumn id="1" xr3:uid="{B12FEAF5-1B41-4253-8EAE-3F6A26922B5D}" name="Provision"/>
    <tableColumn id="2" xr3:uid="{CA975C77-85FB-46ED-AC92-D71D61A4683A}" name="Cost Price/Unit" dataDxfId="13"/>
    <tableColumn id="3" xr3:uid="{F883E1FC-2C54-44ED-9A50-A54F1856173D}" name="Selling Price/Unit" dataDxfId="12"/>
    <tableColumn id="4" xr3:uid="{26E11E12-28EB-4474-91AF-0466464E04D3}" name="Quantity Sold" dataDxfId="0"/>
    <tableColumn id="5" xr3:uid="{F76CB531-015A-4D82-9883-D955CCA4EC9A}" name="Amount" dataDxfId="11">
      <calculatedColumnFormula>C4*D4</calculatedColumnFormula>
    </tableColumn>
    <tableColumn id="6" xr3:uid="{2C422DC6-442A-439C-B9B9-345FCBC1D26F}" name="Profit" dataDxfId="10">
      <calculatedColumnFormula>C4-B4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80A7-B9DF-41D2-A6D4-81D3C43CCADD}">
  <dimension ref="A3:C15"/>
  <sheetViews>
    <sheetView workbookViewId="0">
      <selection activeCell="K13" sqref="K13"/>
    </sheetView>
  </sheetViews>
  <sheetFormatPr defaultRowHeight="15" x14ac:dyDescent="0.25"/>
  <cols>
    <col min="1" max="1" width="12.5703125" bestFit="1" customWidth="1"/>
    <col min="2" max="2" width="18.7109375" bestFit="1" customWidth="1"/>
    <col min="3" max="3" width="12.5703125" bestFit="1" customWidth="1"/>
    <col min="4" max="4" width="19.85546875" bestFit="1" customWidth="1"/>
  </cols>
  <sheetData>
    <row r="3" spans="1:3" x14ac:dyDescent="0.25">
      <c r="A3" s="1" t="s">
        <v>19</v>
      </c>
      <c r="B3" s="5" t="s">
        <v>18</v>
      </c>
      <c r="C3" t="s">
        <v>17</v>
      </c>
    </row>
    <row r="4" spans="1:3" x14ac:dyDescent="0.25">
      <c r="A4" s="2" t="s">
        <v>11</v>
      </c>
      <c r="B4" s="6">
        <v>1316</v>
      </c>
      <c r="C4" s="6">
        <v>758</v>
      </c>
    </row>
    <row r="5" spans="1:3" x14ac:dyDescent="0.25">
      <c r="A5" s="2" t="s">
        <v>8</v>
      </c>
      <c r="B5" s="6">
        <v>1493</v>
      </c>
      <c r="C5" s="6">
        <v>720</v>
      </c>
    </row>
    <row r="6" spans="1:3" x14ac:dyDescent="0.25">
      <c r="A6" s="2" t="s">
        <v>15</v>
      </c>
      <c r="B6" s="6">
        <v>1410</v>
      </c>
      <c r="C6" s="6">
        <v>710</v>
      </c>
    </row>
    <row r="7" spans="1:3" x14ac:dyDescent="0.25">
      <c r="A7" s="2" t="s">
        <v>10</v>
      </c>
      <c r="B7" s="6">
        <v>1619</v>
      </c>
      <c r="C7" s="6">
        <v>964</v>
      </c>
    </row>
    <row r="8" spans="1:3" x14ac:dyDescent="0.25">
      <c r="A8" s="2" t="s">
        <v>13</v>
      </c>
      <c r="B8" s="6">
        <v>1708</v>
      </c>
      <c r="C8" s="6">
        <v>1120</v>
      </c>
    </row>
    <row r="9" spans="1:3" x14ac:dyDescent="0.25">
      <c r="A9" s="2" t="s">
        <v>9</v>
      </c>
      <c r="B9" s="6">
        <v>1508</v>
      </c>
      <c r="C9" s="6">
        <v>551</v>
      </c>
    </row>
    <row r="10" spans="1:3" x14ac:dyDescent="0.25">
      <c r="A10" s="2" t="s">
        <v>14</v>
      </c>
      <c r="B10" s="6">
        <v>1356</v>
      </c>
      <c r="C10" s="6">
        <v>447</v>
      </c>
    </row>
    <row r="11" spans="1:3" x14ac:dyDescent="0.25">
      <c r="A11" s="2" t="s">
        <v>6</v>
      </c>
      <c r="B11" s="6">
        <v>1705</v>
      </c>
      <c r="C11" s="6">
        <v>1111</v>
      </c>
    </row>
    <row r="12" spans="1:3" x14ac:dyDescent="0.25">
      <c r="A12" s="2" t="s">
        <v>7</v>
      </c>
      <c r="B12" s="6">
        <v>1160</v>
      </c>
      <c r="C12" s="6">
        <v>415</v>
      </c>
    </row>
    <row r="13" spans="1:3" x14ac:dyDescent="0.25">
      <c r="A13" s="2" t="s">
        <v>5</v>
      </c>
      <c r="B13" s="6">
        <v>1490</v>
      </c>
      <c r="C13" s="6">
        <v>726</v>
      </c>
    </row>
    <row r="14" spans="1:3" x14ac:dyDescent="0.25">
      <c r="A14" s="2" t="s">
        <v>12</v>
      </c>
      <c r="B14" s="6">
        <v>1212</v>
      </c>
      <c r="C14" s="6">
        <v>328</v>
      </c>
    </row>
    <row r="15" spans="1:3" x14ac:dyDescent="0.25">
      <c r="A15" s="2" t="s">
        <v>16</v>
      </c>
      <c r="B15" s="6">
        <v>1708</v>
      </c>
      <c r="C15" s="6">
        <v>7850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A919-DCCA-4248-B61B-3C786649C822}">
  <dimension ref="A2:G15"/>
  <sheetViews>
    <sheetView topLeftCell="A4" workbookViewId="0">
      <selection activeCell="A18" sqref="A18"/>
    </sheetView>
  </sheetViews>
  <sheetFormatPr defaultColWidth="21.7109375" defaultRowHeight="15" x14ac:dyDescent="0.25"/>
  <sheetData>
    <row r="2" spans="1:7" x14ac:dyDescent="0.25">
      <c r="A2" s="4" t="s">
        <v>1</v>
      </c>
      <c r="B2" s="4"/>
      <c r="C2" s="4"/>
      <c r="D2" s="4"/>
      <c r="E2" s="4"/>
      <c r="F2" s="4"/>
      <c r="G2" s="4"/>
    </row>
    <row r="3" spans="1:7" x14ac:dyDescent="0.25">
      <c r="A3" t="s">
        <v>0</v>
      </c>
      <c r="B3" s="3" t="s">
        <v>21</v>
      </c>
      <c r="C3" s="3" t="s">
        <v>22</v>
      </c>
      <c r="D3" s="5" t="s">
        <v>2</v>
      </c>
      <c r="E3" s="3" t="s">
        <v>3</v>
      </c>
      <c r="F3" s="3" t="s">
        <v>4</v>
      </c>
    </row>
    <row r="4" spans="1:7" x14ac:dyDescent="0.25">
      <c r="A4" t="s">
        <v>5</v>
      </c>
      <c r="B4" s="3">
        <v>764</v>
      </c>
      <c r="C4" s="3">
        <v>1490</v>
      </c>
      <c r="D4" s="5">
        <v>21</v>
      </c>
      <c r="E4" s="3">
        <f>C4*D4</f>
        <v>31290</v>
      </c>
      <c r="F4" s="3">
        <f>(C4-B4)*Table2[[#This Row],[Quantity Sold]]</f>
        <v>15246</v>
      </c>
    </row>
    <row r="5" spans="1:7" x14ac:dyDescent="0.25">
      <c r="A5" t="s">
        <v>6</v>
      </c>
      <c r="B5" s="3">
        <v>594</v>
      </c>
      <c r="C5" s="3">
        <v>1705</v>
      </c>
      <c r="D5" s="5">
        <v>38</v>
      </c>
      <c r="E5" s="3">
        <f t="shared" ref="E5:E14" si="0">C5*D5</f>
        <v>64790</v>
      </c>
      <c r="F5" s="3">
        <f>(C5-B5)*Table2[[#This Row],[Quantity Sold]]</f>
        <v>42218</v>
      </c>
    </row>
    <row r="6" spans="1:7" x14ac:dyDescent="0.25">
      <c r="A6" t="s">
        <v>7</v>
      </c>
      <c r="B6" s="3">
        <v>745</v>
      </c>
      <c r="C6" s="3">
        <v>1160</v>
      </c>
      <c r="D6" s="5">
        <v>42</v>
      </c>
      <c r="E6" s="3">
        <f t="shared" si="0"/>
        <v>48720</v>
      </c>
      <c r="F6" s="3">
        <f>(C6-B6)*Table2[[#This Row],[Quantity Sold]]</f>
        <v>17430</v>
      </c>
    </row>
    <row r="7" spans="1:7" x14ac:dyDescent="0.25">
      <c r="A7" t="s">
        <v>8</v>
      </c>
      <c r="B7" s="3">
        <v>773</v>
      </c>
      <c r="C7" s="3">
        <v>1493</v>
      </c>
      <c r="D7" s="5">
        <v>23</v>
      </c>
      <c r="E7" s="3">
        <f t="shared" si="0"/>
        <v>34339</v>
      </c>
      <c r="F7" s="3">
        <f>(C7-B7)*Table2[[#This Row],[Quantity Sold]]</f>
        <v>16560</v>
      </c>
    </row>
    <row r="8" spans="1:7" x14ac:dyDescent="0.25">
      <c r="A8" t="s">
        <v>9</v>
      </c>
      <c r="B8" s="3">
        <v>957</v>
      </c>
      <c r="C8" s="3">
        <v>1508</v>
      </c>
      <c r="D8" s="5">
        <v>49</v>
      </c>
      <c r="E8" s="3">
        <f t="shared" si="0"/>
        <v>73892</v>
      </c>
      <c r="F8" s="3">
        <f>(C8-B8)*Table2[[#This Row],[Quantity Sold]]</f>
        <v>26999</v>
      </c>
    </row>
    <row r="9" spans="1:7" x14ac:dyDescent="0.25">
      <c r="A9" t="s">
        <v>10</v>
      </c>
      <c r="B9" s="3">
        <v>655</v>
      </c>
      <c r="C9" s="3">
        <v>1619</v>
      </c>
      <c r="D9" s="5">
        <v>32</v>
      </c>
      <c r="E9" s="3">
        <f t="shared" si="0"/>
        <v>51808</v>
      </c>
      <c r="F9" s="3">
        <f>(C9-B9)*Table2[[#This Row],[Quantity Sold]]</f>
        <v>30848</v>
      </c>
    </row>
    <row r="10" spans="1:7" x14ac:dyDescent="0.25">
      <c r="A10" t="s">
        <v>11</v>
      </c>
      <c r="B10" s="3">
        <v>558</v>
      </c>
      <c r="C10" s="3">
        <v>1316</v>
      </c>
      <c r="D10" s="5">
        <v>42</v>
      </c>
      <c r="E10" s="3">
        <f t="shared" si="0"/>
        <v>55272</v>
      </c>
      <c r="F10" s="3">
        <f>(C10-B10)*Table2[[#This Row],[Quantity Sold]]</f>
        <v>31836</v>
      </c>
    </row>
    <row r="11" spans="1:7" x14ac:dyDescent="0.25">
      <c r="A11" t="s">
        <v>12</v>
      </c>
      <c r="B11" s="3">
        <v>884</v>
      </c>
      <c r="C11" s="3">
        <v>1212</v>
      </c>
      <c r="D11" s="5">
        <v>20</v>
      </c>
      <c r="E11" s="3">
        <f t="shared" si="0"/>
        <v>24240</v>
      </c>
      <c r="F11" s="3">
        <f>(C11-B11)*Table2[[#This Row],[Quantity Sold]]</f>
        <v>6560</v>
      </c>
    </row>
    <row r="12" spans="1:7" x14ac:dyDescent="0.25">
      <c r="A12" t="s">
        <v>13</v>
      </c>
      <c r="B12" s="3">
        <v>588</v>
      </c>
      <c r="C12" s="3">
        <v>1708</v>
      </c>
      <c r="D12" s="5">
        <v>25</v>
      </c>
      <c r="E12" s="3">
        <f t="shared" si="0"/>
        <v>42700</v>
      </c>
      <c r="F12" s="3">
        <f>(C12-B12)*Table2[[#This Row],[Quantity Sold]]</f>
        <v>28000</v>
      </c>
    </row>
    <row r="13" spans="1:7" x14ac:dyDescent="0.25">
      <c r="A13" t="s">
        <v>14</v>
      </c>
      <c r="B13" s="3">
        <v>909</v>
      </c>
      <c r="C13" s="3">
        <v>1356</v>
      </c>
      <c r="D13" s="5">
        <v>29</v>
      </c>
      <c r="E13" s="3">
        <f t="shared" si="0"/>
        <v>39324</v>
      </c>
      <c r="F13" s="3">
        <f>(C13-B13)*Table2[[#This Row],[Quantity Sold]]</f>
        <v>12963</v>
      </c>
    </row>
    <row r="14" spans="1:7" x14ac:dyDescent="0.25">
      <c r="A14" t="s">
        <v>15</v>
      </c>
      <c r="B14" s="3">
        <v>700</v>
      </c>
      <c r="C14" s="3">
        <v>1410</v>
      </c>
      <c r="D14" s="5">
        <v>28</v>
      </c>
      <c r="E14" s="3">
        <f t="shared" si="0"/>
        <v>39480</v>
      </c>
      <c r="F14" s="3">
        <f>(C14-B14)*Table2[[#This Row],[Quantity Sold]]</f>
        <v>19880</v>
      </c>
    </row>
    <row r="15" spans="1:7" x14ac:dyDescent="0.25">
      <c r="A15" t="s">
        <v>20</v>
      </c>
      <c r="B15" s="3">
        <f>SUM(B4:B14)</f>
        <v>8127</v>
      </c>
      <c r="C15" s="3">
        <f>SUM(C4:C14)</f>
        <v>15977</v>
      </c>
      <c r="D15" s="5">
        <f>SUM(D4:D14)</f>
        <v>349</v>
      </c>
      <c r="E15" s="3">
        <f>SUM(E4:E14)</f>
        <v>505855</v>
      </c>
      <c r="F15" s="3">
        <f>SUM(F4:F14)</f>
        <v>248540</v>
      </c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68E2-63D0-4997-9189-F83187AC970C}">
  <dimension ref="A1:D27"/>
  <sheetViews>
    <sheetView tabSelected="1" topLeftCell="A10" workbookViewId="0">
      <selection activeCell="L24" sqref="L24"/>
    </sheetView>
  </sheetViews>
  <sheetFormatPr defaultRowHeight="15" x14ac:dyDescent="0.25"/>
  <cols>
    <col min="1" max="1" width="12.5703125" bestFit="1" customWidth="1"/>
    <col min="2" max="2" width="14.42578125" bestFit="1" customWidth="1"/>
    <col min="3" max="3" width="16.5703125" bestFit="1" customWidth="1"/>
    <col min="4" max="4" width="13.140625" bestFit="1" customWidth="1"/>
  </cols>
  <sheetData>
    <row r="1" spans="1:4" x14ac:dyDescent="0.25">
      <c r="A1" t="s">
        <v>0</v>
      </c>
      <c r="B1" s="6" t="s">
        <v>21</v>
      </c>
      <c r="C1" s="6" t="s">
        <v>22</v>
      </c>
      <c r="D1" t="s">
        <v>2</v>
      </c>
    </row>
    <row r="2" spans="1:4" x14ac:dyDescent="0.25">
      <c r="A2" t="s">
        <v>5</v>
      </c>
      <c r="B2" s="6">
        <v>764</v>
      </c>
      <c r="C2" s="6">
        <v>1490</v>
      </c>
      <c r="D2">
        <v>21</v>
      </c>
    </row>
    <row r="3" spans="1:4" x14ac:dyDescent="0.25">
      <c r="A3" t="s">
        <v>6</v>
      </c>
      <c r="B3" s="6">
        <v>594</v>
      </c>
      <c r="C3" s="6">
        <v>1705</v>
      </c>
      <c r="D3">
        <v>38</v>
      </c>
    </row>
    <row r="4" spans="1:4" x14ac:dyDescent="0.25">
      <c r="A4" t="s">
        <v>7</v>
      </c>
      <c r="B4" s="6">
        <v>745</v>
      </c>
      <c r="C4" s="6">
        <v>1160</v>
      </c>
      <c r="D4">
        <v>42</v>
      </c>
    </row>
    <row r="5" spans="1:4" x14ac:dyDescent="0.25">
      <c r="A5" t="s">
        <v>8</v>
      </c>
      <c r="B5" s="6">
        <v>773</v>
      </c>
      <c r="C5" s="6">
        <v>1493</v>
      </c>
      <c r="D5">
        <v>23</v>
      </c>
    </row>
    <row r="6" spans="1:4" x14ac:dyDescent="0.25">
      <c r="A6" t="s">
        <v>9</v>
      </c>
      <c r="B6" s="6">
        <v>957</v>
      </c>
      <c r="C6" s="6">
        <v>1508</v>
      </c>
      <c r="D6">
        <v>49</v>
      </c>
    </row>
    <row r="7" spans="1:4" x14ac:dyDescent="0.25">
      <c r="A7" t="s">
        <v>10</v>
      </c>
      <c r="B7" s="6">
        <v>655</v>
      </c>
      <c r="C7" s="6">
        <v>1619</v>
      </c>
      <c r="D7">
        <v>32</v>
      </c>
    </row>
    <row r="8" spans="1:4" x14ac:dyDescent="0.25">
      <c r="A8" t="s">
        <v>11</v>
      </c>
      <c r="B8" s="6">
        <v>558</v>
      </c>
      <c r="C8" s="6">
        <v>1316</v>
      </c>
      <c r="D8">
        <v>42</v>
      </c>
    </row>
    <row r="9" spans="1:4" x14ac:dyDescent="0.25">
      <c r="A9" t="s">
        <v>12</v>
      </c>
      <c r="B9" s="6">
        <v>884</v>
      </c>
      <c r="C9" s="6">
        <v>1212</v>
      </c>
      <c r="D9">
        <v>20</v>
      </c>
    </row>
    <row r="10" spans="1:4" x14ac:dyDescent="0.25">
      <c r="A10" t="s">
        <v>13</v>
      </c>
      <c r="B10" s="6">
        <v>588</v>
      </c>
      <c r="C10" s="6">
        <v>1708</v>
      </c>
      <c r="D10">
        <v>25</v>
      </c>
    </row>
    <row r="11" spans="1:4" x14ac:dyDescent="0.25">
      <c r="A11" t="s">
        <v>14</v>
      </c>
      <c r="B11" s="6">
        <v>909</v>
      </c>
      <c r="C11" s="6">
        <v>1356</v>
      </c>
      <c r="D11">
        <v>29</v>
      </c>
    </row>
    <row r="12" spans="1:4" x14ac:dyDescent="0.25">
      <c r="A12" t="s">
        <v>15</v>
      </c>
      <c r="B12" s="6">
        <v>700</v>
      </c>
      <c r="C12" s="6">
        <v>1410</v>
      </c>
      <c r="D12">
        <v>28</v>
      </c>
    </row>
    <row r="16" spans="1:4" x14ac:dyDescent="0.25">
      <c r="B16" t="s">
        <v>23</v>
      </c>
      <c r="C16" s="6" t="s">
        <v>22</v>
      </c>
    </row>
    <row r="17" spans="2:3" x14ac:dyDescent="0.25">
      <c r="B17" t="s">
        <v>5</v>
      </c>
      <c r="C17" s="6" cm="1">
        <f t="array" ref="C17:C27">_xlfn.XLOOKUP($C$16, $B$1:$C$1, $B$2:$C$12)</f>
        <v>1490</v>
      </c>
    </row>
    <row r="18" spans="2:3" x14ac:dyDescent="0.25">
      <c r="B18" t="s">
        <v>6</v>
      </c>
      <c r="C18" s="6">
        <v>1705</v>
      </c>
    </row>
    <row r="19" spans="2:3" x14ac:dyDescent="0.25">
      <c r="B19" t="s">
        <v>7</v>
      </c>
      <c r="C19" s="6">
        <v>1160</v>
      </c>
    </row>
    <row r="20" spans="2:3" x14ac:dyDescent="0.25">
      <c r="B20" t="s">
        <v>8</v>
      </c>
      <c r="C20" s="6">
        <v>1493</v>
      </c>
    </row>
    <row r="21" spans="2:3" x14ac:dyDescent="0.25">
      <c r="B21" t="s">
        <v>9</v>
      </c>
      <c r="C21" s="6">
        <v>1508</v>
      </c>
    </row>
    <row r="22" spans="2:3" x14ac:dyDescent="0.25">
      <c r="B22" t="s">
        <v>10</v>
      </c>
      <c r="C22" s="6">
        <v>1619</v>
      </c>
    </row>
    <row r="23" spans="2:3" x14ac:dyDescent="0.25">
      <c r="B23" t="s">
        <v>11</v>
      </c>
      <c r="C23" s="6">
        <v>1316</v>
      </c>
    </row>
    <row r="24" spans="2:3" x14ac:dyDescent="0.25">
      <c r="B24" t="s">
        <v>12</v>
      </c>
      <c r="C24" s="6">
        <v>1212</v>
      </c>
    </row>
    <row r="25" spans="2:3" x14ac:dyDescent="0.25">
      <c r="B25" t="s">
        <v>13</v>
      </c>
      <c r="C25" s="6">
        <v>1708</v>
      </c>
    </row>
    <row r="26" spans="2:3" x14ac:dyDescent="0.25">
      <c r="B26" t="s">
        <v>14</v>
      </c>
      <c r="C26" s="6">
        <v>1356</v>
      </c>
    </row>
    <row r="27" spans="2:3" x14ac:dyDescent="0.25">
      <c r="B27" t="s">
        <v>15</v>
      </c>
      <c r="C27" s="6">
        <v>1410</v>
      </c>
    </row>
  </sheetData>
  <dataValidations count="1">
    <dataValidation type="list" allowBlank="1" showInputMessage="1" showErrorMessage="1" sqref="C16" xr:uid="{4A327929-28FF-45F1-AC28-2C3D7DCFB540}">
      <formula1>$B$1:$C$1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for Profit&amp; S.P</vt:lpstr>
      <vt:lpstr>Sheet1</vt:lpstr>
      <vt:lpstr>Validated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2026-02-14T00:06:24Z</dcterms:created>
  <dcterms:modified xsi:type="dcterms:W3CDTF">2026-04-04T19:42:54Z</dcterms:modified>
</cp:coreProperties>
</file>