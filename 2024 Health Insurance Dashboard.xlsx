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744468C2-3892-48DF-8935-02E1E0855D53}" xr6:coauthVersionLast="47" xr6:coauthVersionMax="47" xr10:uidLastSave="{00000000-0000-0000-0000-000000000000}"/>
  <bookViews>
    <workbookView xWindow="-120" yWindow="-120" windowWidth="20730" windowHeight="11160" activeTab="2" xr2:uid="{8986E7AD-8CF1-424A-B0F4-C9B346871BFA}"/>
  </bookViews>
  <sheets>
    <sheet name="RAW DATA" sheetId="1" r:id="rId1"/>
    <sheet name="PIVOT TABLE" sheetId="2" r:id="rId2"/>
    <sheet name="DASHBOARD" sheetId="3" r:id="rId3"/>
  </sheets>
  <definedNames>
    <definedName name="_xlcn.WorksheetConnection_Book2Table21" hidden="1">Table2[]</definedName>
    <definedName name="Slicer_Insurance_Provider">#N/A</definedName>
  </definedNames>
  <calcPr calcId="191029"/>
  <pivotCaches>
    <pivotCache cacheId="351" r:id="rId4"/>
    <pivotCache cacheId="352" r:id="rId5"/>
    <pivotCache cacheId="353" r:id="rId6"/>
    <pivotCache cacheId="354" r:id="rId7"/>
    <pivotCache cacheId="355" r:id="rId8"/>
    <pivotCache cacheId="356" r:id="rId9"/>
    <pivotCache cacheId="362" r:id="rId10"/>
    <pivotCache cacheId="358" r:id="rId11"/>
    <pivotCache cacheId="359" r:id="rId12"/>
    <pivotCache cacheId="360" r:id="rId13"/>
  </pivotCaches>
  <extLst>
    <ext xmlns:x14="http://schemas.microsoft.com/office/spreadsheetml/2009/9/main" uri="{876F7934-8845-4945-9796-88D515C7AA90}">
      <x14:pivotCaches>
        <pivotCache cacheId="25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2!Table2"/>
        </x15:modelTables>
        <x15:extLst>
          <ext xmlns:x16="http://schemas.microsoft.com/office/spreadsheetml/2014/11/main" uri="{9835A34E-60A6-4A7C-AAB8-D5F71C897F49}">
            <x16:modelTimeGroupings>
              <x16:modelTimeGrouping tableName="Table2" columnName="LastVisitDate" columnId="LastVisitDate">
                <x16:calculatedTimeColumn columnName="LastVisitDate (Month Index)" columnId="LastVisitDate (Month Index)" contentType="monthsindex" isSelected="1"/>
                <x16:calculatedTimeColumn columnName="LastVisitDate (Month)" columnId="LastVisi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88260-E6BA-4687-B2C3-C6AB022AC9F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06FFBA-8732-4107-9DA1-2378FA3EB40D}" name="WorksheetConnection_Book2!Table2" type="102" refreshedVersion="7" minRefreshableVersion="5">
    <extLst>
      <ext xmlns:x15="http://schemas.microsoft.com/office/spreadsheetml/2010/11/main" uri="{DE250136-89BD-433C-8126-D09CA5730AF9}">
        <x15:connection id="Table2" autoDelete="1">
          <x15:rangePr sourceName="_xlcn.WorksheetConnection_Book2Table21"/>
        </x15:connection>
      </ext>
    </extLst>
  </connection>
</connections>
</file>

<file path=xl/sharedStrings.xml><?xml version="1.0" encoding="utf-8"?>
<sst xmlns="http://schemas.openxmlformats.org/spreadsheetml/2006/main" count="810" uniqueCount="409">
  <si>
    <t>PatientID</t>
  </si>
  <si>
    <t>DOB</t>
  </si>
  <si>
    <t>Gender</t>
  </si>
  <si>
    <t>Email</t>
  </si>
  <si>
    <t>LastVisitDate</t>
  </si>
  <si>
    <t>Diagnosis</t>
  </si>
  <si>
    <t>ClaimAmount</t>
  </si>
  <si>
    <t>P1001</t>
  </si>
  <si>
    <t>Male</t>
  </si>
  <si>
    <t>Hypertension</t>
  </si>
  <si>
    <t>P1002</t>
  </si>
  <si>
    <t>Malaria</t>
  </si>
  <si>
    <t>P1003</t>
  </si>
  <si>
    <t>Diabetes Type 2</t>
  </si>
  <si>
    <t>P1004</t>
  </si>
  <si>
    <t>Typhoid Fever</t>
  </si>
  <si>
    <t>P1005</t>
  </si>
  <si>
    <t>Michael Brown</t>
  </si>
  <si>
    <t>Fracture</t>
  </si>
  <si>
    <t>Leadway Health</t>
  </si>
  <si>
    <t>P1006</t>
  </si>
  <si>
    <t>Pneumonia</t>
  </si>
  <si>
    <t>P1007</t>
  </si>
  <si>
    <t>David Wilson</t>
  </si>
  <si>
    <t>Asthma</t>
  </si>
  <si>
    <t>Hygeia</t>
  </si>
  <si>
    <t>P1008</t>
  </si>
  <si>
    <t>UTI</t>
  </si>
  <si>
    <t>P1009</t>
  </si>
  <si>
    <t>Christopher Taylor</t>
  </si>
  <si>
    <t>Appendicitis</t>
  </si>
  <si>
    <t>P1010</t>
  </si>
  <si>
    <t>Migraine</t>
  </si>
  <si>
    <t>P1011</t>
  </si>
  <si>
    <t xml:space="preserve"> Arthritis </t>
  </si>
  <si>
    <t>P1012</t>
  </si>
  <si>
    <t>Lisa Thomas</t>
  </si>
  <si>
    <t>234-876-5432</t>
  </si>
  <si>
    <t>P1013</t>
  </si>
  <si>
    <t>Mark Martinez</t>
  </si>
  <si>
    <t>345-765-4321</t>
  </si>
  <si>
    <t>P1014</t>
  </si>
  <si>
    <t>Nancy Robinson</t>
  </si>
  <si>
    <t>Female</t>
  </si>
  <si>
    <t>456-654-3210</t>
  </si>
  <si>
    <t>Diabetes Type 1</t>
  </si>
  <si>
    <t>P1015</t>
  </si>
  <si>
    <t>Kevin Clark</t>
  </si>
  <si>
    <t>567-543-2109</t>
  </si>
  <si>
    <t>P1016</t>
  </si>
  <si>
    <t>Betty Rodriguez</t>
  </si>
  <si>
    <t>678-432-1098</t>
  </si>
  <si>
    <t>P1017</t>
  </si>
  <si>
    <t>Frank Lewis</t>
  </si>
  <si>
    <t>789-321-0987</t>
  </si>
  <si>
    <t>P1018</t>
  </si>
  <si>
    <t>Ashley Walker</t>
  </si>
  <si>
    <t>890-210-9876</t>
  </si>
  <si>
    <t>P1019</t>
  </si>
  <si>
    <t>Scott Hall</t>
  </si>
  <si>
    <t>901-109-8765</t>
  </si>
  <si>
    <t>P1020</t>
  </si>
  <si>
    <t>Pamela Young</t>
  </si>
  <si>
    <t xml:space="preserve"> Asthma </t>
  </si>
  <si>
    <t>P1021</t>
  </si>
  <si>
    <t>P1022</t>
  </si>
  <si>
    <t>Gregory Wright</t>
  </si>
  <si>
    <t>234-567-2222</t>
  </si>
  <si>
    <t>P1023</t>
  </si>
  <si>
    <t>Janet Lopez</t>
  </si>
  <si>
    <t>345-678-3333</t>
  </si>
  <si>
    <t>P1024</t>
  </si>
  <si>
    <t>Peter Hill</t>
  </si>
  <si>
    <t>456-789-4444</t>
  </si>
  <si>
    <t>P1025</t>
  </si>
  <si>
    <t>Cynthia Scott</t>
  </si>
  <si>
    <t>567-890-5555</t>
  </si>
  <si>
    <t>P1026</t>
  </si>
  <si>
    <t>Raymond Green</t>
  </si>
  <si>
    <t>678-901-6666</t>
  </si>
  <si>
    <t>P1027</t>
  </si>
  <si>
    <t>Katherine Adams</t>
  </si>
  <si>
    <t>789-012-7777</t>
  </si>
  <si>
    <t>P1028</t>
  </si>
  <si>
    <t>Larry Baker</t>
  </si>
  <si>
    <t>890-123-8888</t>
  </si>
  <si>
    <t>P1029</t>
  </si>
  <si>
    <t>Virginia Gonzales</t>
  </si>
  <si>
    <t>901-234-9999</t>
  </si>
  <si>
    <t>P1030</t>
  </si>
  <si>
    <t>Charles Nelson</t>
  </si>
  <si>
    <t>012-345-0000</t>
  </si>
  <si>
    <t>P1031</t>
  </si>
  <si>
    <t>123-456-1112</t>
  </si>
  <si>
    <t>P1032</t>
  </si>
  <si>
    <t>Deborah Mitchell</t>
  </si>
  <si>
    <t>234-567-2223</t>
  </si>
  <si>
    <t>P1033</t>
  </si>
  <si>
    <t>Ronald Perez</t>
  </si>
  <si>
    <t>345-678-3334</t>
  </si>
  <si>
    <t>P1034</t>
  </si>
  <si>
    <t>Frances Roberts</t>
  </si>
  <si>
    <t>456-789-4445</t>
  </si>
  <si>
    <t>P1035</t>
  </si>
  <si>
    <t>Jeremy Turner</t>
  </si>
  <si>
    <t>567-890-5556</t>
  </si>
  <si>
    <t>P1036</t>
  </si>
  <si>
    <t>Mildred Phillips</t>
  </si>
  <si>
    <t>678-901-6667</t>
  </si>
  <si>
    <t>P1037</t>
  </si>
  <si>
    <t>Ralph Campbell</t>
  </si>
  <si>
    <t>789-012-7778</t>
  </si>
  <si>
    <t>P1038</t>
  </si>
  <si>
    <t>Lois Parker</t>
  </si>
  <si>
    <t>890-123-8889</t>
  </si>
  <si>
    <t>P1039</t>
  </si>
  <si>
    <t>Carl Evans</t>
  </si>
  <si>
    <t>901-234-9990</t>
  </si>
  <si>
    <t>P1040</t>
  </si>
  <si>
    <t>Marilyn Edwards</t>
  </si>
  <si>
    <t>567-890-7777</t>
  </si>
  <si>
    <t>P1041</t>
  </si>
  <si>
    <t>678-901-8888</t>
  </si>
  <si>
    <t>P1042</t>
  </si>
  <si>
    <t>Judith Stewart</t>
  </si>
  <si>
    <t>789-012-9999</t>
  </si>
  <si>
    <t>P1043</t>
  </si>
  <si>
    <t>Billy Sanchez</t>
  </si>
  <si>
    <t>890-123-0000</t>
  </si>
  <si>
    <t>P1044</t>
  </si>
  <si>
    <t>Janice Morris</t>
  </si>
  <si>
    <t>901-234-1111</t>
  </si>
  <si>
    <t>P1045</t>
  </si>
  <si>
    <t>Russell Rogers</t>
  </si>
  <si>
    <t>012-345-2222</t>
  </si>
  <si>
    <t>P1046</t>
  </si>
  <si>
    <t>Christina Reed</t>
  </si>
  <si>
    <t>123-456-3333</t>
  </si>
  <si>
    <t>P1047</t>
  </si>
  <si>
    <t>Albert Cook</t>
  </si>
  <si>
    <t>234-567-4444</t>
  </si>
  <si>
    <t>P1048</t>
  </si>
  <si>
    <t>Rose Morgan</t>
  </si>
  <si>
    <t>345-678-5555</t>
  </si>
  <si>
    <t>P1049</t>
  </si>
  <si>
    <t>Jimmy Bell</t>
  </si>
  <si>
    <t>456-789-6666</t>
  </si>
  <si>
    <t>P1050</t>
  </si>
  <si>
    <t>Evelyn Murphy</t>
  </si>
  <si>
    <t>P1051</t>
  </si>
  <si>
    <t>Patrick Price</t>
  </si>
  <si>
    <t>P1052</t>
  </si>
  <si>
    <t>Anna Ward</t>
  </si>
  <si>
    <t>P1053</t>
  </si>
  <si>
    <t>Ryan Flores</t>
  </si>
  <si>
    <t>P1054</t>
  </si>
  <si>
    <t>Alice Simmons</t>
  </si>
  <si>
    <t>P1055</t>
  </si>
  <si>
    <t>Henry Bryant</t>
  </si>
  <si>
    <t>P1056</t>
  </si>
  <si>
    <t>Maria Cooper</t>
  </si>
  <si>
    <t>P1057</t>
  </si>
  <si>
    <t>Wayne Richardson</t>
  </si>
  <si>
    <t>P1058</t>
  </si>
  <si>
    <t>Martha Fox</t>
  </si>
  <si>
    <t>P1059</t>
  </si>
  <si>
    <t>Shawn Bailey</t>
  </si>
  <si>
    <t>P1060</t>
  </si>
  <si>
    <t>Carol Price</t>
  </si>
  <si>
    <t>P1061</t>
  </si>
  <si>
    <t>P1062</t>
  </si>
  <si>
    <t>P1063</t>
  </si>
  <si>
    <t>P1064</t>
  </si>
  <si>
    <t>P1065</t>
  </si>
  <si>
    <t>Kimberly Wright</t>
  </si>
  <si>
    <t>210-987-6543</t>
  </si>
  <si>
    <t>P1066</t>
  </si>
  <si>
    <t>109-876-5432</t>
  </si>
  <si>
    <t>P1067</t>
  </si>
  <si>
    <t>Sandra Lopez</t>
  </si>
  <si>
    <t>098-765-4321</t>
  </si>
  <si>
    <t>P1068</t>
  </si>
  <si>
    <t>987-654-3210</t>
  </si>
  <si>
    <t>P1069</t>
  </si>
  <si>
    <t>876-543-2109</t>
  </si>
  <si>
    <t>P1070</t>
  </si>
  <si>
    <t>Sharon Scott</t>
  </si>
  <si>
    <t>765-432-1098</t>
  </si>
  <si>
    <t>P1071</t>
  </si>
  <si>
    <t>654-321-0987</t>
  </si>
  <si>
    <t>P1072</t>
  </si>
  <si>
    <t>Thomas Young</t>
  </si>
  <si>
    <t>543-210-9876</t>
  </si>
  <si>
    <t>P1073</t>
  </si>
  <si>
    <t>432-109-8765</t>
  </si>
  <si>
    <t>P1074</t>
  </si>
  <si>
    <t>321-098-7654</t>
  </si>
  <si>
    <t>P1075</t>
  </si>
  <si>
    <t>Steven Baker</t>
  </si>
  <si>
    <t>P1076</t>
  </si>
  <si>
    <t>Michelle Adams</t>
  </si>
  <si>
    <t>P1077</t>
  </si>
  <si>
    <t>George Campbell</t>
  </si>
  <si>
    <t>P1078</t>
  </si>
  <si>
    <t>Dorothy Parker</t>
  </si>
  <si>
    <t>P1079</t>
  </si>
  <si>
    <t>Jose Evans</t>
  </si>
  <si>
    <t>P1080</t>
  </si>
  <si>
    <t>Mildred Collins</t>
  </si>
  <si>
    <t>P1081</t>
  </si>
  <si>
    <t>P1082</t>
  </si>
  <si>
    <t>Ruby Sanchez</t>
  </si>
  <si>
    <t>P1083</t>
  </si>
  <si>
    <t>Philip Morris</t>
  </si>
  <si>
    <t>P1084</t>
  </si>
  <si>
    <t>Caroline Rogers</t>
  </si>
  <si>
    <t>P1085</t>
  </si>
  <si>
    <t>Randall Reed</t>
  </si>
  <si>
    <t>P1086</t>
  </si>
  <si>
    <t>Brenda Cook</t>
  </si>
  <si>
    <t>P1087</t>
  </si>
  <si>
    <t>P1088</t>
  </si>
  <si>
    <t>Paula Bell</t>
  </si>
  <si>
    <t>P1089</t>
  </si>
  <si>
    <t>Dennis Ward</t>
  </si>
  <si>
    <t>P1090</t>
  </si>
  <si>
    <t>Karen Flores</t>
  </si>
  <si>
    <t>P1091</t>
  </si>
  <si>
    <t>P1092</t>
  </si>
  <si>
    <t>Louise Simmons</t>
  </si>
  <si>
    <t>P1093</t>
  </si>
  <si>
    <t>Lawrence Bailey</t>
  </si>
  <si>
    <t>P1094</t>
  </si>
  <si>
    <t>Marie Richardson</t>
  </si>
  <si>
    <t>P1095</t>
  </si>
  <si>
    <t>Jeffrey Price</t>
  </si>
  <si>
    <t>P1096</t>
  </si>
  <si>
    <t>Jacqueline Howard</t>
  </si>
  <si>
    <t>P1097</t>
  </si>
  <si>
    <t>Raymond Long</t>
  </si>
  <si>
    <t>P1098</t>
  </si>
  <si>
    <t>Julia Hughes</t>
  </si>
  <si>
    <t>P1099</t>
  </si>
  <si>
    <t>Roger Foster</t>
  </si>
  <si>
    <t>P1100</t>
  </si>
  <si>
    <t>Lillian Diaz</t>
  </si>
  <si>
    <t>Patient Name</t>
  </si>
  <si>
    <t>John Doe</t>
  </si>
  <si>
    <t>Jane Smith</t>
  </si>
  <si>
    <t>Robert Johnson</t>
  </si>
  <si>
    <t>Emily Williams</t>
  </si>
  <si>
    <t>Sarah Davis</t>
  </si>
  <si>
    <t>Jennifer Lee</t>
  </si>
  <si>
    <t>Amanda Martin</t>
  </si>
  <si>
    <t>James Anderson</t>
  </si>
  <si>
    <t>Patricia King</t>
  </si>
  <si>
    <t>Brian Carter</t>
  </si>
  <si>
    <t>Harry Collins</t>
  </si>
  <si>
    <t>Eric Young</t>
  </si>
  <si>
    <t>Juanita King</t>
  </si>
  <si>
    <t>Richard Hill</t>
  </si>
  <si>
    <t>Angela Hall</t>
  </si>
  <si>
    <t>Craig Stewart</t>
  </si>
  <si>
    <t>Axa Mansard</t>
  </si>
  <si>
    <t>Reliance Hmo</t>
  </si>
  <si>
    <t>Rliance Hmo</t>
  </si>
  <si>
    <t>Insurance Provider</t>
  </si>
  <si>
    <t>john.doe@email.com</t>
  </si>
  <si>
    <t>jane.smith@email.com</t>
  </si>
  <si>
    <t>robert.johnson@email.com</t>
  </si>
  <si>
    <t>emily.williams.com</t>
  </si>
  <si>
    <t>michael.brown@email.com</t>
  </si>
  <si>
    <t>sarah.davis@email.com</t>
  </si>
  <si>
    <t>david.wilson.com</t>
  </si>
  <si>
    <t>jennifer.lee@email.com</t>
  </si>
  <si>
    <t>christopher.taylor@email.com</t>
  </si>
  <si>
    <t>amanda.martin@email.com</t>
  </si>
  <si>
    <t>james.anderson.com</t>
  </si>
  <si>
    <t>lisa.thomas@email.com</t>
  </si>
  <si>
    <t>mark.martinez@email.com</t>
  </si>
  <si>
    <t>nancy.robinson.com</t>
  </si>
  <si>
    <t>kevin.clark@email.com</t>
  </si>
  <si>
    <t>betty.r.com</t>
  </si>
  <si>
    <t>frank.lewis@email.com</t>
  </si>
  <si>
    <t>ashley.walker@email.com</t>
  </si>
  <si>
    <t>scott.hall@email.com</t>
  </si>
  <si>
    <t>pamela.young.com</t>
  </si>
  <si>
    <t>patricia.king@email.com</t>
  </si>
  <si>
    <t>gregory.wright@email.com</t>
  </si>
  <si>
    <t>janet.lopez.com</t>
  </si>
  <si>
    <t>peter.hill@email.com</t>
  </si>
  <si>
    <t>cynthia.scott@email.com</t>
  </si>
  <si>
    <t>raymond.green@email.com</t>
  </si>
  <si>
    <t>katherine.adams@email.com</t>
  </si>
  <si>
    <t>larry.baker.com</t>
  </si>
  <si>
    <t>virginia.g.com</t>
  </si>
  <si>
    <t>charles.nelson@email.com</t>
  </si>
  <si>
    <t>brian.carter.com</t>
  </si>
  <si>
    <t>deborah.m@email.com</t>
  </si>
  <si>
    <t>ronald.perez@email.com</t>
  </si>
  <si>
    <t>frances.r@email.com</t>
  </si>
  <si>
    <t>jeremy.turner.com</t>
  </si>
  <si>
    <t>mildred.phillips@email.com</t>
  </si>
  <si>
    <t>ralph.campbell@email.com</t>
  </si>
  <si>
    <t>lois.parker@email.com</t>
  </si>
  <si>
    <t>carl.evans@email.com</t>
  </si>
  <si>
    <t>marilyn.edwards.com</t>
  </si>
  <si>
    <t>harry.collins@email.com</t>
  </si>
  <si>
    <t>judith.stewart@email.com</t>
  </si>
  <si>
    <t>billy.sanchez.com</t>
  </si>
  <si>
    <t>janice.morris@email.com</t>
  </si>
  <si>
    <t>russell.rogers@email.com</t>
  </si>
  <si>
    <t>christina.reed.com</t>
  </si>
  <si>
    <t>albert.cook@email.com</t>
  </si>
  <si>
    <t>rose.morgan@email.com</t>
  </si>
  <si>
    <t>jimmy.bell.com</t>
  </si>
  <si>
    <t>evelyn.murphy@email.com</t>
  </si>
  <si>
    <t>patrick.price@email.com</t>
  </si>
  <si>
    <t>anna.ward.com</t>
  </si>
  <si>
    <t>ryan.flores@email.com</t>
  </si>
  <si>
    <t>alice.simmons@email.com</t>
  </si>
  <si>
    <t>henry.bryant@email.com</t>
  </si>
  <si>
    <t>maria.cooper@email.com</t>
  </si>
  <si>
    <t>wayne.r@email.com</t>
  </si>
  <si>
    <t>martha.fox@email.com</t>
  </si>
  <si>
    <t>shawn.bailey@email.com</t>
  </si>
  <si>
    <t>carol.price@email.com</t>
  </si>
  <si>
    <t>john.doe.com</t>
  </si>
  <si>
    <t>eric.young@email.com</t>
  </si>
  <si>
    <t>juanita.k.com</t>
  </si>
  <si>
    <t>kim.wright.com</t>
  </si>
  <si>
    <t>richard.hill.com</t>
  </si>
  <si>
    <t>sharon.scott.com</t>
  </si>
  <si>
    <t>thomas.young@email.com</t>
  </si>
  <si>
    <t>angela.hall.com</t>
  </si>
  <si>
    <t>steven.baker@email.com</t>
  </si>
  <si>
    <t>michelle.a.com</t>
  </si>
  <si>
    <t>george.campbell@email.com</t>
  </si>
  <si>
    <t>dorothy.parker.com</t>
  </si>
  <si>
    <t>jose.evans@email.com</t>
  </si>
  <si>
    <t>mildred.c.com</t>
  </si>
  <si>
    <t>craig.stewart.com</t>
  </si>
  <si>
    <t>ruby.sanchez@email.com</t>
  </si>
  <si>
    <t>philip.morris.com</t>
  </si>
  <si>
    <t>caroline.r@email.com</t>
  </si>
  <si>
    <t>randall.reed@email.com</t>
  </si>
  <si>
    <t>paula.bell@email.com</t>
  </si>
  <si>
    <t>dennis.ward.com</t>
  </si>
  <si>
    <t>karen.flores@email.com</t>
  </si>
  <si>
    <t>unknown.com</t>
  </si>
  <si>
    <t>louise.s.com</t>
  </si>
  <si>
    <t>lawrence.bailey@email.com</t>
  </si>
  <si>
    <t>marie.r@email.com</t>
  </si>
  <si>
    <t>jeffrey.price@email.com</t>
  </si>
  <si>
    <t>jacqueline.h.com</t>
  </si>
  <si>
    <t>raymond.long@email.com</t>
  </si>
  <si>
    <t>julia.hughes.com</t>
  </si>
  <si>
    <t>roger.foster@email.com</t>
  </si>
  <si>
    <t>lillian.diaz@email.com</t>
  </si>
  <si>
    <t>Alice Lopez</t>
  </si>
  <si>
    <t>Michelle Stewart</t>
  </si>
  <si>
    <t>George Sanchez</t>
  </si>
  <si>
    <t>Craig Collins</t>
  </si>
  <si>
    <t>Ruby Evans</t>
  </si>
  <si>
    <t>Anna Price</t>
  </si>
  <si>
    <t>Henry Wright</t>
  </si>
  <si>
    <t>brenda.cook@email.com</t>
  </si>
  <si>
    <t>michelle.stewart@email.com</t>
  </si>
  <si>
    <t>craig.collins@email.com</t>
  </si>
  <si>
    <t>steven.parker@email.com</t>
  </si>
  <si>
    <t>Steven Parker</t>
  </si>
  <si>
    <t>ruby.evans@email.com</t>
  </si>
  <si>
    <t>alice.lopez@email.com</t>
  </si>
  <si>
    <t>anna.price@email.com</t>
  </si>
  <si>
    <t>sandra.lopez@email.com</t>
  </si>
  <si>
    <t>Sum of ClaimAmount</t>
  </si>
  <si>
    <t>Grand Total</t>
  </si>
  <si>
    <t>Count of PatientID</t>
  </si>
  <si>
    <t>123-456-7890</t>
  </si>
  <si>
    <t>234-567-8901</t>
  </si>
  <si>
    <t>345-678-9012</t>
  </si>
  <si>
    <t>456-789-0123</t>
  </si>
  <si>
    <t>567-890-1234</t>
  </si>
  <si>
    <t>678-901-2345</t>
  </si>
  <si>
    <t>789-012-3456</t>
  </si>
  <si>
    <t>890-123-4567</t>
  </si>
  <si>
    <t>901-234-5678</t>
  </si>
  <si>
    <t>012-345-6789</t>
  </si>
  <si>
    <t>123-987-6543</t>
  </si>
  <si>
    <t>012-109-8765</t>
  </si>
  <si>
    <t>123-456-1111</t>
  </si>
  <si>
    <t>Phone Number</t>
  </si>
  <si>
    <t>Total Patients</t>
  </si>
  <si>
    <t>Total Claim Amount</t>
  </si>
  <si>
    <t xml:space="preserve"> Arthritis</t>
  </si>
  <si>
    <t xml:space="preserve"> Asthma</t>
  </si>
  <si>
    <t>Count of Diagnosis</t>
  </si>
  <si>
    <t>Jan</t>
  </si>
  <si>
    <t>Mar</t>
  </si>
  <si>
    <t>May</t>
  </si>
  <si>
    <t>Jun</t>
  </si>
  <si>
    <t>Aug</t>
  </si>
  <si>
    <t>Sep</t>
  </si>
  <si>
    <t>Oct</t>
  </si>
  <si>
    <t>Nov</t>
  </si>
  <si>
    <t>Dec</t>
  </si>
  <si>
    <t>Month</t>
  </si>
  <si>
    <t>Percentage</t>
  </si>
  <si>
    <t>Average of ClaimAmount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</si>
</sst>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dd/mm/yyyy;@"/>
    <numFmt numFmtId="167" formatCode="&quot;$&quot;#,##0"/>
    <numFmt numFmtId="168" formatCode="\$#,##0;\(\$#,##0\);\$#,##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427A4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165" fontId="0" fillId="0" borderId="0" xfId="0" applyNumberFormat="1"/>
    <xf numFmtId="167" fontId="0" fillId="0" borderId="0" xfId="0" applyNumberFormat="1"/>
    <xf numFmtId="0" fontId="2" fillId="0" borderId="0" xfId="1"/>
    <xf numFmtId="0" fontId="0" fillId="0" borderId="0" xfId="0" applyNumberFormat="1"/>
    <xf numFmtId="0" fontId="0" fillId="0" borderId="0" xfId="0" pivotButton="1"/>
    <xf numFmtId="168" fontId="0" fillId="0" borderId="0" xfId="0" applyNumberFormat="1"/>
    <xf numFmtId="0" fontId="0" fillId="0" borderId="0" xfId="0" applyAlignment="1">
      <alignment horizontal="left"/>
    </xf>
    <xf numFmtId="10" fontId="0" fillId="0" borderId="0" xfId="0" applyNumberFormat="1"/>
    <xf numFmtId="0" fontId="0" fillId="2" borderId="0" xfId="0" applyFill="1"/>
  </cellXfs>
  <cellStyles count="2">
    <cellStyle name="Hyperlink" xfId="1" builtinId="8"/>
    <cellStyle name="Normal" xfId="0" builtinId="0"/>
  </cellStyles>
  <dxfs count="18">
    <dxf>
      <font>
        <b/>
        <color theme="1"/>
      </font>
      <fill>
        <patternFill>
          <bgColor rgb="FFF2E3BB"/>
        </patternFill>
      </fill>
      <border>
        <bottom style="thin">
          <color theme="4"/>
        </bottom>
        <vertical/>
        <horizontal/>
      </border>
    </dxf>
    <dxf>
      <font>
        <color theme="1"/>
      </font>
      <fill>
        <patternFill>
          <bgColor rgb="FFC0B87A"/>
        </patternFill>
      </fill>
      <border>
        <left style="thin">
          <color theme="4"/>
        </left>
        <right style="thin">
          <color theme="4"/>
        </right>
        <top style="thin">
          <color theme="4"/>
        </top>
        <bottom style="thin">
          <color theme="4"/>
        </bottom>
        <vertical/>
        <horizontal/>
      </border>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0" formatCode="General"/>
    </dxf>
    <dxf>
      <numFmt numFmtId="0" formatCode="General"/>
    </dxf>
    <dxf>
      <numFmt numFmtId="167" formatCode="&quot;$&quot;#,##0"/>
    </dxf>
    <dxf>
      <numFmt numFmtId="167" formatCode="&quot;$&quot;#,##0"/>
    </dxf>
    <dxf>
      <numFmt numFmtId="167" formatCode="&quot;$&quot;#,##0"/>
    </dxf>
    <dxf>
      <numFmt numFmtId="167" formatCode="&quot;$&quot;#,##0"/>
    </dxf>
    <dxf>
      <font>
        <b/>
        <i val="0"/>
        <strike val="0"/>
        <condense val="0"/>
        <extend val="0"/>
        <outline val="0"/>
        <shadow val="0"/>
        <u val="none"/>
        <vertAlign val="baseline"/>
        <sz val="11"/>
        <color theme="1"/>
        <name val="Calibri"/>
        <family val="2"/>
        <scheme val="minor"/>
      </font>
    </dxf>
    <dxf>
      <numFmt numFmtId="167" formatCode="&quot;$&quot;#,##0"/>
    </dxf>
    <dxf>
      <numFmt numFmtId="165" formatCode="dd/mm/yyyy;@"/>
    </dxf>
    <dxf>
      <numFmt numFmtId="165" formatCode="dd/mm/yyyy;@"/>
    </dxf>
  </dxfs>
  <tableStyles count="1" defaultTableStyle="TableStyleMedium2" defaultPivotStyle="PivotStyleLight16">
    <tableStyle name="SlicerStyleLight1 2" pivot="0" table="0" count="10" xr9:uid="{C4662965-3829-4CD6-9BF4-763256F44760}">
      <tableStyleElement type="wholeTable" dxfId="1"/>
      <tableStyleElement type="headerRow" dxfId="0"/>
    </tableStyle>
  </tableStyles>
  <colors>
    <mruColors>
      <color rgb="FFEDE9E6"/>
      <color rgb="FFC0B87A"/>
      <color rgb="FF427A43"/>
      <color rgb="FFC44545"/>
      <color rgb="FFF2E3BB"/>
      <color rgb="FF005F02"/>
      <color rgb="FFB35656"/>
      <color rgb="FFF6F09F"/>
      <color rgb="FFA2CB8B"/>
      <color rgb="FFBED4C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C4454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C4454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Insurance 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B87A"/>
          </a:solidFill>
          <a:ln w="19050">
            <a:solidFill>
              <a:schemeClr val="lt1"/>
            </a:solidFill>
          </a:ln>
          <a:effectLst/>
        </c:spPr>
      </c:pivotFmt>
      <c:pivotFmt>
        <c:idx val="3"/>
        <c:spPr>
          <a:solidFill>
            <a:srgbClr val="F6F09F"/>
          </a:solidFill>
          <a:ln w="19050">
            <a:solidFill>
              <a:schemeClr val="lt1"/>
            </a:solidFill>
          </a:ln>
          <a:effectLst/>
        </c:spPr>
      </c:pivotFmt>
      <c:pivotFmt>
        <c:idx val="4"/>
        <c:spPr>
          <a:solidFill>
            <a:srgbClr val="005F02"/>
          </a:solidFill>
          <a:ln w="19050">
            <a:solidFill>
              <a:schemeClr val="lt1"/>
            </a:solidFill>
          </a:ln>
          <a:effectLst/>
        </c:spPr>
      </c:pivotFmt>
      <c:pivotFmt>
        <c:idx val="5"/>
        <c:spPr>
          <a:solidFill>
            <a:srgbClr val="A2CB8B"/>
          </a:solidFill>
          <a:ln w="19050">
            <a:solidFill>
              <a:schemeClr val="lt1"/>
            </a:solidFill>
          </a:ln>
          <a:effectLst/>
        </c:spPr>
      </c:pivotFmt>
      <c:pivotFmt>
        <c:idx val="6"/>
        <c:spPr>
          <a:solidFill>
            <a:srgbClr val="C44545"/>
          </a:solidFill>
          <a:ln w="19050">
            <a:solidFill>
              <a:schemeClr val="lt1"/>
            </a:solidFill>
          </a:ln>
          <a:effectLst/>
        </c:spPr>
      </c:pivotFmt>
    </c:pivotFmts>
    <c:plotArea>
      <c:layout/>
      <c:pieChart>
        <c:varyColors val="1"/>
        <c:ser>
          <c:idx val="0"/>
          <c:order val="0"/>
          <c:tx>
            <c:strRef>
              <c:f>'PIVOT TABLE'!$F$22</c:f>
              <c:strCache>
                <c:ptCount val="1"/>
                <c:pt idx="0">
                  <c:v>Count of PatientID</c:v>
                </c:pt>
              </c:strCache>
            </c:strRef>
          </c:tx>
          <c:dPt>
            <c:idx val="0"/>
            <c:bubble3D val="0"/>
            <c:spPr>
              <a:solidFill>
                <a:srgbClr val="C0B87A"/>
              </a:solidFill>
              <a:ln w="19050">
                <a:solidFill>
                  <a:schemeClr val="lt1"/>
                </a:solidFill>
              </a:ln>
              <a:effectLst/>
            </c:spPr>
            <c:extLst>
              <c:ext xmlns:c16="http://schemas.microsoft.com/office/drawing/2014/chart" uri="{C3380CC4-5D6E-409C-BE32-E72D297353CC}">
                <c16:uniqueId val="{00000003-1B30-4E82-BDE6-47D0E796A4FD}"/>
              </c:ext>
            </c:extLst>
          </c:dPt>
          <c:dPt>
            <c:idx val="1"/>
            <c:bubble3D val="0"/>
            <c:spPr>
              <a:solidFill>
                <a:srgbClr val="F6F09F"/>
              </a:solidFill>
              <a:ln w="19050">
                <a:solidFill>
                  <a:schemeClr val="lt1"/>
                </a:solidFill>
              </a:ln>
              <a:effectLst/>
            </c:spPr>
            <c:extLst>
              <c:ext xmlns:c16="http://schemas.microsoft.com/office/drawing/2014/chart" uri="{C3380CC4-5D6E-409C-BE32-E72D297353CC}">
                <c16:uniqueId val="{00000004-1B30-4E82-BDE6-47D0E796A4FD}"/>
              </c:ext>
            </c:extLst>
          </c:dPt>
          <c:dPt>
            <c:idx val="2"/>
            <c:bubble3D val="0"/>
            <c:spPr>
              <a:solidFill>
                <a:srgbClr val="005F02"/>
              </a:solidFill>
              <a:ln w="19050">
                <a:solidFill>
                  <a:schemeClr val="lt1"/>
                </a:solidFill>
              </a:ln>
              <a:effectLst/>
            </c:spPr>
            <c:extLst>
              <c:ext xmlns:c16="http://schemas.microsoft.com/office/drawing/2014/chart" uri="{C3380CC4-5D6E-409C-BE32-E72D297353CC}">
                <c16:uniqueId val="{00000005-1B30-4E82-BDE6-47D0E796A4FD}"/>
              </c:ext>
            </c:extLst>
          </c:dPt>
          <c:dPt>
            <c:idx val="3"/>
            <c:bubble3D val="0"/>
            <c:spPr>
              <a:solidFill>
                <a:srgbClr val="A2CB8B"/>
              </a:solidFill>
              <a:ln w="19050">
                <a:solidFill>
                  <a:schemeClr val="lt1"/>
                </a:solidFill>
              </a:ln>
              <a:effectLst/>
            </c:spPr>
            <c:extLst>
              <c:ext xmlns:c16="http://schemas.microsoft.com/office/drawing/2014/chart" uri="{C3380CC4-5D6E-409C-BE32-E72D297353CC}">
                <c16:uniqueId val="{00000006-1B30-4E82-BDE6-47D0E796A4FD}"/>
              </c:ext>
            </c:extLst>
          </c:dPt>
          <c:dPt>
            <c:idx val="4"/>
            <c:bubble3D val="0"/>
            <c:spPr>
              <a:solidFill>
                <a:srgbClr val="C44545"/>
              </a:solidFill>
              <a:ln w="19050">
                <a:solidFill>
                  <a:schemeClr val="lt1"/>
                </a:solidFill>
              </a:ln>
              <a:effectLst/>
            </c:spPr>
            <c:extLst>
              <c:ext xmlns:c16="http://schemas.microsoft.com/office/drawing/2014/chart" uri="{C3380CC4-5D6E-409C-BE32-E72D297353CC}">
                <c16:uniqueId val="{00000007-1B30-4E82-BDE6-47D0E796A4F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TABLE'!$E$23:$E$28</c:f>
              <c:strCache>
                <c:ptCount val="5"/>
                <c:pt idx="0">
                  <c:v>Axa Mansard</c:v>
                </c:pt>
                <c:pt idx="1">
                  <c:v>Hygeia</c:v>
                </c:pt>
                <c:pt idx="2">
                  <c:v>Leadway Health</c:v>
                </c:pt>
                <c:pt idx="3">
                  <c:v>Reliance Hmo</c:v>
                </c:pt>
                <c:pt idx="4">
                  <c:v>Rliance Hmo</c:v>
                </c:pt>
              </c:strCache>
            </c:strRef>
          </c:cat>
          <c:val>
            <c:numRef>
              <c:f>'PIVOT TABLE'!$F$23:$F$28</c:f>
              <c:numCache>
                <c:formatCode>General</c:formatCode>
                <c:ptCount val="5"/>
                <c:pt idx="0">
                  <c:v>26</c:v>
                </c:pt>
                <c:pt idx="1">
                  <c:v>24</c:v>
                </c:pt>
                <c:pt idx="2">
                  <c:v>25</c:v>
                </c:pt>
                <c:pt idx="3">
                  <c:v>18</c:v>
                </c:pt>
                <c:pt idx="4">
                  <c:v>7</c:v>
                </c:pt>
              </c:numCache>
            </c:numRef>
          </c:val>
          <c:extLst>
            <c:ext xmlns:c16="http://schemas.microsoft.com/office/drawing/2014/chart" uri="{C3380CC4-5D6E-409C-BE32-E72D297353CC}">
              <c16:uniqueId val="{00000000-1B30-4E82-BDE6-47D0E796A4FD}"/>
            </c:ext>
          </c:extLst>
        </c:ser>
        <c:ser>
          <c:idx val="1"/>
          <c:order val="1"/>
          <c:tx>
            <c:strRef>
              <c:f>'PIVOT TABLE'!$G$22</c:f>
              <c:strCache>
                <c:ptCount val="1"/>
                <c:pt idx="0">
                  <c:v>Percentage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TABLE'!$E$23:$E$28</c:f>
              <c:strCache>
                <c:ptCount val="5"/>
                <c:pt idx="0">
                  <c:v>Axa Mansard</c:v>
                </c:pt>
                <c:pt idx="1">
                  <c:v>Hygeia</c:v>
                </c:pt>
                <c:pt idx="2">
                  <c:v>Leadway Health</c:v>
                </c:pt>
                <c:pt idx="3">
                  <c:v>Reliance Hmo</c:v>
                </c:pt>
                <c:pt idx="4">
                  <c:v>Rliance Hmo</c:v>
                </c:pt>
              </c:strCache>
            </c:strRef>
          </c:cat>
          <c:val>
            <c:numRef>
              <c:f>'PIVOT TABLE'!$G$23:$G$28</c:f>
              <c:numCache>
                <c:formatCode>0.00%</c:formatCode>
                <c:ptCount val="5"/>
                <c:pt idx="0">
                  <c:v>0.26</c:v>
                </c:pt>
                <c:pt idx="1">
                  <c:v>0.24</c:v>
                </c:pt>
                <c:pt idx="2">
                  <c:v>0.25</c:v>
                </c:pt>
                <c:pt idx="3">
                  <c:v>0.18</c:v>
                </c:pt>
                <c:pt idx="4">
                  <c:v>7.0000000000000007E-2</c:v>
                </c:pt>
              </c:numCache>
            </c:numRef>
          </c:val>
          <c:extLst>
            <c:ext xmlns:c16="http://schemas.microsoft.com/office/drawing/2014/chart" uri="{C3380CC4-5D6E-409C-BE32-E72D297353CC}">
              <c16:uniqueId val="{00000001-1B30-4E82-BDE6-47D0E796A4F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Diagnosis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TABLE'!$F$3:$F$4</c:f>
              <c:strCache>
                <c:ptCount val="1"/>
                <c:pt idx="0">
                  <c:v>Female</c:v>
                </c:pt>
              </c:strCache>
            </c:strRef>
          </c:tx>
          <c:spPr>
            <a:solidFill>
              <a:srgbClr val="B356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TABLE'!$E$5:$E$19</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TABLE'!$F$5:$F$19</c:f>
              <c:numCache>
                <c:formatCode>General</c:formatCode>
                <c:ptCount val="14"/>
                <c:pt idx="1">
                  <c:v>1</c:v>
                </c:pt>
                <c:pt idx="3">
                  <c:v>1</c:v>
                </c:pt>
                <c:pt idx="4">
                  <c:v>4</c:v>
                </c:pt>
                <c:pt idx="5">
                  <c:v>4</c:v>
                </c:pt>
                <c:pt idx="6">
                  <c:v>6</c:v>
                </c:pt>
                <c:pt idx="7">
                  <c:v>1</c:v>
                </c:pt>
                <c:pt idx="8">
                  <c:v>6</c:v>
                </c:pt>
                <c:pt idx="9">
                  <c:v>5</c:v>
                </c:pt>
                <c:pt idx="10">
                  <c:v>6</c:v>
                </c:pt>
                <c:pt idx="11">
                  <c:v>7</c:v>
                </c:pt>
                <c:pt idx="12">
                  <c:v>1</c:v>
                </c:pt>
                <c:pt idx="13">
                  <c:v>9</c:v>
                </c:pt>
              </c:numCache>
            </c:numRef>
          </c:val>
          <c:extLst>
            <c:ext xmlns:c16="http://schemas.microsoft.com/office/drawing/2014/chart" uri="{C3380CC4-5D6E-409C-BE32-E72D297353CC}">
              <c16:uniqueId val="{00000000-D9E1-4722-A68C-ABD439D66630}"/>
            </c:ext>
          </c:extLst>
        </c:ser>
        <c:ser>
          <c:idx val="1"/>
          <c:order val="1"/>
          <c:tx>
            <c:strRef>
              <c:f>'PIVOT TABLE'!$G$3:$G$4</c:f>
              <c:strCache>
                <c:ptCount val="1"/>
                <c:pt idx="0">
                  <c:v>Male</c:v>
                </c:pt>
              </c:strCache>
            </c:strRef>
          </c:tx>
          <c:spPr>
            <a:solidFill>
              <a:srgbClr val="005F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TABLE'!$E$5:$E$19</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TABLE'!$G$5:$G$19</c:f>
              <c:numCache>
                <c:formatCode>General</c:formatCode>
                <c:ptCount val="14"/>
                <c:pt idx="0">
                  <c:v>1</c:v>
                </c:pt>
                <c:pt idx="2">
                  <c:v>8</c:v>
                </c:pt>
                <c:pt idx="3">
                  <c:v>1</c:v>
                </c:pt>
                <c:pt idx="5">
                  <c:v>1</c:v>
                </c:pt>
                <c:pt idx="6">
                  <c:v>7</c:v>
                </c:pt>
                <c:pt idx="8">
                  <c:v>7</c:v>
                </c:pt>
                <c:pt idx="9">
                  <c:v>7</c:v>
                </c:pt>
                <c:pt idx="10">
                  <c:v>7</c:v>
                </c:pt>
                <c:pt idx="11">
                  <c:v>6</c:v>
                </c:pt>
                <c:pt idx="13">
                  <c:v>4</c:v>
                </c:pt>
              </c:numCache>
            </c:numRef>
          </c:val>
          <c:extLst>
            <c:ext xmlns:c16="http://schemas.microsoft.com/office/drawing/2014/chart" uri="{C3380CC4-5D6E-409C-BE32-E72D297353CC}">
              <c16:uniqueId val="{00000001-D9E1-4722-A68C-ABD439D66630}"/>
            </c:ext>
          </c:extLst>
        </c:ser>
        <c:dLbls>
          <c:dLblPos val="ctr"/>
          <c:showLegendKey val="0"/>
          <c:showVal val="1"/>
          <c:showCatName val="0"/>
          <c:showSerName val="0"/>
          <c:showPercent val="0"/>
          <c:showBubbleSize val="0"/>
        </c:dLbls>
        <c:gapWidth val="150"/>
        <c:overlap val="100"/>
        <c:axId val="864817391"/>
        <c:axId val="864805743"/>
      </c:barChart>
      <c:catAx>
        <c:axId val="86481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05743"/>
        <c:crosses val="autoZero"/>
        <c:auto val="1"/>
        <c:lblAlgn val="ctr"/>
        <c:lblOffset val="100"/>
        <c:noMultiLvlLbl val="0"/>
      </c:catAx>
      <c:valAx>
        <c:axId val="864805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1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Claims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rgbClr val="C0B8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TABLE'!$A$51:$A$61</c:f>
              <c:strCache>
                <c:ptCount val="10"/>
                <c:pt idx="0">
                  <c:v>Alice Lopez</c:v>
                </c:pt>
                <c:pt idx="1">
                  <c:v>Christopher Taylor</c:v>
                </c:pt>
                <c:pt idx="2">
                  <c:v>Jimmy Bell</c:v>
                </c:pt>
                <c:pt idx="3">
                  <c:v>Jose Evans</c:v>
                </c:pt>
                <c:pt idx="4">
                  <c:v>Larry Baker</c:v>
                </c:pt>
                <c:pt idx="5">
                  <c:v>Lawrence Bailey</c:v>
                </c:pt>
                <c:pt idx="6">
                  <c:v>Michael Brown</c:v>
                </c:pt>
                <c:pt idx="7">
                  <c:v>Ralph Campbell</c:v>
                </c:pt>
                <c:pt idx="8">
                  <c:v>Ruby Evans</c:v>
                </c:pt>
                <c:pt idx="9">
                  <c:v>Scott Hall</c:v>
                </c:pt>
              </c:strCache>
            </c:strRef>
          </c:cat>
          <c:val>
            <c:numRef>
              <c:f>'PIVOT TABLE'!$B$51:$B$61</c:f>
              <c:numCache>
                <c:formatCode>"$"#,##0</c:formatCode>
                <c:ptCount val="10"/>
                <c:pt idx="0">
                  <c:v>430000</c:v>
                </c:pt>
                <c:pt idx="1">
                  <c:v>450000</c:v>
                </c:pt>
                <c:pt idx="2">
                  <c:v>475000</c:v>
                </c:pt>
                <c:pt idx="3">
                  <c:v>455000</c:v>
                </c:pt>
                <c:pt idx="4">
                  <c:v>510000</c:v>
                </c:pt>
                <c:pt idx="5">
                  <c:v>485000</c:v>
                </c:pt>
                <c:pt idx="6">
                  <c:v>350000</c:v>
                </c:pt>
                <c:pt idx="7">
                  <c:v>465000</c:v>
                </c:pt>
                <c:pt idx="8">
                  <c:v>355000</c:v>
                </c:pt>
                <c:pt idx="9">
                  <c:v>490000</c:v>
                </c:pt>
              </c:numCache>
            </c:numRef>
          </c:val>
          <c:extLst>
            <c:ext xmlns:c16="http://schemas.microsoft.com/office/drawing/2014/chart" uri="{C3380CC4-5D6E-409C-BE32-E72D297353CC}">
              <c16:uniqueId val="{00000000-918E-495B-A682-DD2989CF4D36}"/>
            </c:ext>
          </c:extLst>
        </c:ser>
        <c:dLbls>
          <c:dLblPos val="outEnd"/>
          <c:showLegendKey val="0"/>
          <c:showVal val="1"/>
          <c:showCatName val="0"/>
          <c:showSerName val="0"/>
          <c:showPercent val="0"/>
          <c:showBubbleSize val="0"/>
        </c:dLbls>
        <c:gapWidth val="182"/>
        <c:axId val="864824879"/>
        <c:axId val="864814479"/>
      </c:barChart>
      <c:catAx>
        <c:axId val="86482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14479"/>
        <c:crosses val="autoZero"/>
        <c:auto val="1"/>
        <c:lblAlgn val="ctr"/>
        <c:lblOffset val="100"/>
        <c:noMultiLvlLbl val="0"/>
      </c:catAx>
      <c:valAx>
        <c:axId val="864814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Claim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44545"/>
            </a:solidFill>
            <a:round/>
          </a:ln>
          <a:effectLst/>
        </c:spPr>
        <c:marker>
          <c:symbol val="circle"/>
          <c:size val="5"/>
          <c:spPr>
            <a:solidFill>
              <a:srgbClr val="005F02"/>
            </a:solidFill>
            <a:ln w="9525">
              <a:solidFill>
                <a:srgbClr val="C445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6.272922134733161E-2"/>
              <c:y val="-0.16894685039370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0.10995144356955386"/>
              <c:y val="-0.238391294838145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3.0513998250218721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c:f>
              <c:strCache>
                <c:ptCount val="1"/>
                <c:pt idx="0">
                  <c:v>Total</c:v>
                </c:pt>
              </c:strCache>
            </c:strRef>
          </c:tx>
          <c:spPr>
            <a:ln w="28575" cap="rnd">
              <a:solidFill>
                <a:srgbClr val="C44545"/>
              </a:solidFill>
              <a:round/>
            </a:ln>
            <a:effectLst/>
          </c:spPr>
          <c:marker>
            <c:symbol val="circle"/>
            <c:size val="5"/>
            <c:spPr>
              <a:solidFill>
                <a:srgbClr val="005F02"/>
              </a:solidFill>
              <a:ln w="9525">
                <a:solidFill>
                  <a:srgbClr val="C44545"/>
                </a:solidFill>
              </a:ln>
              <a:effectLst/>
            </c:spPr>
          </c:marker>
          <c:dLbls>
            <c:dLbl>
              <c:idx val="1"/>
              <c:layout>
                <c:manualLayout>
                  <c:x val="-6.272922134733161E-2"/>
                  <c:y val="-0.168946850393700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92-42AC-85DE-8F6E698E08BC}"/>
                </c:ext>
              </c:extLst>
            </c:dLbl>
            <c:dLbl>
              <c:idx val="4"/>
              <c:layout>
                <c:manualLayout>
                  <c:x val="-0.10995144356955386"/>
                  <c:y val="-0.238391294838145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92-42AC-85DE-8F6E698E08BC}"/>
                </c:ext>
              </c:extLst>
            </c:dLbl>
            <c:dLbl>
              <c:idx val="7"/>
              <c:layout>
                <c:manualLayout>
                  <c:x val="-3.0513998250218721E-2"/>
                  <c:y val="4.8645742198891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92-42AC-85DE-8F6E698E08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TABLE'!$A$39:$A$48</c:f>
              <c:strCache>
                <c:ptCount val="9"/>
                <c:pt idx="0">
                  <c:v>Jan</c:v>
                </c:pt>
                <c:pt idx="1">
                  <c:v>Mar</c:v>
                </c:pt>
                <c:pt idx="2">
                  <c:v>May</c:v>
                </c:pt>
                <c:pt idx="3">
                  <c:v>Jun</c:v>
                </c:pt>
                <c:pt idx="4">
                  <c:v>Aug</c:v>
                </c:pt>
                <c:pt idx="5">
                  <c:v>Sep</c:v>
                </c:pt>
                <c:pt idx="6">
                  <c:v>Oct</c:v>
                </c:pt>
                <c:pt idx="7">
                  <c:v>Nov</c:v>
                </c:pt>
                <c:pt idx="8">
                  <c:v>Dec</c:v>
                </c:pt>
              </c:strCache>
            </c:strRef>
          </c:cat>
          <c:val>
            <c:numRef>
              <c:f>'PIVOT TABLE'!$B$39:$B$48</c:f>
              <c:numCache>
                <c:formatCode>"$"#,##0</c:formatCode>
                <c:ptCount val="9"/>
                <c:pt idx="0">
                  <c:v>745000</c:v>
                </c:pt>
                <c:pt idx="1">
                  <c:v>780000</c:v>
                </c:pt>
                <c:pt idx="2">
                  <c:v>867000</c:v>
                </c:pt>
                <c:pt idx="3">
                  <c:v>49000</c:v>
                </c:pt>
                <c:pt idx="4">
                  <c:v>409500</c:v>
                </c:pt>
                <c:pt idx="5">
                  <c:v>1531000</c:v>
                </c:pt>
                <c:pt idx="6">
                  <c:v>3711500</c:v>
                </c:pt>
                <c:pt idx="7">
                  <c:v>2537000</c:v>
                </c:pt>
                <c:pt idx="8">
                  <c:v>7006500</c:v>
                </c:pt>
              </c:numCache>
            </c:numRef>
          </c:val>
          <c:smooth val="0"/>
          <c:extLst>
            <c:ext xmlns:c16="http://schemas.microsoft.com/office/drawing/2014/chart" uri="{C3380CC4-5D6E-409C-BE32-E72D297353CC}">
              <c16:uniqueId val="{00000000-F092-42AC-85DE-8F6E698E08BC}"/>
            </c:ext>
          </c:extLst>
        </c:ser>
        <c:dLbls>
          <c:dLblPos val="t"/>
          <c:showLegendKey val="0"/>
          <c:showVal val="1"/>
          <c:showCatName val="0"/>
          <c:showSerName val="0"/>
          <c:showPercent val="0"/>
          <c:showBubbleSize val="0"/>
        </c:dLbls>
        <c:marker val="1"/>
        <c:smooth val="0"/>
        <c:axId val="864776623"/>
        <c:axId val="864799503"/>
      </c:lineChart>
      <c:catAx>
        <c:axId val="86477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99503"/>
        <c:crosses val="autoZero"/>
        <c:auto val="1"/>
        <c:lblAlgn val="ctr"/>
        <c:lblOffset val="100"/>
        <c:noMultiLvlLbl val="0"/>
      </c:catAx>
      <c:valAx>
        <c:axId val="86479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7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Claim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rgbClr val="005F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2"/>
                <c:pt idx="0">
                  <c:v>Female</c:v>
                </c:pt>
                <c:pt idx="1">
                  <c:v>Male</c:v>
                </c:pt>
              </c:strCache>
            </c:strRef>
          </c:cat>
          <c:val>
            <c:numRef>
              <c:f>'PIVOT TABLE'!$B$33:$B$35</c:f>
              <c:numCache>
                <c:formatCode>"$"#,##0</c:formatCode>
                <c:ptCount val="2"/>
                <c:pt idx="0">
                  <c:v>7951000</c:v>
                </c:pt>
                <c:pt idx="1">
                  <c:v>9685500</c:v>
                </c:pt>
              </c:numCache>
            </c:numRef>
          </c:val>
          <c:extLst>
            <c:ext xmlns:c16="http://schemas.microsoft.com/office/drawing/2014/chart" uri="{C3380CC4-5D6E-409C-BE32-E72D297353CC}">
              <c16:uniqueId val="{00000000-E446-4EED-B8D7-065165302AE9}"/>
            </c:ext>
          </c:extLst>
        </c:ser>
        <c:dLbls>
          <c:dLblPos val="outEnd"/>
          <c:showLegendKey val="0"/>
          <c:showVal val="1"/>
          <c:showCatName val="0"/>
          <c:showSerName val="0"/>
          <c:showPercent val="0"/>
          <c:showBubbleSize val="0"/>
        </c:dLbls>
        <c:gapWidth val="219"/>
        <c:overlap val="-27"/>
        <c:axId val="864781199"/>
        <c:axId val="864782031"/>
      </c:barChart>
      <c:catAx>
        <c:axId val="86478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82031"/>
        <c:crosses val="autoZero"/>
        <c:auto val="1"/>
        <c:lblAlgn val="ctr"/>
        <c:lblOffset val="100"/>
        <c:noMultiLvlLbl val="0"/>
      </c:catAx>
      <c:valAx>
        <c:axId val="86478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Patient Volue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B87A"/>
            </a:solidFill>
            <a:round/>
          </a:ln>
          <a:effectLst/>
        </c:spPr>
        <c:marker>
          <c:symbol val="circle"/>
          <c:size val="5"/>
          <c:spPr>
            <a:solidFill>
              <a:srgbClr val="C44545"/>
            </a:solidFill>
            <a:ln w="9525">
              <a:solidFill>
                <a:srgbClr val="C0B87A"/>
              </a:solidFill>
            </a:ln>
            <a:effectLst/>
          </c:spPr>
        </c:marker>
        <c:dLbl>
          <c:idx val="0"/>
          <c:spPr>
            <a:noFill/>
            <a:ln>
              <a:solidFill>
                <a:srgbClr val="C0B87A"/>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TABLE'!$F$32</c:f>
              <c:strCache>
                <c:ptCount val="1"/>
                <c:pt idx="0">
                  <c:v>Total</c:v>
                </c:pt>
              </c:strCache>
            </c:strRef>
          </c:tx>
          <c:spPr>
            <a:ln w="28575" cap="rnd">
              <a:solidFill>
                <a:srgbClr val="C0B87A"/>
              </a:solidFill>
              <a:round/>
            </a:ln>
            <a:effectLst/>
          </c:spPr>
          <c:marker>
            <c:symbol val="circle"/>
            <c:size val="5"/>
            <c:spPr>
              <a:solidFill>
                <a:srgbClr val="C44545"/>
              </a:solidFill>
              <a:ln w="9525">
                <a:solidFill>
                  <a:srgbClr val="C0B87A"/>
                </a:solidFill>
              </a:ln>
              <a:effectLst/>
            </c:spPr>
          </c:marker>
          <c:dLbls>
            <c:spPr>
              <a:noFill/>
              <a:ln>
                <a:solidFill>
                  <a:srgbClr val="C0B87A"/>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TABLE'!$E$33:$E$42</c:f>
              <c:strCache>
                <c:ptCount val="9"/>
                <c:pt idx="0">
                  <c:v>Jan</c:v>
                </c:pt>
                <c:pt idx="1">
                  <c:v>Mar</c:v>
                </c:pt>
                <c:pt idx="2">
                  <c:v>May</c:v>
                </c:pt>
                <c:pt idx="3">
                  <c:v>Jun</c:v>
                </c:pt>
                <c:pt idx="4">
                  <c:v>Aug</c:v>
                </c:pt>
                <c:pt idx="5">
                  <c:v>Sep</c:v>
                </c:pt>
                <c:pt idx="6">
                  <c:v>Oct</c:v>
                </c:pt>
                <c:pt idx="7">
                  <c:v>Nov</c:v>
                </c:pt>
                <c:pt idx="8">
                  <c:v>Dec</c:v>
                </c:pt>
              </c:strCache>
            </c:strRef>
          </c:cat>
          <c:val>
            <c:numRef>
              <c:f>'PIVOT TABLE'!$F$33:$F$42</c:f>
              <c:numCache>
                <c:formatCode>General</c:formatCode>
                <c:ptCount val="9"/>
                <c:pt idx="0">
                  <c:v>3</c:v>
                </c:pt>
                <c:pt idx="1">
                  <c:v>2</c:v>
                </c:pt>
                <c:pt idx="2">
                  <c:v>7</c:v>
                </c:pt>
                <c:pt idx="3">
                  <c:v>1</c:v>
                </c:pt>
                <c:pt idx="4">
                  <c:v>4</c:v>
                </c:pt>
                <c:pt idx="5">
                  <c:v>5</c:v>
                </c:pt>
                <c:pt idx="6">
                  <c:v>16</c:v>
                </c:pt>
                <c:pt idx="7">
                  <c:v>23</c:v>
                </c:pt>
                <c:pt idx="8">
                  <c:v>39</c:v>
                </c:pt>
              </c:numCache>
            </c:numRef>
          </c:val>
          <c:smooth val="0"/>
          <c:extLst>
            <c:ext xmlns:c16="http://schemas.microsoft.com/office/drawing/2014/chart" uri="{C3380CC4-5D6E-409C-BE32-E72D297353CC}">
              <c16:uniqueId val="{00000000-FA03-4582-9E14-B196B04A2DE4}"/>
            </c:ext>
          </c:extLst>
        </c:ser>
        <c:dLbls>
          <c:showLegendKey val="0"/>
          <c:showVal val="1"/>
          <c:showCatName val="0"/>
          <c:showSerName val="0"/>
          <c:showPercent val="0"/>
          <c:showBubbleSize val="0"/>
        </c:dLbls>
        <c:marker val="1"/>
        <c:smooth val="0"/>
        <c:axId val="864798671"/>
        <c:axId val="864783279"/>
      </c:lineChart>
      <c:catAx>
        <c:axId val="86479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83279"/>
        <c:crosses val="autoZero"/>
        <c:auto val="1"/>
        <c:lblAlgn val="ctr"/>
        <c:lblOffset val="100"/>
        <c:noMultiLvlLbl val="0"/>
      </c:catAx>
      <c:valAx>
        <c:axId val="8647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9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Claim by Insurer &amp;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Average of ClaimAmount</c:v>
                </c:pt>
              </c:strCache>
            </c:strRef>
          </c:tx>
          <c:spPr>
            <a:solidFill>
              <a:srgbClr val="B35656"/>
            </a:solidFill>
            <a:ln>
              <a:noFill/>
            </a:ln>
            <a:effectLst/>
          </c:spPr>
          <c:invertIfNegative val="0"/>
          <c:cat>
            <c:strRef>
              <c:f>'PIVOT TABLE'!$A$16:$A$30</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TABLE'!$B$16:$B$30</c:f>
              <c:numCache>
                <c:formatCode>"$"#,##0</c:formatCode>
                <c:ptCount val="14"/>
                <c:pt idx="0">
                  <c:v>125000</c:v>
                </c:pt>
                <c:pt idx="1">
                  <c:v>88000</c:v>
                </c:pt>
                <c:pt idx="2">
                  <c:v>470000</c:v>
                </c:pt>
                <c:pt idx="3">
                  <c:v>93500</c:v>
                </c:pt>
                <c:pt idx="4">
                  <c:v>327500</c:v>
                </c:pt>
                <c:pt idx="5">
                  <c:v>256000</c:v>
                </c:pt>
                <c:pt idx="6">
                  <c:v>320769.23076923075</c:v>
                </c:pt>
                <c:pt idx="7">
                  <c:v>120000</c:v>
                </c:pt>
                <c:pt idx="8">
                  <c:v>153307.69230769231</c:v>
                </c:pt>
                <c:pt idx="9">
                  <c:v>76583.333333333328</c:v>
                </c:pt>
                <c:pt idx="10">
                  <c:v>39115.384615384617</c:v>
                </c:pt>
                <c:pt idx="11">
                  <c:v>186538.46153846153</c:v>
                </c:pt>
                <c:pt idx="12">
                  <c:v>65000</c:v>
                </c:pt>
                <c:pt idx="13">
                  <c:v>52769.230769230766</c:v>
                </c:pt>
              </c:numCache>
            </c:numRef>
          </c:val>
          <c:extLst>
            <c:ext xmlns:c16="http://schemas.microsoft.com/office/drawing/2014/chart" uri="{C3380CC4-5D6E-409C-BE32-E72D297353CC}">
              <c16:uniqueId val="{00000000-1CE4-4B45-8D39-0CB98BCEB609}"/>
            </c:ext>
          </c:extLst>
        </c:ser>
        <c:ser>
          <c:idx val="1"/>
          <c:order val="1"/>
          <c:tx>
            <c:strRef>
              <c:f>'PIVOT TABLE'!$C$15</c:f>
              <c:strCache>
                <c:ptCount val="1"/>
                <c:pt idx="0">
                  <c:v>Count of Diagnosis</c:v>
                </c:pt>
              </c:strCache>
            </c:strRef>
          </c:tx>
          <c:spPr>
            <a:solidFill>
              <a:schemeClr val="accent2"/>
            </a:solidFill>
            <a:ln>
              <a:noFill/>
            </a:ln>
            <a:effectLst/>
          </c:spPr>
          <c:invertIfNegative val="0"/>
          <c:cat>
            <c:strRef>
              <c:f>'PIVOT TABLE'!$A$16:$A$30</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TABLE'!$C$16:$C$30</c:f>
              <c:numCache>
                <c:formatCode>General</c:formatCode>
                <c:ptCount val="14"/>
                <c:pt idx="0">
                  <c:v>1</c:v>
                </c:pt>
                <c:pt idx="1">
                  <c:v>1</c:v>
                </c:pt>
                <c:pt idx="2">
                  <c:v>8</c:v>
                </c:pt>
                <c:pt idx="3">
                  <c:v>2</c:v>
                </c:pt>
                <c:pt idx="4">
                  <c:v>4</c:v>
                </c:pt>
                <c:pt idx="5">
                  <c:v>5</c:v>
                </c:pt>
                <c:pt idx="6">
                  <c:v>13</c:v>
                </c:pt>
                <c:pt idx="7">
                  <c:v>1</c:v>
                </c:pt>
                <c:pt idx="8">
                  <c:v>13</c:v>
                </c:pt>
                <c:pt idx="9">
                  <c:v>12</c:v>
                </c:pt>
                <c:pt idx="10">
                  <c:v>13</c:v>
                </c:pt>
                <c:pt idx="11">
                  <c:v>13</c:v>
                </c:pt>
                <c:pt idx="12">
                  <c:v>1</c:v>
                </c:pt>
                <c:pt idx="13">
                  <c:v>13</c:v>
                </c:pt>
              </c:numCache>
            </c:numRef>
          </c:val>
          <c:extLst>
            <c:ext xmlns:c16="http://schemas.microsoft.com/office/drawing/2014/chart" uri="{C3380CC4-5D6E-409C-BE32-E72D297353CC}">
              <c16:uniqueId val="{00000001-1CE4-4B45-8D39-0CB98BCEB609}"/>
            </c:ext>
          </c:extLst>
        </c:ser>
        <c:dLbls>
          <c:showLegendKey val="0"/>
          <c:showVal val="0"/>
          <c:showCatName val="0"/>
          <c:showSerName val="0"/>
          <c:showPercent val="0"/>
          <c:showBubbleSize val="0"/>
        </c:dLbls>
        <c:gapWidth val="150"/>
        <c:axId val="864797839"/>
        <c:axId val="864801167"/>
      </c:barChart>
      <c:catAx>
        <c:axId val="864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01167"/>
        <c:crosses val="autoZero"/>
        <c:auto val="1"/>
        <c:lblAlgn val="ctr"/>
        <c:lblOffset val="100"/>
        <c:noMultiLvlLbl val="0"/>
      </c:catAx>
      <c:valAx>
        <c:axId val="864801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Claims by Insurance Provider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rgbClr val="C0B87A"/>
            </a:solidFill>
            <a:ln>
              <a:noFill/>
            </a:ln>
            <a:effectLst/>
          </c:spPr>
          <c:invertIfNegative val="0"/>
          <c:cat>
            <c:strRef>
              <c:f>'PIVOT TABLE'!$A$7:$A$12</c:f>
              <c:strCache>
                <c:ptCount val="5"/>
                <c:pt idx="0">
                  <c:v>Axa Mansard</c:v>
                </c:pt>
                <c:pt idx="1">
                  <c:v>Hygeia</c:v>
                </c:pt>
                <c:pt idx="2">
                  <c:v>Leadway Health</c:v>
                </c:pt>
                <c:pt idx="3">
                  <c:v>Reliance Hmo</c:v>
                </c:pt>
                <c:pt idx="4">
                  <c:v>Rliance Hmo</c:v>
                </c:pt>
              </c:strCache>
            </c:strRef>
          </c:cat>
          <c:val>
            <c:numRef>
              <c:f>'PIVOT TABLE'!$B$7:$B$12</c:f>
              <c:numCache>
                <c:formatCode>"$"#,##0</c:formatCode>
                <c:ptCount val="5"/>
                <c:pt idx="0">
                  <c:v>5448500</c:v>
                </c:pt>
                <c:pt idx="1">
                  <c:v>3819000</c:v>
                </c:pt>
                <c:pt idx="2">
                  <c:v>4992500</c:v>
                </c:pt>
                <c:pt idx="3">
                  <c:v>2496500</c:v>
                </c:pt>
                <c:pt idx="4">
                  <c:v>880000</c:v>
                </c:pt>
              </c:numCache>
            </c:numRef>
          </c:val>
          <c:extLst>
            <c:ext xmlns:c16="http://schemas.microsoft.com/office/drawing/2014/chart" uri="{C3380CC4-5D6E-409C-BE32-E72D297353CC}">
              <c16:uniqueId val="{00000000-2B76-489A-88A8-349307DB443A}"/>
            </c:ext>
          </c:extLst>
        </c:ser>
        <c:dLbls>
          <c:showLegendKey val="0"/>
          <c:showVal val="0"/>
          <c:showCatName val="0"/>
          <c:showSerName val="0"/>
          <c:showPercent val="0"/>
          <c:showBubbleSize val="0"/>
        </c:dLbls>
        <c:gapWidth val="219"/>
        <c:overlap val="-27"/>
        <c:axId val="949417535"/>
        <c:axId val="949409631"/>
      </c:barChart>
      <c:catAx>
        <c:axId val="94941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9409631"/>
        <c:crosses val="autoZero"/>
        <c:auto val="1"/>
        <c:lblAlgn val="ctr"/>
        <c:lblOffset val="100"/>
        <c:noMultiLvlLbl val="0"/>
      </c:catAx>
      <c:valAx>
        <c:axId val="949409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941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Insurance Market Share</a:t>
            </a:r>
          </a:p>
        </c:rich>
      </c:tx>
      <c:layout>
        <c:manualLayout>
          <c:xMode val="edge"/>
          <c:yMode val="edge"/>
          <c:x val="0.29696380159780955"/>
          <c:y val="9.2596503559306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B87A"/>
          </a:solidFill>
          <a:ln w="19050">
            <a:solidFill>
              <a:schemeClr val="lt1"/>
            </a:solidFill>
          </a:ln>
          <a:effectLst/>
        </c:spPr>
      </c:pivotFmt>
      <c:pivotFmt>
        <c:idx val="3"/>
        <c:spPr>
          <a:solidFill>
            <a:srgbClr val="F6F09F"/>
          </a:solidFill>
          <a:ln w="19050">
            <a:solidFill>
              <a:schemeClr val="lt1"/>
            </a:solidFill>
          </a:ln>
          <a:effectLst/>
        </c:spPr>
      </c:pivotFmt>
      <c:pivotFmt>
        <c:idx val="4"/>
        <c:spPr>
          <a:solidFill>
            <a:srgbClr val="005F02"/>
          </a:solidFill>
          <a:ln w="19050">
            <a:solidFill>
              <a:schemeClr val="lt1"/>
            </a:solidFill>
          </a:ln>
          <a:effectLst/>
        </c:spPr>
      </c:pivotFmt>
      <c:pivotFmt>
        <c:idx val="5"/>
        <c:spPr>
          <a:solidFill>
            <a:srgbClr val="A2CB8B"/>
          </a:solidFill>
          <a:ln w="19050">
            <a:solidFill>
              <a:schemeClr val="lt1"/>
            </a:solidFill>
          </a:ln>
          <a:effectLst/>
        </c:spPr>
      </c:pivotFmt>
      <c:pivotFmt>
        <c:idx val="6"/>
        <c:spPr>
          <a:solidFill>
            <a:srgbClr val="C44545"/>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0B87A"/>
          </a:solidFill>
          <a:ln w="19050">
            <a:solidFill>
              <a:schemeClr val="lt1"/>
            </a:solidFill>
          </a:ln>
          <a:effectLst/>
        </c:spPr>
      </c:pivotFmt>
      <c:pivotFmt>
        <c:idx val="9"/>
        <c:spPr>
          <a:solidFill>
            <a:srgbClr val="F6F09F"/>
          </a:solidFill>
          <a:ln w="19050">
            <a:solidFill>
              <a:schemeClr val="lt1"/>
            </a:solidFill>
          </a:ln>
          <a:effectLst/>
        </c:spPr>
      </c:pivotFmt>
      <c:pivotFmt>
        <c:idx val="10"/>
        <c:spPr>
          <a:solidFill>
            <a:srgbClr val="005F02"/>
          </a:solidFill>
          <a:ln w="19050">
            <a:solidFill>
              <a:schemeClr val="lt1"/>
            </a:solidFill>
          </a:ln>
          <a:effectLst/>
        </c:spPr>
      </c:pivotFmt>
      <c:pivotFmt>
        <c:idx val="11"/>
        <c:spPr>
          <a:solidFill>
            <a:srgbClr val="A2CB8B"/>
          </a:solidFill>
          <a:ln w="19050">
            <a:solidFill>
              <a:schemeClr val="lt1"/>
            </a:solidFill>
          </a:ln>
          <a:effectLst/>
        </c:spPr>
      </c:pivotFmt>
      <c:pivotFmt>
        <c:idx val="12"/>
        <c:spPr>
          <a:solidFill>
            <a:srgbClr val="C44545"/>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C0B87A"/>
          </a:solidFill>
          <a:ln w="19050">
            <a:solidFill>
              <a:schemeClr val="lt1"/>
            </a:solidFill>
          </a:ln>
          <a:effectLst/>
        </c:spPr>
      </c:pivotFmt>
      <c:pivotFmt>
        <c:idx val="21"/>
        <c:spPr>
          <a:solidFill>
            <a:srgbClr val="F6F09F"/>
          </a:solidFill>
          <a:ln w="19050">
            <a:solidFill>
              <a:schemeClr val="lt1"/>
            </a:solidFill>
          </a:ln>
          <a:effectLst/>
        </c:spPr>
      </c:pivotFmt>
      <c:pivotFmt>
        <c:idx val="22"/>
        <c:spPr>
          <a:solidFill>
            <a:srgbClr val="005F02"/>
          </a:solidFill>
          <a:ln w="19050">
            <a:solidFill>
              <a:schemeClr val="lt1"/>
            </a:solidFill>
          </a:ln>
          <a:effectLst/>
        </c:spPr>
      </c:pivotFmt>
      <c:pivotFmt>
        <c:idx val="23"/>
        <c:spPr>
          <a:solidFill>
            <a:srgbClr val="A2CB8B"/>
          </a:solidFill>
          <a:ln w="19050">
            <a:solidFill>
              <a:schemeClr val="lt1"/>
            </a:solidFill>
          </a:ln>
          <a:effectLst/>
        </c:spPr>
      </c:pivotFmt>
      <c:pivotFmt>
        <c:idx val="24"/>
        <c:spPr>
          <a:solidFill>
            <a:srgbClr val="C44545"/>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 TABLE'!$F$22</c:f>
              <c:strCache>
                <c:ptCount val="1"/>
                <c:pt idx="0">
                  <c:v>Count of PatientID</c:v>
                </c:pt>
              </c:strCache>
            </c:strRef>
          </c:tx>
          <c:dPt>
            <c:idx val="0"/>
            <c:bubble3D val="0"/>
            <c:spPr>
              <a:solidFill>
                <a:srgbClr val="C0B87A"/>
              </a:solidFill>
              <a:ln w="19050">
                <a:solidFill>
                  <a:schemeClr val="lt1"/>
                </a:solidFill>
              </a:ln>
              <a:effectLst/>
            </c:spPr>
            <c:extLst>
              <c:ext xmlns:c16="http://schemas.microsoft.com/office/drawing/2014/chart" uri="{C3380CC4-5D6E-409C-BE32-E72D297353CC}">
                <c16:uniqueId val="{00000001-F682-4685-A2FB-625CAF206154}"/>
              </c:ext>
            </c:extLst>
          </c:dPt>
          <c:dPt>
            <c:idx val="1"/>
            <c:bubble3D val="0"/>
            <c:spPr>
              <a:solidFill>
                <a:srgbClr val="F6F09F"/>
              </a:solidFill>
              <a:ln w="19050">
                <a:solidFill>
                  <a:schemeClr val="lt1"/>
                </a:solidFill>
              </a:ln>
              <a:effectLst/>
            </c:spPr>
            <c:extLst>
              <c:ext xmlns:c16="http://schemas.microsoft.com/office/drawing/2014/chart" uri="{C3380CC4-5D6E-409C-BE32-E72D297353CC}">
                <c16:uniqueId val="{00000003-F682-4685-A2FB-625CAF206154}"/>
              </c:ext>
            </c:extLst>
          </c:dPt>
          <c:dPt>
            <c:idx val="2"/>
            <c:bubble3D val="0"/>
            <c:spPr>
              <a:solidFill>
                <a:srgbClr val="005F02"/>
              </a:solidFill>
              <a:ln w="19050">
                <a:solidFill>
                  <a:schemeClr val="lt1"/>
                </a:solidFill>
              </a:ln>
              <a:effectLst/>
            </c:spPr>
            <c:extLst>
              <c:ext xmlns:c16="http://schemas.microsoft.com/office/drawing/2014/chart" uri="{C3380CC4-5D6E-409C-BE32-E72D297353CC}">
                <c16:uniqueId val="{00000005-F682-4685-A2FB-625CAF206154}"/>
              </c:ext>
            </c:extLst>
          </c:dPt>
          <c:dPt>
            <c:idx val="3"/>
            <c:bubble3D val="0"/>
            <c:spPr>
              <a:solidFill>
                <a:srgbClr val="A2CB8B"/>
              </a:solidFill>
              <a:ln w="19050">
                <a:solidFill>
                  <a:schemeClr val="lt1"/>
                </a:solidFill>
              </a:ln>
              <a:effectLst/>
            </c:spPr>
            <c:extLst>
              <c:ext xmlns:c16="http://schemas.microsoft.com/office/drawing/2014/chart" uri="{C3380CC4-5D6E-409C-BE32-E72D297353CC}">
                <c16:uniqueId val="{00000007-F682-4685-A2FB-625CAF206154}"/>
              </c:ext>
            </c:extLst>
          </c:dPt>
          <c:dPt>
            <c:idx val="4"/>
            <c:bubble3D val="0"/>
            <c:spPr>
              <a:solidFill>
                <a:srgbClr val="C44545"/>
              </a:solidFill>
              <a:ln w="19050">
                <a:solidFill>
                  <a:schemeClr val="lt1"/>
                </a:solidFill>
              </a:ln>
              <a:effectLst/>
            </c:spPr>
            <c:extLst>
              <c:ext xmlns:c16="http://schemas.microsoft.com/office/drawing/2014/chart" uri="{C3380CC4-5D6E-409C-BE32-E72D297353CC}">
                <c16:uniqueId val="{00000009-F682-4685-A2FB-625CAF20615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TABLE'!$E$23:$E$28</c:f>
              <c:strCache>
                <c:ptCount val="5"/>
                <c:pt idx="0">
                  <c:v>Axa Mansard</c:v>
                </c:pt>
                <c:pt idx="1">
                  <c:v>Hygeia</c:v>
                </c:pt>
                <c:pt idx="2">
                  <c:v>Leadway Health</c:v>
                </c:pt>
                <c:pt idx="3">
                  <c:v>Reliance Hmo</c:v>
                </c:pt>
                <c:pt idx="4">
                  <c:v>Rliance Hmo</c:v>
                </c:pt>
              </c:strCache>
            </c:strRef>
          </c:cat>
          <c:val>
            <c:numRef>
              <c:f>'PIVOT TABLE'!$F$23:$F$28</c:f>
              <c:numCache>
                <c:formatCode>General</c:formatCode>
                <c:ptCount val="5"/>
                <c:pt idx="0">
                  <c:v>26</c:v>
                </c:pt>
                <c:pt idx="1">
                  <c:v>24</c:v>
                </c:pt>
                <c:pt idx="2">
                  <c:v>25</c:v>
                </c:pt>
                <c:pt idx="3">
                  <c:v>18</c:v>
                </c:pt>
                <c:pt idx="4">
                  <c:v>7</c:v>
                </c:pt>
              </c:numCache>
            </c:numRef>
          </c:val>
          <c:extLst>
            <c:ext xmlns:c16="http://schemas.microsoft.com/office/drawing/2014/chart" uri="{C3380CC4-5D6E-409C-BE32-E72D297353CC}">
              <c16:uniqueId val="{0000000A-F682-4685-A2FB-625CAF206154}"/>
            </c:ext>
          </c:extLst>
        </c:ser>
        <c:ser>
          <c:idx val="1"/>
          <c:order val="1"/>
          <c:tx>
            <c:strRef>
              <c:f>'PIVOT TABLE'!$G$22</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F682-4685-A2FB-625CAF2061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F682-4685-A2FB-625CAF2061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F682-4685-A2FB-625CAF2061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F682-4685-A2FB-625CAF2061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F682-4685-A2FB-625CAF2061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TABLE'!$E$23:$E$28</c:f>
              <c:strCache>
                <c:ptCount val="5"/>
                <c:pt idx="0">
                  <c:v>Axa Mansard</c:v>
                </c:pt>
                <c:pt idx="1">
                  <c:v>Hygeia</c:v>
                </c:pt>
                <c:pt idx="2">
                  <c:v>Leadway Health</c:v>
                </c:pt>
                <c:pt idx="3">
                  <c:v>Reliance Hmo</c:v>
                </c:pt>
                <c:pt idx="4">
                  <c:v>Rliance Hmo</c:v>
                </c:pt>
              </c:strCache>
            </c:strRef>
          </c:cat>
          <c:val>
            <c:numRef>
              <c:f>'PIVOT TABLE'!$G$23:$G$28</c:f>
              <c:numCache>
                <c:formatCode>0.00%</c:formatCode>
                <c:ptCount val="5"/>
                <c:pt idx="0">
                  <c:v>0.26</c:v>
                </c:pt>
                <c:pt idx="1">
                  <c:v>0.24</c:v>
                </c:pt>
                <c:pt idx="2">
                  <c:v>0.25</c:v>
                </c:pt>
                <c:pt idx="3">
                  <c:v>0.18</c:v>
                </c:pt>
                <c:pt idx="4">
                  <c:v>7.0000000000000007E-2</c:v>
                </c:pt>
              </c:numCache>
            </c:numRef>
          </c:val>
          <c:extLst>
            <c:ext xmlns:c16="http://schemas.microsoft.com/office/drawing/2014/chart" uri="{C3380CC4-5D6E-409C-BE32-E72D297353CC}">
              <c16:uniqueId val="{00000015-F682-4685-A2FB-625CAF20615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Diagnosis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TABLE'!$F$3:$F$4</c:f>
              <c:strCache>
                <c:ptCount val="1"/>
                <c:pt idx="0">
                  <c:v>Female</c:v>
                </c:pt>
              </c:strCache>
            </c:strRef>
          </c:tx>
          <c:spPr>
            <a:solidFill>
              <a:srgbClr val="B356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TABLE'!$E$5:$E$19</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TABLE'!$F$5:$F$19</c:f>
              <c:numCache>
                <c:formatCode>General</c:formatCode>
                <c:ptCount val="14"/>
                <c:pt idx="1">
                  <c:v>1</c:v>
                </c:pt>
                <c:pt idx="3">
                  <c:v>1</c:v>
                </c:pt>
                <c:pt idx="4">
                  <c:v>4</c:v>
                </c:pt>
                <c:pt idx="5">
                  <c:v>4</c:v>
                </c:pt>
                <c:pt idx="6">
                  <c:v>6</c:v>
                </c:pt>
                <c:pt idx="7">
                  <c:v>1</c:v>
                </c:pt>
                <c:pt idx="8">
                  <c:v>6</c:v>
                </c:pt>
                <c:pt idx="9">
                  <c:v>5</c:v>
                </c:pt>
                <c:pt idx="10">
                  <c:v>6</c:v>
                </c:pt>
                <c:pt idx="11">
                  <c:v>7</c:v>
                </c:pt>
                <c:pt idx="12">
                  <c:v>1</c:v>
                </c:pt>
                <c:pt idx="13">
                  <c:v>9</c:v>
                </c:pt>
              </c:numCache>
            </c:numRef>
          </c:val>
          <c:extLst>
            <c:ext xmlns:c16="http://schemas.microsoft.com/office/drawing/2014/chart" uri="{C3380CC4-5D6E-409C-BE32-E72D297353CC}">
              <c16:uniqueId val="{00000000-520A-46CF-A5BF-5CE857E9667B}"/>
            </c:ext>
          </c:extLst>
        </c:ser>
        <c:ser>
          <c:idx val="1"/>
          <c:order val="1"/>
          <c:tx>
            <c:strRef>
              <c:f>'PIVOT TABLE'!$G$3:$G$4</c:f>
              <c:strCache>
                <c:ptCount val="1"/>
                <c:pt idx="0">
                  <c:v>Male</c:v>
                </c:pt>
              </c:strCache>
            </c:strRef>
          </c:tx>
          <c:spPr>
            <a:solidFill>
              <a:srgbClr val="005F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TABLE'!$E$5:$E$19</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TABLE'!$G$5:$G$19</c:f>
              <c:numCache>
                <c:formatCode>General</c:formatCode>
                <c:ptCount val="14"/>
                <c:pt idx="0">
                  <c:v>1</c:v>
                </c:pt>
                <c:pt idx="2">
                  <c:v>8</c:v>
                </c:pt>
                <c:pt idx="3">
                  <c:v>1</c:v>
                </c:pt>
                <c:pt idx="5">
                  <c:v>1</c:v>
                </c:pt>
                <c:pt idx="6">
                  <c:v>7</c:v>
                </c:pt>
                <c:pt idx="8">
                  <c:v>7</c:v>
                </c:pt>
                <c:pt idx="9">
                  <c:v>7</c:v>
                </c:pt>
                <c:pt idx="10">
                  <c:v>7</c:v>
                </c:pt>
                <c:pt idx="11">
                  <c:v>6</c:v>
                </c:pt>
                <c:pt idx="13">
                  <c:v>4</c:v>
                </c:pt>
              </c:numCache>
            </c:numRef>
          </c:val>
          <c:extLst>
            <c:ext xmlns:c16="http://schemas.microsoft.com/office/drawing/2014/chart" uri="{C3380CC4-5D6E-409C-BE32-E72D297353CC}">
              <c16:uniqueId val="{00000001-520A-46CF-A5BF-5CE857E9667B}"/>
            </c:ext>
          </c:extLst>
        </c:ser>
        <c:dLbls>
          <c:dLblPos val="ctr"/>
          <c:showLegendKey val="0"/>
          <c:showVal val="1"/>
          <c:showCatName val="0"/>
          <c:showSerName val="0"/>
          <c:showPercent val="0"/>
          <c:showBubbleSize val="0"/>
        </c:dLbls>
        <c:gapWidth val="150"/>
        <c:overlap val="100"/>
        <c:axId val="864817391"/>
        <c:axId val="864805743"/>
      </c:barChart>
      <c:catAx>
        <c:axId val="86481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05743"/>
        <c:crosses val="autoZero"/>
        <c:auto val="1"/>
        <c:lblAlgn val="ctr"/>
        <c:lblOffset val="100"/>
        <c:noMultiLvlLbl val="0"/>
      </c:catAx>
      <c:valAx>
        <c:axId val="864805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1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Claim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F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rgbClr val="005F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2"/>
                <c:pt idx="0">
                  <c:v>Female</c:v>
                </c:pt>
                <c:pt idx="1">
                  <c:v>Male</c:v>
                </c:pt>
              </c:strCache>
            </c:strRef>
          </c:cat>
          <c:val>
            <c:numRef>
              <c:f>'PIVOT TABLE'!$B$33:$B$35</c:f>
              <c:numCache>
                <c:formatCode>"$"#,##0</c:formatCode>
                <c:ptCount val="2"/>
                <c:pt idx="0">
                  <c:v>7951000</c:v>
                </c:pt>
                <c:pt idx="1">
                  <c:v>9685500</c:v>
                </c:pt>
              </c:numCache>
            </c:numRef>
          </c:val>
          <c:extLst>
            <c:ext xmlns:c16="http://schemas.microsoft.com/office/drawing/2014/chart" uri="{C3380CC4-5D6E-409C-BE32-E72D297353CC}">
              <c16:uniqueId val="{00000000-1938-4C62-A38C-7353477C718C}"/>
            </c:ext>
          </c:extLst>
        </c:ser>
        <c:dLbls>
          <c:dLblPos val="outEnd"/>
          <c:showLegendKey val="0"/>
          <c:showVal val="1"/>
          <c:showCatName val="0"/>
          <c:showSerName val="0"/>
          <c:showPercent val="0"/>
          <c:showBubbleSize val="0"/>
        </c:dLbls>
        <c:gapWidth val="219"/>
        <c:overlap val="-27"/>
        <c:axId val="864781199"/>
        <c:axId val="864782031"/>
      </c:barChart>
      <c:catAx>
        <c:axId val="86478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82031"/>
        <c:crosses val="autoZero"/>
        <c:auto val="1"/>
        <c:lblAlgn val="ctr"/>
        <c:lblOffset val="100"/>
        <c:noMultiLvlLbl val="0"/>
      </c:catAx>
      <c:valAx>
        <c:axId val="86478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Patient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B87A"/>
            </a:solidFill>
            <a:round/>
          </a:ln>
          <a:effectLst/>
        </c:spPr>
        <c:marker>
          <c:symbol val="circle"/>
          <c:size val="5"/>
          <c:spPr>
            <a:solidFill>
              <a:srgbClr val="C44545"/>
            </a:solidFill>
            <a:ln w="9525">
              <a:solidFill>
                <a:srgbClr val="C0B87A"/>
              </a:solidFill>
            </a:ln>
            <a:effectLst/>
          </c:spPr>
        </c:marker>
        <c:dLbl>
          <c:idx val="0"/>
          <c:spPr>
            <a:noFill/>
            <a:ln>
              <a:solidFill>
                <a:srgbClr val="C0B87A"/>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B87A"/>
            </a:solidFill>
            <a:round/>
          </a:ln>
          <a:effectLst/>
        </c:spPr>
        <c:marker>
          <c:symbol val="circle"/>
          <c:size val="5"/>
          <c:spPr>
            <a:solidFill>
              <a:srgbClr val="C44545"/>
            </a:solidFill>
            <a:ln w="9525">
              <a:solidFill>
                <a:srgbClr val="C0B87A"/>
              </a:solidFill>
            </a:ln>
            <a:effectLst/>
          </c:spPr>
        </c:marker>
        <c:dLbl>
          <c:idx val="0"/>
          <c:spPr>
            <a:noFill/>
            <a:ln>
              <a:solidFill>
                <a:srgbClr val="C0B87A"/>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0B87A"/>
            </a:solidFill>
            <a:round/>
          </a:ln>
          <a:effectLst/>
        </c:spPr>
        <c:marker>
          <c:symbol val="circle"/>
          <c:size val="5"/>
          <c:spPr>
            <a:solidFill>
              <a:srgbClr val="C44545"/>
            </a:solidFill>
            <a:ln w="9525">
              <a:solidFill>
                <a:srgbClr val="C0B87A"/>
              </a:solidFill>
            </a:ln>
            <a:effectLst/>
          </c:spPr>
        </c:marker>
        <c:dLbl>
          <c:idx val="0"/>
          <c:spPr>
            <a:noFill/>
            <a:ln>
              <a:solidFill>
                <a:srgbClr val="C0B87A"/>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TABLE'!$F$32</c:f>
              <c:strCache>
                <c:ptCount val="1"/>
                <c:pt idx="0">
                  <c:v>Total</c:v>
                </c:pt>
              </c:strCache>
            </c:strRef>
          </c:tx>
          <c:spPr>
            <a:ln w="28575" cap="rnd">
              <a:solidFill>
                <a:srgbClr val="C0B87A"/>
              </a:solidFill>
              <a:round/>
            </a:ln>
            <a:effectLst/>
          </c:spPr>
          <c:marker>
            <c:symbol val="circle"/>
            <c:size val="5"/>
            <c:spPr>
              <a:solidFill>
                <a:srgbClr val="C44545"/>
              </a:solidFill>
              <a:ln w="9525">
                <a:solidFill>
                  <a:srgbClr val="C0B87A"/>
                </a:solidFill>
              </a:ln>
              <a:effectLst/>
            </c:spPr>
          </c:marker>
          <c:dLbls>
            <c:spPr>
              <a:noFill/>
              <a:ln>
                <a:solidFill>
                  <a:srgbClr val="C0B87A"/>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TABLE'!$E$33:$E$42</c:f>
              <c:strCache>
                <c:ptCount val="9"/>
                <c:pt idx="0">
                  <c:v>Jan</c:v>
                </c:pt>
                <c:pt idx="1">
                  <c:v>Mar</c:v>
                </c:pt>
                <c:pt idx="2">
                  <c:v>May</c:v>
                </c:pt>
                <c:pt idx="3">
                  <c:v>Jun</c:v>
                </c:pt>
                <c:pt idx="4">
                  <c:v>Aug</c:v>
                </c:pt>
                <c:pt idx="5">
                  <c:v>Sep</c:v>
                </c:pt>
                <c:pt idx="6">
                  <c:v>Oct</c:v>
                </c:pt>
                <c:pt idx="7">
                  <c:v>Nov</c:v>
                </c:pt>
                <c:pt idx="8">
                  <c:v>Dec</c:v>
                </c:pt>
              </c:strCache>
            </c:strRef>
          </c:cat>
          <c:val>
            <c:numRef>
              <c:f>'PIVOT TABLE'!$F$33:$F$42</c:f>
              <c:numCache>
                <c:formatCode>General</c:formatCode>
                <c:ptCount val="9"/>
                <c:pt idx="0">
                  <c:v>3</c:v>
                </c:pt>
                <c:pt idx="1">
                  <c:v>2</c:v>
                </c:pt>
                <c:pt idx="2">
                  <c:v>7</c:v>
                </c:pt>
                <c:pt idx="3">
                  <c:v>1</c:v>
                </c:pt>
                <c:pt idx="4">
                  <c:v>4</c:v>
                </c:pt>
                <c:pt idx="5">
                  <c:v>5</c:v>
                </c:pt>
                <c:pt idx="6">
                  <c:v>16</c:v>
                </c:pt>
                <c:pt idx="7">
                  <c:v>23</c:v>
                </c:pt>
                <c:pt idx="8">
                  <c:v>39</c:v>
                </c:pt>
              </c:numCache>
            </c:numRef>
          </c:val>
          <c:smooth val="0"/>
          <c:extLst>
            <c:ext xmlns:c16="http://schemas.microsoft.com/office/drawing/2014/chart" uri="{C3380CC4-5D6E-409C-BE32-E72D297353CC}">
              <c16:uniqueId val="{00000000-203A-45D0-982B-3A0F42BD75C4}"/>
            </c:ext>
          </c:extLst>
        </c:ser>
        <c:dLbls>
          <c:showLegendKey val="0"/>
          <c:showVal val="1"/>
          <c:showCatName val="0"/>
          <c:showSerName val="0"/>
          <c:showPercent val="0"/>
          <c:showBubbleSize val="0"/>
        </c:dLbls>
        <c:marker val="1"/>
        <c:smooth val="0"/>
        <c:axId val="864798671"/>
        <c:axId val="864783279"/>
      </c:lineChart>
      <c:catAx>
        <c:axId val="86479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83279"/>
        <c:crosses val="autoZero"/>
        <c:auto val="1"/>
        <c:lblAlgn val="ctr"/>
        <c:lblOffset val="100"/>
        <c:noMultiLvlLbl val="0"/>
      </c:catAx>
      <c:valAx>
        <c:axId val="8647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9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Claim by Insurer &amp;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Average of ClaimAmount</c:v>
                </c:pt>
              </c:strCache>
            </c:strRef>
          </c:tx>
          <c:spPr>
            <a:solidFill>
              <a:srgbClr val="B35656"/>
            </a:solidFill>
            <a:ln>
              <a:noFill/>
            </a:ln>
            <a:effectLst/>
          </c:spPr>
          <c:invertIfNegative val="0"/>
          <c:cat>
            <c:strRef>
              <c:f>'PIVOT TABLE'!$A$16:$A$30</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TABLE'!$B$16:$B$30</c:f>
              <c:numCache>
                <c:formatCode>"$"#,##0</c:formatCode>
                <c:ptCount val="14"/>
                <c:pt idx="0">
                  <c:v>125000</c:v>
                </c:pt>
                <c:pt idx="1">
                  <c:v>88000</c:v>
                </c:pt>
                <c:pt idx="2">
                  <c:v>470000</c:v>
                </c:pt>
                <c:pt idx="3">
                  <c:v>93500</c:v>
                </c:pt>
                <c:pt idx="4">
                  <c:v>327500</c:v>
                </c:pt>
                <c:pt idx="5">
                  <c:v>256000</c:v>
                </c:pt>
                <c:pt idx="6">
                  <c:v>320769.23076923075</c:v>
                </c:pt>
                <c:pt idx="7">
                  <c:v>120000</c:v>
                </c:pt>
                <c:pt idx="8">
                  <c:v>153307.69230769231</c:v>
                </c:pt>
                <c:pt idx="9">
                  <c:v>76583.333333333328</c:v>
                </c:pt>
                <c:pt idx="10">
                  <c:v>39115.384615384617</c:v>
                </c:pt>
                <c:pt idx="11">
                  <c:v>186538.46153846153</c:v>
                </c:pt>
                <c:pt idx="12">
                  <c:v>65000</c:v>
                </c:pt>
                <c:pt idx="13">
                  <c:v>52769.230769230766</c:v>
                </c:pt>
              </c:numCache>
            </c:numRef>
          </c:val>
          <c:extLst>
            <c:ext xmlns:c16="http://schemas.microsoft.com/office/drawing/2014/chart" uri="{C3380CC4-5D6E-409C-BE32-E72D297353CC}">
              <c16:uniqueId val="{00000000-7A0C-40DF-AEFA-FEA9C4E878C6}"/>
            </c:ext>
          </c:extLst>
        </c:ser>
        <c:ser>
          <c:idx val="1"/>
          <c:order val="1"/>
          <c:tx>
            <c:strRef>
              <c:f>'PIVOT TABLE'!$C$15</c:f>
              <c:strCache>
                <c:ptCount val="1"/>
                <c:pt idx="0">
                  <c:v>Count of Diagnosis</c:v>
                </c:pt>
              </c:strCache>
            </c:strRef>
          </c:tx>
          <c:spPr>
            <a:solidFill>
              <a:schemeClr val="accent2"/>
            </a:solidFill>
            <a:ln>
              <a:noFill/>
            </a:ln>
            <a:effectLst/>
          </c:spPr>
          <c:invertIfNegative val="0"/>
          <c:cat>
            <c:strRef>
              <c:f>'PIVOT TABLE'!$A$16:$A$30</c:f>
              <c:strCache>
                <c:ptCount val="14"/>
                <c:pt idx="0">
                  <c:v> Arthritis</c:v>
                </c:pt>
                <c:pt idx="1">
                  <c:v> Asthma</c:v>
                </c:pt>
                <c:pt idx="2">
                  <c:v>Appendicitis</c:v>
                </c:pt>
                <c:pt idx="3">
                  <c:v>Asthma</c:v>
                </c:pt>
                <c:pt idx="4">
                  <c:v>Diabetes Type 1</c:v>
                </c:pt>
                <c:pt idx="5">
                  <c:v>Diabetes Type 2</c:v>
                </c:pt>
                <c:pt idx="6">
                  <c:v>Fracture</c:v>
                </c:pt>
                <c:pt idx="7">
                  <c:v>Hygeia</c:v>
                </c:pt>
                <c:pt idx="8">
                  <c:v>Hypertension</c:v>
                </c:pt>
                <c:pt idx="9">
                  <c:v>Malaria</c:v>
                </c:pt>
                <c:pt idx="10">
                  <c:v>Migraine</c:v>
                </c:pt>
                <c:pt idx="11">
                  <c:v>Pneumonia</c:v>
                </c:pt>
                <c:pt idx="12">
                  <c:v>Typhoid Fever</c:v>
                </c:pt>
                <c:pt idx="13">
                  <c:v>UTI</c:v>
                </c:pt>
              </c:strCache>
            </c:strRef>
          </c:cat>
          <c:val>
            <c:numRef>
              <c:f>'PIVOT TABLE'!$C$16:$C$30</c:f>
              <c:numCache>
                <c:formatCode>General</c:formatCode>
                <c:ptCount val="14"/>
                <c:pt idx="0">
                  <c:v>1</c:v>
                </c:pt>
                <c:pt idx="1">
                  <c:v>1</c:v>
                </c:pt>
                <c:pt idx="2">
                  <c:v>8</c:v>
                </c:pt>
                <c:pt idx="3">
                  <c:v>2</c:v>
                </c:pt>
                <c:pt idx="4">
                  <c:v>4</c:v>
                </c:pt>
                <c:pt idx="5">
                  <c:v>5</c:v>
                </c:pt>
                <c:pt idx="6">
                  <c:v>13</c:v>
                </c:pt>
                <c:pt idx="7">
                  <c:v>1</c:v>
                </c:pt>
                <c:pt idx="8">
                  <c:v>13</c:v>
                </c:pt>
                <c:pt idx="9">
                  <c:v>12</c:v>
                </c:pt>
                <c:pt idx="10">
                  <c:v>13</c:v>
                </c:pt>
                <c:pt idx="11">
                  <c:v>13</c:v>
                </c:pt>
                <c:pt idx="12">
                  <c:v>1</c:v>
                </c:pt>
                <c:pt idx="13">
                  <c:v>13</c:v>
                </c:pt>
              </c:numCache>
            </c:numRef>
          </c:val>
          <c:extLst>
            <c:ext xmlns:c16="http://schemas.microsoft.com/office/drawing/2014/chart" uri="{C3380CC4-5D6E-409C-BE32-E72D297353CC}">
              <c16:uniqueId val="{00000001-7A0C-40DF-AEFA-FEA9C4E878C6}"/>
            </c:ext>
          </c:extLst>
        </c:ser>
        <c:dLbls>
          <c:showLegendKey val="0"/>
          <c:showVal val="0"/>
          <c:showCatName val="0"/>
          <c:showSerName val="0"/>
          <c:showPercent val="0"/>
          <c:showBubbleSize val="0"/>
        </c:dLbls>
        <c:gapWidth val="150"/>
        <c:axId val="864797839"/>
        <c:axId val="864801167"/>
      </c:barChart>
      <c:catAx>
        <c:axId val="864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01167"/>
        <c:crosses val="autoZero"/>
        <c:auto val="1"/>
        <c:lblAlgn val="ctr"/>
        <c:lblOffset val="100"/>
        <c:noMultiLvlLbl val="0"/>
      </c:catAx>
      <c:valAx>
        <c:axId val="864801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Claims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rgbClr val="C0B8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TABLE'!$A$51:$A$61</c:f>
              <c:strCache>
                <c:ptCount val="10"/>
                <c:pt idx="0">
                  <c:v>Alice Lopez</c:v>
                </c:pt>
                <c:pt idx="1">
                  <c:v>Christopher Taylor</c:v>
                </c:pt>
                <c:pt idx="2">
                  <c:v>Jimmy Bell</c:v>
                </c:pt>
                <c:pt idx="3">
                  <c:v>Jose Evans</c:v>
                </c:pt>
                <c:pt idx="4">
                  <c:v>Larry Baker</c:v>
                </c:pt>
                <c:pt idx="5">
                  <c:v>Lawrence Bailey</c:v>
                </c:pt>
                <c:pt idx="6">
                  <c:v>Michael Brown</c:v>
                </c:pt>
                <c:pt idx="7">
                  <c:v>Ralph Campbell</c:v>
                </c:pt>
                <c:pt idx="8">
                  <c:v>Ruby Evans</c:v>
                </c:pt>
                <c:pt idx="9">
                  <c:v>Scott Hall</c:v>
                </c:pt>
              </c:strCache>
            </c:strRef>
          </c:cat>
          <c:val>
            <c:numRef>
              <c:f>'PIVOT TABLE'!$B$51:$B$61</c:f>
              <c:numCache>
                <c:formatCode>"$"#,##0</c:formatCode>
                <c:ptCount val="10"/>
                <c:pt idx="0">
                  <c:v>430000</c:v>
                </c:pt>
                <c:pt idx="1">
                  <c:v>450000</c:v>
                </c:pt>
                <c:pt idx="2">
                  <c:v>475000</c:v>
                </c:pt>
                <c:pt idx="3">
                  <c:v>455000</c:v>
                </c:pt>
                <c:pt idx="4">
                  <c:v>510000</c:v>
                </c:pt>
                <c:pt idx="5">
                  <c:v>485000</c:v>
                </c:pt>
                <c:pt idx="6">
                  <c:v>350000</c:v>
                </c:pt>
                <c:pt idx="7">
                  <c:v>465000</c:v>
                </c:pt>
                <c:pt idx="8">
                  <c:v>355000</c:v>
                </c:pt>
                <c:pt idx="9">
                  <c:v>490000</c:v>
                </c:pt>
              </c:numCache>
            </c:numRef>
          </c:val>
          <c:extLst>
            <c:ext xmlns:c16="http://schemas.microsoft.com/office/drawing/2014/chart" uri="{C3380CC4-5D6E-409C-BE32-E72D297353CC}">
              <c16:uniqueId val="{00000000-8742-4A66-A2E5-1ED452810410}"/>
            </c:ext>
          </c:extLst>
        </c:ser>
        <c:dLbls>
          <c:dLblPos val="outEnd"/>
          <c:showLegendKey val="0"/>
          <c:showVal val="1"/>
          <c:showCatName val="0"/>
          <c:showSerName val="0"/>
          <c:showPercent val="0"/>
          <c:showBubbleSize val="0"/>
        </c:dLbls>
        <c:gapWidth val="182"/>
        <c:axId val="864824879"/>
        <c:axId val="864814479"/>
      </c:barChart>
      <c:catAx>
        <c:axId val="86482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14479"/>
        <c:crosses val="autoZero"/>
        <c:auto val="1"/>
        <c:lblAlgn val="ctr"/>
        <c:lblOffset val="100"/>
        <c:noMultiLvlLbl val="0"/>
      </c:catAx>
      <c:valAx>
        <c:axId val="864814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Claim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6.272922134733161E-2"/>
              <c:y val="-0.16894685039370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0.10995144356955386"/>
              <c:y val="-0.238391294838145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3.0513998250218721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6.272922134733161E-2"/>
              <c:y val="-0.16894685039370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0.10995144356955386"/>
              <c:y val="-0.238391294838145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3.0513998250218721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44545"/>
            </a:solidFill>
            <a:round/>
          </a:ln>
          <a:effectLst/>
        </c:spPr>
        <c:marker>
          <c:symbol val="circle"/>
          <c:size val="5"/>
          <c:spPr>
            <a:solidFill>
              <a:srgbClr val="005F02"/>
            </a:solidFill>
            <a:ln w="9525">
              <a:solidFill>
                <a:srgbClr val="C4454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6.272922134733161E-2"/>
              <c:y val="-0.16894685039370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0.10995144356955386"/>
              <c:y val="-0.238391294838145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C44545"/>
            </a:solidFill>
            <a:round/>
          </a:ln>
          <a:effectLst/>
        </c:spPr>
        <c:marker>
          <c:symbol val="circle"/>
          <c:size val="5"/>
          <c:spPr>
            <a:solidFill>
              <a:srgbClr val="005F02"/>
            </a:solidFill>
            <a:ln w="9525">
              <a:solidFill>
                <a:srgbClr val="C44545"/>
              </a:solidFill>
            </a:ln>
            <a:effectLst/>
          </c:spPr>
        </c:marker>
        <c:dLbl>
          <c:idx val="0"/>
          <c:layout>
            <c:manualLayout>
              <c:x val="-3.0513998250218721E-2"/>
              <c:y val="4.8645742198891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c:f>
              <c:strCache>
                <c:ptCount val="1"/>
                <c:pt idx="0">
                  <c:v>Total</c:v>
                </c:pt>
              </c:strCache>
            </c:strRef>
          </c:tx>
          <c:spPr>
            <a:ln w="28575" cap="rnd">
              <a:solidFill>
                <a:srgbClr val="C44545"/>
              </a:solidFill>
              <a:round/>
            </a:ln>
            <a:effectLst/>
          </c:spPr>
          <c:marker>
            <c:symbol val="circle"/>
            <c:size val="5"/>
            <c:spPr>
              <a:solidFill>
                <a:srgbClr val="005F02"/>
              </a:solidFill>
              <a:ln w="9525">
                <a:solidFill>
                  <a:srgbClr val="C44545"/>
                </a:solidFill>
              </a:ln>
              <a:effectLst/>
            </c:spPr>
          </c:marker>
          <c:dLbls>
            <c:dLbl>
              <c:idx val="1"/>
              <c:layout>
                <c:manualLayout>
                  <c:x val="-6.272922134733161E-2"/>
                  <c:y val="-0.168946850393700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0D-4C3F-85D1-EDB2FE8C383B}"/>
                </c:ext>
              </c:extLst>
            </c:dLbl>
            <c:dLbl>
              <c:idx val="4"/>
              <c:layout>
                <c:manualLayout>
                  <c:x val="-0.10995144356955386"/>
                  <c:y val="-0.238391294838145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0D-4C3F-85D1-EDB2FE8C383B}"/>
                </c:ext>
              </c:extLst>
            </c:dLbl>
            <c:dLbl>
              <c:idx val="7"/>
              <c:layout>
                <c:manualLayout>
                  <c:x val="-3.0513998250218721E-2"/>
                  <c:y val="4.8645742198891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0D-4C3F-85D1-EDB2FE8C38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TABLE'!$A$39:$A$48</c:f>
              <c:strCache>
                <c:ptCount val="9"/>
                <c:pt idx="0">
                  <c:v>Jan</c:v>
                </c:pt>
                <c:pt idx="1">
                  <c:v>Mar</c:v>
                </c:pt>
                <c:pt idx="2">
                  <c:v>May</c:v>
                </c:pt>
                <c:pt idx="3">
                  <c:v>Jun</c:v>
                </c:pt>
                <c:pt idx="4">
                  <c:v>Aug</c:v>
                </c:pt>
                <c:pt idx="5">
                  <c:v>Sep</c:v>
                </c:pt>
                <c:pt idx="6">
                  <c:v>Oct</c:v>
                </c:pt>
                <c:pt idx="7">
                  <c:v>Nov</c:v>
                </c:pt>
                <c:pt idx="8">
                  <c:v>Dec</c:v>
                </c:pt>
              </c:strCache>
            </c:strRef>
          </c:cat>
          <c:val>
            <c:numRef>
              <c:f>'PIVOT TABLE'!$B$39:$B$48</c:f>
              <c:numCache>
                <c:formatCode>"$"#,##0</c:formatCode>
                <c:ptCount val="9"/>
                <c:pt idx="0">
                  <c:v>745000</c:v>
                </c:pt>
                <c:pt idx="1">
                  <c:v>780000</c:v>
                </c:pt>
                <c:pt idx="2">
                  <c:v>867000</c:v>
                </c:pt>
                <c:pt idx="3">
                  <c:v>49000</c:v>
                </c:pt>
                <c:pt idx="4">
                  <c:v>409500</c:v>
                </c:pt>
                <c:pt idx="5">
                  <c:v>1531000</c:v>
                </c:pt>
                <c:pt idx="6">
                  <c:v>3711500</c:v>
                </c:pt>
                <c:pt idx="7">
                  <c:v>2537000</c:v>
                </c:pt>
                <c:pt idx="8">
                  <c:v>7006500</c:v>
                </c:pt>
              </c:numCache>
            </c:numRef>
          </c:val>
          <c:smooth val="0"/>
          <c:extLst>
            <c:ext xmlns:c16="http://schemas.microsoft.com/office/drawing/2014/chart" uri="{C3380CC4-5D6E-409C-BE32-E72D297353CC}">
              <c16:uniqueId val="{00000003-E10D-4C3F-85D1-EDB2FE8C383B}"/>
            </c:ext>
          </c:extLst>
        </c:ser>
        <c:dLbls>
          <c:dLblPos val="t"/>
          <c:showLegendKey val="0"/>
          <c:showVal val="1"/>
          <c:showCatName val="0"/>
          <c:showSerName val="0"/>
          <c:showPercent val="0"/>
          <c:showBubbleSize val="0"/>
        </c:dLbls>
        <c:marker val="1"/>
        <c:smooth val="0"/>
        <c:axId val="864776623"/>
        <c:axId val="864799503"/>
      </c:lineChart>
      <c:catAx>
        <c:axId val="86477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99503"/>
        <c:crosses val="autoZero"/>
        <c:auto val="1"/>
        <c:lblAlgn val="ctr"/>
        <c:lblOffset val="100"/>
        <c:noMultiLvlLbl val="0"/>
      </c:catAx>
      <c:valAx>
        <c:axId val="86479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77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Health Insurance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Claims by Insurance Provider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B8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rgbClr val="C0B87A"/>
            </a:solidFill>
            <a:ln>
              <a:noFill/>
            </a:ln>
            <a:effectLst/>
          </c:spPr>
          <c:invertIfNegative val="0"/>
          <c:cat>
            <c:strRef>
              <c:f>'PIVOT TABLE'!$A$7:$A$12</c:f>
              <c:strCache>
                <c:ptCount val="5"/>
                <c:pt idx="0">
                  <c:v>Axa Mansard</c:v>
                </c:pt>
                <c:pt idx="1">
                  <c:v>Hygeia</c:v>
                </c:pt>
                <c:pt idx="2">
                  <c:v>Leadway Health</c:v>
                </c:pt>
                <c:pt idx="3">
                  <c:v>Reliance Hmo</c:v>
                </c:pt>
                <c:pt idx="4">
                  <c:v>Rliance Hmo</c:v>
                </c:pt>
              </c:strCache>
            </c:strRef>
          </c:cat>
          <c:val>
            <c:numRef>
              <c:f>'PIVOT TABLE'!$B$7:$B$12</c:f>
              <c:numCache>
                <c:formatCode>"$"#,##0</c:formatCode>
                <c:ptCount val="5"/>
                <c:pt idx="0">
                  <c:v>5448500</c:v>
                </c:pt>
                <c:pt idx="1">
                  <c:v>3819000</c:v>
                </c:pt>
                <c:pt idx="2">
                  <c:v>4992500</c:v>
                </c:pt>
                <c:pt idx="3">
                  <c:v>2496500</c:v>
                </c:pt>
                <c:pt idx="4">
                  <c:v>880000</c:v>
                </c:pt>
              </c:numCache>
            </c:numRef>
          </c:val>
          <c:extLst>
            <c:ext xmlns:c16="http://schemas.microsoft.com/office/drawing/2014/chart" uri="{C3380CC4-5D6E-409C-BE32-E72D297353CC}">
              <c16:uniqueId val="{00000000-1840-42A0-B7B6-4EBAB42E73A1}"/>
            </c:ext>
          </c:extLst>
        </c:ser>
        <c:dLbls>
          <c:showLegendKey val="0"/>
          <c:showVal val="0"/>
          <c:showCatName val="0"/>
          <c:showSerName val="0"/>
          <c:showPercent val="0"/>
          <c:showBubbleSize val="0"/>
        </c:dLbls>
        <c:gapWidth val="219"/>
        <c:overlap val="-27"/>
        <c:axId val="949417535"/>
        <c:axId val="949409631"/>
      </c:barChart>
      <c:catAx>
        <c:axId val="94941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9409631"/>
        <c:crosses val="autoZero"/>
        <c:auto val="1"/>
        <c:lblAlgn val="ctr"/>
        <c:lblOffset val="100"/>
        <c:noMultiLvlLbl val="0"/>
      </c:catAx>
      <c:valAx>
        <c:axId val="949409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941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9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266700</xdr:colOff>
      <xdr:row>32</xdr:row>
      <xdr:rowOff>171450</xdr:rowOff>
    </xdr:from>
    <xdr:to>
      <xdr:col>3</xdr:col>
      <xdr:colOff>901352</xdr:colOff>
      <xdr:row>46</xdr:row>
      <xdr:rowOff>28575</xdr:rowOff>
    </xdr:to>
    <mc:AlternateContent xmlns:mc="http://schemas.openxmlformats.org/markup-compatibility/2006">
      <mc:Choice xmlns:a14="http://schemas.microsoft.com/office/drawing/2010/main" Requires="a14">
        <xdr:graphicFrame macro="">
          <xdr:nvGraphicFramePr>
            <xdr:cNvPr id="2" name="Insurance Provider">
              <a:extLst>
                <a:ext uri="{FF2B5EF4-FFF2-40B4-BE49-F238E27FC236}">
                  <a16:creationId xmlns:a16="http://schemas.microsoft.com/office/drawing/2014/main" id="{13DAFBF7-2A9A-4D0E-8159-BFC283EF8D4A}"/>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dr:sp macro="" textlink="">
          <xdr:nvSpPr>
            <xdr:cNvPr id="0" name=""/>
            <xdr:cNvSpPr>
              <a:spLocks noTextEdit="1"/>
            </xdr:cNvSpPr>
          </xdr:nvSpPr>
          <xdr:spPr>
            <a:xfrm>
              <a:off x="2958548" y="6134928"/>
              <a:ext cx="1835630" cy="2466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114300</xdr:colOff>
      <xdr:row>20</xdr:row>
      <xdr:rowOff>14287</xdr:rowOff>
    </xdr:from>
    <xdr:to>
      <xdr:col>10</xdr:col>
      <xdr:colOff>981075</xdr:colOff>
      <xdr:row>34</xdr:row>
      <xdr:rowOff>90487</xdr:rowOff>
    </xdr:to>
    <xdr:graphicFrame macro="">
      <xdr:nvGraphicFramePr>
        <xdr:cNvPr id="3" name="Chart 2">
          <a:extLst>
            <a:ext uri="{FF2B5EF4-FFF2-40B4-BE49-F238E27FC236}">
              <a16:creationId xmlns:a16="http://schemas.microsoft.com/office/drawing/2014/main" id="{83053CB6-93DD-4506-B8B7-35C34FD9F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80962</xdr:colOff>
      <xdr:row>1</xdr:row>
      <xdr:rowOff>33337</xdr:rowOff>
    </xdr:from>
    <xdr:to>
      <xdr:col>12</xdr:col>
      <xdr:colOff>309562</xdr:colOff>
      <xdr:row>15</xdr:row>
      <xdr:rowOff>109537</xdr:rowOff>
    </xdr:to>
    <xdr:graphicFrame macro="">
      <xdr:nvGraphicFramePr>
        <xdr:cNvPr id="4" name="Chart 3">
          <a:extLst>
            <a:ext uri="{FF2B5EF4-FFF2-40B4-BE49-F238E27FC236}">
              <a16:creationId xmlns:a16="http://schemas.microsoft.com/office/drawing/2014/main" id="{84FB0F36-2D68-48CC-BAF8-540F495E3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147637</xdr:colOff>
      <xdr:row>46</xdr:row>
      <xdr:rowOff>138112</xdr:rowOff>
    </xdr:from>
    <xdr:to>
      <xdr:col>6</xdr:col>
      <xdr:colOff>614362</xdr:colOff>
      <xdr:row>61</xdr:row>
      <xdr:rowOff>23812</xdr:rowOff>
    </xdr:to>
    <xdr:graphicFrame macro="">
      <xdr:nvGraphicFramePr>
        <xdr:cNvPr id="5" name="Chart 4">
          <a:extLst>
            <a:ext uri="{FF2B5EF4-FFF2-40B4-BE49-F238E27FC236}">
              <a16:creationId xmlns:a16="http://schemas.microsoft.com/office/drawing/2014/main" id="{B16B8E40-A56D-444E-963E-11B11E64B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100012</xdr:colOff>
      <xdr:row>61</xdr:row>
      <xdr:rowOff>157162</xdr:rowOff>
    </xdr:from>
    <xdr:to>
      <xdr:col>6</xdr:col>
      <xdr:colOff>566737</xdr:colOff>
      <xdr:row>76</xdr:row>
      <xdr:rowOff>42862</xdr:rowOff>
    </xdr:to>
    <xdr:graphicFrame macro="">
      <xdr:nvGraphicFramePr>
        <xdr:cNvPr id="6" name="Chart 5">
          <a:extLst>
            <a:ext uri="{FF2B5EF4-FFF2-40B4-BE49-F238E27FC236}">
              <a16:creationId xmlns:a16="http://schemas.microsoft.com/office/drawing/2014/main" id="{12281A48-3400-4114-AF5D-14093A9B1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650875</xdr:colOff>
      <xdr:row>36</xdr:row>
      <xdr:rowOff>96838</xdr:rowOff>
    </xdr:from>
    <xdr:to>
      <xdr:col>11</xdr:col>
      <xdr:colOff>460375</xdr:colOff>
      <xdr:row>50</xdr:row>
      <xdr:rowOff>61913</xdr:rowOff>
    </xdr:to>
    <xdr:graphicFrame macro="">
      <xdr:nvGraphicFramePr>
        <xdr:cNvPr id="7" name="Chart 6">
          <a:extLst>
            <a:ext uri="{FF2B5EF4-FFF2-40B4-BE49-F238E27FC236}">
              <a16:creationId xmlns:a16="http://schemas.microsoft.com/office/drawing/2014/main" id="{EFE21E42-6039-429B-81A4-F6776A585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670718</xdr:colOff>
      <xdr:row>36</xdr:row>
      <xdr:rowOff>37307</xdr:rowOff>
    </xdr:from>
    <xdr:to>
      <xdr:col>15</xdr:col>
      <xdr:colOff>877093</xdr:colOff>
      <xdr:row>50</xdr:row>
      <xdr:rowOff>2382</xdr:rowOff>
    </xdr:to>
    <xdr:graphicFrame macro="">
      <xdr:nvGraphicFramePr>
        <xdr:cNvPr id="8" name="Chart 7">
          <a:extLst>
            <a:ext uri="{FF2B5EF4-FFF2-40B4-BE49-F238E27FC236}">
              <a16:creationId xmlns:a16="http://schemas.microsoft.com/office/drawing/2014/main" id="{6212A9BC-9E62-4E84-9201-B9D4561EF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140918</xdr:colOff>
      <xdr:row>20</xdr:row>
      <xdr:rowOff>115866</xdr:rowOff>
    </xdr:from>
    <xdr:to>
      <xdr:col>15</xdr:col>
      <xdr:colOff>381001</xdr:colOff>
      <xdr:row>34</xdr:row>
      <xdr:rowOff>118998</xdr:rowOff>
    </xdr:to>
    <xdr:graphicFrame macro="">
      <xdr:nvGraphicFramePr>
        <xdr:cNvPr id="9" name="Chart 8">
          <a:extLst>
            <a:ext uri="{FF2B5EF4-FFF2-40B4-BE49-F238E27FC236}">
              <a16:creationId xmlns:a16="http://schemas.microsoft.com/office/drawing/2014/main" id="{468F49CA-8AC2-4C9A-8BA9-97A7406B8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219206</xdr:colOff>
      <xdr:row>51</xdr:row>
      <xdr:rowOff>115866</xdr:rowOff>
    </xdr:from>
    <xdr:to>
      <xdr:col>11</xdr:col>
      <xdr:colOff>785486</xdr:colOff>
      <xdr:row>65</xdr:row>
      <xdr:rowOff>118997</xdr:rowOff>
    </xdr:to>
    <xdr:graphicFrame macro="">
      <xdr:nvGraphicFramePr>
        <xdr:cNvPr id="10" name="Chart 9">
          <a:extLst>
            <a:ext uri="{FF2B5EF4-FFF2-40B4-BE49-F238E27FC236}">
              <a16:creationId xmlns:a16="http://schemas.microsoft.com/office/drawing/2014/main" id="{8B9C5519-28A9-4AA4-9CD9-99C039B7B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476250</xdr:colOff>
      <xdr:row>4</xdr:row>
      <xdr:rowOff>144945</xdr:rowOff>
    </xdr:from>
    <xdr:to>
      <xdr:col>17</xdr:col>
      <xdr:colOff>227772</xdr:colOff>
      <xdr:row>14</xdr:row>
      <xdr:rowOff>103532</xdr:rowOff>
    </xdr:to>
    <xdr:grpSp>
      <xdr:nvGrpSpPr>
        <xdr:cNvPr id="13" name="Group 12">
          <a:extLst>
            <a:ext uri="{FF2B5EF4-FFF2-40B4-BE49-F238E27FC236}">
              <a16:creationId xmlns:a16="http://schemas.microsoft.com/office/drawing/2014/main" id="{19565D5A-A20B-48AA-AA14-E76E021579ED}"/>
            </a:ext>
          </a:extLst>
        </xdr:cNvPr>
        <xdr:cNvGrpSpPr/>
      </xdr:nvGrpSpPr>
      <xdr:grpSpPr>
        <a:xfrm>
          <a:off x="15219293" y="890380"/>
          <a:ext cx="2981740" cy="1822174"/>
          <a:chOff x="15219293" y="890380"/>
          <a:chExt cx="2981740" cy="1822174"/>
        </a:xfrm>
      </xdr:grpSpPr>
      <xdr:sp macro="" textlink="$A$4">
        <xdr:nvSpPr>
          <xdr:cNvPr id="11" name="Rectangle: Rounded Corners 10">
            <a:extLst>
              <a:ext uri="{FF2B5EF4-FFF2-40B4-BE49-F238E27FC236}">
                <a16:creationId xmlns:a16="http://schemas.microsoft.com/office/drawing/2014/main" id="{E052F811-F09C-4749-A6D0-21FD1367C7F3}"/>
              </a:ext>
            </a:extLst>
          </xdr:cNvPr>
          <xdr:cNvSpPr/>
        </xdr:nvSpPr>
        <xdr:spPr>
          <a:xfrm>
            <a:off x="15219293" y="890380"/>
            <a:ext cx="2981740" cy="1718642"/>
          </a:xfrm>
          <a:prstGeom prst="roundRect">
            <a:avLst/>
          </a:prstGeom>
          <a:solidFill>
            <a:srgbClr val="C44545"/>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05ED4A-5CFD-4F39-8860-F54083760E92}" type="TxLink">
              <a:rPr lang="en-US" sz="1100" b="1" i="0" u="none" strike="noStrike">
                <a:solidFill>
                  <a:schemeClr val="bg1"/>
                </a:solidFill>
                <a:latin typeface="Calibri"/>
                <a:cs typeface="Calibri"/>
              </a:rPr>
              <a:pPr algn="ctr"/>
              <a:t>100</a:t>
            </a:fld>
            <a:endParaRPr lang="en-US" sz="1100" b="1">
              <a:solidFill>
                <a:schemeClr val="bg1"/>
              </a:solidFill>
            </a:endParaRPr>
          </a:p>
        </xdr:txBody>
      </xdr:sp>
      <xdr:sp macro="" textlink="">
        <xdr:nvSpPr>
          <xdr:cNvPr id="12" name="TextBox 11">
            <a:extLst>
              <a:ext uri="{FF2B5EF4-FFF2-40B4-BE49-F238E27FC236}">
                <a16:creationId xmlns:a16="http://schemas.microsoft.com/office/drawing/2014/main" id="{2455AD4D-F6B0-4742-81B7-FD4E21A8A917}"/>
              </a:ext>
            </a:extLst>
          </xdr:cNvPr>
          <xdr:cNvSpPr txBox="1"/>
        </xdr:nvSpPr>
        <xdr:spPr>
          <a:xfrm>
            <a:off x="15654130" y="2277717"/>
            <a:ext cx="2381250" cy="434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Patients</a:t>
            </a:r>
          </a:p>
        </xdr:txBody>
      </xdr:sp>
    </xdr:grpSp>
    <xdr:clientData/>
  </xdr:twoCellAnchor>
  <xdr:twoCellAnchor>
    <xdr:from>
      <xdr:col>15</xdr:col>
      <xdr:colOff>359465</xdr:colOff>
      <xdr:row>16</xdr:row>
      <xdr:rowOff>152400</xdr:rowOff>
    </xdr:from>
    <xdr:to>
      <xdr:col>18</xdr:col>
      <xdr:colOff>110988</xdr:colOff>
      <xdr:row>26</xdr:row>
      <xdr:rowOff>110987</xdr:rowOff>
    </xdr:to>
    <xdr:grpSp>
      <xdr:nvGrpSpPr>
        <xdr:cNvPr id="14" name="Group 13">
          <a:extLst>
            <a:ext uri="{FF2B5EF4-FFF2-40B4-BE49-F238E27FC236}">
              <a16:creationId xmlns:a16="http://schemas.microsoft.com/office/drawing/2014/main" id="{CF939EC3-59EC-42C9-9635-6E9EF291074A}"/>
            </a:ext>
          </a:extLst>
        </xdr:cNvPr>
        <xdr:cNvGrpSpPr/>
      </xdr:nvGrpSpPr>
      <xdr:grpSpPr>
        <a:xfrm>
          <a:off x="16179248" y="3134139"/>
          <a:ext cx="2981740" cy="1822174"/>
          <a:chOff x="15219293" y="890380"/>
          <a:chExt cx="2981740" cy="1822174"/>
        </a:xfrm>
      </xdr:grpSpPr>
      <xdr:sp macro="" textlink="$B$4">
        <xdr:nvSpPr>
          <xdr:cNvPr id="15" name="Rectangle: Rounded Corners 14">
            <a:extLst>
              <a:ext uri="{FF2B5EF4-FFF2-40B4-BE49-F238E27FC236}">
                <a16:creationId xmlns:a16="http://schemas.microsoft.com/office/drawing/2014/main" id="{1A728140-AF23-4F70-9FD8-483BA7A674BD}"/>
              </a:ext>
            </a:extLst>
          </xdr:cNvPr>
          <xdr:cNvSpPr/>
        </xdr:nvSpPr>
        <xdr:spPr>
          <a:xfrm>
            <a:off x="15219293" y="890380"/>
            <a:ext cx="2981740" cy="1718642"/>
          </a:xfrm>
          <a:prstGeom prst="roundRect">
            <a:avLst/>
          </a:prstGeom>
          <a:solidFill>
            <a:srgbClr val="C44545"/>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1697E3D-55A7-446B-8015-F8C24FFEE2FD}" type="TxLink">
              <a:rPr lang="en-US" sz="1100" b="1" i="0" u="none" strike="noStrike">
                <a:solidFill>
                  <a:schemeClr val="bg1"/>
                </a:solidFill>
                <a:latin typeface="Calibri"/>
                <a:cs typeface="Calibri"/>
              </a:rPr>
              <a:pPr algn="ctr"/>
              <a:t>$17,636,500</a:t>
            </a:fld>
            <a:endParaRPr lang="en-US" sz="1100" b="1">
              <a:solidFill>
                <a:schemeClr val="bg1"/>
              </a:solidFill>
            </a:endParaRPr>
          </a:p>
        </xdr:txBody>
      </xdr:sp>
      <xdr:sp macro="" textlink="">
        <xdr:nvSpPr>
          <xdr:cNvPr id="16" name="TextBox 15">
            <a:extLst>
              <a:ext uri="{FF2B5EF4-FFF2-40B4-BE49-F238E27FC236}">
                <a16:creationId xmlns:a16="http://schemas.microsoft.com/office/drawing/2014/main" id="{6AB5140E-E298-4E62-AFCB-10D9CA3C6176}"/>
              </a:ext>
            </a:extLst>
          </xdr:cNvPr>
          <xdr:cNvSpPr txBox="1"/>
        </xdr:nvSpPr>
        <xdr:spPr>
          <a:xfrm>
            <a:off x="15654130" y="2277717"/>
            <a:ext cx="2381250" cy="434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Claim Amount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407339</xdr:colOff>
      <xdr:row>10</xdr:row>
      <xdr:rowOff>78287</xdr:rowOff>
    </xdr:from>
    <xdr:to>
      <xdr:col>18</xdr:col>
      <xdr:colOff>26096</xdr:colOff>
      <xdr:row>18</xdr:row>
      <xdr:rowOff>91336</xdr:rowOff>
    </xdr:to>
    <mc:AlternateContent xmlns:mc="http://schemas.openxmlformats.org/markup-compatibility/2006">
      <mc:Choice xmlns:a14="http://schemas.microsoft.com/office/drawing/2010/main" Requires="a14">
        <xdr:graphicFrame macro="">
          <xdr:nvGraphicFramePr>
            <xdr:cNvPr id="2" name="Insurance Provider 1">
              <a:extLst>
                <a:ext uri="{FF2B5EF4-FFF2-40B4-BE49-F238E27FC236}">
                  <a16:creationId xmlns:a16="http://schemas.microsoft.com/office/drawing/2014/main" id="{E40D5373-156C-4A0F-98D9-1FB2B141CFC2}"/>
                </a:ext>
              </a:extLst>
            </xdr:cNvPr>
            <xdr:cNvGraphicFramePr/>
          </xdr:nvGraphicFramePr>
          <xdr:xfrm>
            <a:off x="0" y="0"/>
            <a:ext cx="0" cy="0"/>
          </xdr:xfrm>
          <a:graphic>
            <a:graphicData uri="http://schemas.microsoft.com/office/drawing/2010/slicer">
              <sle:slicer xmlns:sle="http://schemas.microsoft.com/office/drawing/2010/slicer" name="Insurance Provider 1"/>
            </a:graphicData>
          </a:graphic>
        </xdr:graphicFrame>
      </mc:Choice>
      <mc:Fallback>
        <xdr:sp macro="" textlink="">
          <xdr:nvSpPr>
            <xdr:cNvPr id="0" name=""/>
            <xdr:cNvSpPr>
              <a:spLocks noTextEdit="1"/>
            </xdr:cNvSpPr>
          </xdr:nvSpPr>
          <xdr:spPr>
            <a:xfrm>
              <a:off x="4674539" y="1983287"/>
              <a:ext cx="6324357" cy="1537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464871</xdr:colOff>
      <xdr:row>18</xdr:row>
      <xdr:rowOff>79717</xdr:rowOff>
    </xdr:from>
    <xdr:to>
      <xdr:col>12</xdr:col>
      <xdr:colOff>396333</xdr:colOff>
      <xdr:row>30</xdr:row>
      <xdr:rowOff>169624</xdr:rowOff>
    </xdr:to>
    <xdr:graphicFrame macro="">
      <xdr:nvGraphicFramePr>
        <xdr:cNvPr id="3" name="Chart 2">
          <a:extLst>
            <a:ext uri="{FF2B5EF4-FFF2-40B4-BE49-F238E27FC236}">
              <a16:creationId xmlns:a16="http://schemas.microsoft.com/office/drawing/2014/main" id="{30AC7721-6A97-4FCA-B6A8-D1DFE9BF8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165329</xdr:colOff>
      <xdr:row>31</xdr:row>
      <xdr:rowOff>16719</xdr:rowOff>
    </xdr:from>
    <xdr:to>
      <xdr:col>25</xdr:col>
      <xdr:colOff>351479</xdr:colOff>
      <xdr:row>41</xdr:row>
      <xdr:rowOff>104384</xdr:rowOff>
    </xdr:to>
    <xdr:graphicFrame macro="">
      <xdr:nvGraphicFramePr>
        <xdr:cNvPr id="4" name="Chart 3">
          <a:extLst>
            <a:ext uri="{FF2B5EF4-FFF2-40B4-BE49-F238E27FC236}">
              <a16:creationId xmlns:a16="http://schemas.microsoft.com/office/drawing/2014/main" id="{AABCF126-506F-41B3-9E21-7AD295D40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482774</xdr:colOff>
      <xdr:row>31</xdr:row>
      <xdr:rowOff>6711</xdr:rowOff>
    </xdr:from>
    <xdr:to>
      <xdr:col>12</xdr:col>
      <xdr:colOff>415088</xdr:colOff>
      <xdr:row>41</xdr:row>
      <xdr:rowOff>135780</xdr:rowOff>
    </xdr:to>
    <xdr:graphicFrame macro="">
      <xdr:nvGraphicFramePr>
        <xdr:cNvPr id="5" name="Chart 4">
          <a:extLst>
            <a:ext uri="{FF2B5EF4-FFF2-40B4-BE49-F238E27FC236}">
              <a16:creationId xmlns:a16="http://schemas.microsoft.com/office/drawing/2014/main" id="{EF791C50-E294-407B-A77C-99ED8F9A2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289356</xdr:colOff>
      <xdr:row>18</xdr:row>
      <xdr:rowOff>49523</xdr:rowOff>
    </xdr:from>
    <xdr:to>
      <xdr:col>25</xdr:col>
      <xdr:colOff>327422</xdr:colOff>
      <xdr:row>31</xdr:row>
      <xdr:rowOff>0</xdr:rowOff>
    </xdr:to>
    <xdr:graphicFrame macro="">
      <xdr:nvGraphicFramePr>
        <xdr:cNvPr id="6" name="Chart 5">
          <a:extLst>
            <a:ext uri="{FF2B5EF4-FFF2-40B4-BE49-F238E27FC236}">
              <a16:creationId xmlns:a16="http://schemas.microsoft.com/office/drawing/2014/main" id="{7383A3EE-35F8-4EF4-BB55-CFC85E0C1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428686</xdr:colOff>
      <xdr:row>18</xdr:row>
      <xdr:rowOff>63375</xdr:rowOff>
    </xdr:from>
    <xdr:to>
      <xdr:col>19</xdr:col>
      <xdr:colOff>297655</xdr:colOff>
      <xdr:row>31</xdr:row>
      <xdr:rowOff>1</xdr:rowOff>
    </xdr:to>
    <xdr:graphicFrame macro="">
      <xdr:nvGraphicFramePr>
        <xdr:cNvPr id="7" name="Chart 6">
          <a:extLst>
            <a:ext uri="{FF2B5EF4-FFF2-40B4-BE49-F238E27FC236}">
              <a16:creationId xmlns:a16="http://schemas.microsoft.com/office/drawing/2014/main" id="{FF9369D0-B24F-4A06-9E1D-BCD606A1F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362896</xdr:colOff>
      <xdr:row>10</xdr:row>
      <xdr:rowOff>44444</xdr:rowOff>
    </xdr:from>
    <xdr:to>
      <xdr:col>7</xdr:col>
      <xdr:colOff>403223</xdr:colOff>
      <xdr:row>23</xdr:row>
      <xdr:rowOff>150866</xdr:rowOff>
    </xdr:to>
    <xdr:graphicFrame macro="">
      <xdr:nvGraphicFramePr>
        <xdr:cNvPr id="8" name="Chart 7">
          <a:extLst>
            <a:ext uri="{FF2B5EF4-FFF2-40B4-BE49-F238E27FC236}">
              <a16:creationId xmlns:a16="http://schemas.microsoft.com/office/drawing/2014/main" id="{172D0810-BBD2-477F-A12D-F90D3577D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375943</xdr:colOff>
      <xdr:row>24</xdr:row>
      <xdr:rowOff>13279</xdr:rowOff>
    </xdr:from>
    <xdr:to>
      <xdr:col>7</xdr:col>
      <xdr:colOff>435473</xdr:colOff>
      <xdr:row>41</xdr:row>
      <xdr:rowOff>121100</xdr:rowOff>
    </xdr:to>
    <xdr:graphicFrame macro="">
      <xdr:nvGraphicFramePr>
        <xdr:cNvPr id="9" name="Chart 8">
          <a:extLst>
            <a:ext uri="{FF2B5EF4-FFF2-40B4-BE49-F238E27FC236}">
              <a16:creationId xmlns:a16="http://schemas.microsoft.com/office/drawing/2014/main" id="{E28D67ED-659D-4097-BF4C-28DF5E162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428189</xdr:colOff>
      <xdr:row>31</xdr:row>
      <xdr:rowOff>22776</xdr:rowOff>
    </xdr:from>
    <xdr:to>
      <xdr:col>18</xdr:col>
      <xdr:colOff>161875</xdr:colOff>
      <xdr:row>41</xdr:row>
      <xdr:rowOff>104384</xdr:rowOff>
    </xdr:to>
    <xdr:graphicFrame macro="">
      <xdr:nvGraphicFramePr>
        <xdr:cNvPr id="10" name="Chart 9">
          <a:extLst>
            <a:ext uri="{FF2B5EF4-FFF2-40B4-BE49-F238E27FC236}">
              <a16:creationId xmlns:a16="http://schemas.microsoft.com/office/drawing/2014/main" id="{8355077F-F680-4E23-940C-12E40BC34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65239</xdr:colOff>
      <xdr:row>10</xdr:row>
      <xdr:rowOff>156574</xdr:rowOff>
    </xdr:from>
    <xdr:to>
      <xdr:col>21</xdr:col>
      <xdr:colOff>287055</xdr:colOff>
      <xdr:row>18</xdr:row>
      <xdr:rowOff>73748</xdr:rowOff>
    </xdr:to>
    <xdr:grpSp>
      <xdr:nvGrpSpPr>
        <xdr:cNvPr id="11" name="Group 10">
          <a:extLst>
            <a:ext uri="{FF2B5EF4-FFF2-40B4-BE49-F238E27FC236}">
              <a16:creationId xmlns:a16="http://schemas.microsoft.com/office/drawing/2014/main" id="{B20D9E7F-DCB6-42CC-ABEF-FB34E62079E6}"/>
            </a:ext>
          </a:extLst>
        </xdr:cNvPr>
        <xdr:cNvGrpSpPr/>
      </xdr:nvGrpSpPr>
      <xdr:grpSpPr>
        <a:xfrm>
          <a:off x="11038039" y="2061574"/>
          <a:ext cx="2050616" cy="1441174"/>
          <a:chOff x="15219293" y="890380"/>
          <a:chExt cx="2981740" cy="1822174"/>
        </a:xfrm>
      </xdr:grpSpPr>
      <xdr:sp macro="" textlink="'PIVOT TABLE'!$A$4">
        <xdr:nvSpPr>
          <xdr:cNvPr id="12" name="Rectangle: Rounded Corners 11">
            <a:extLst>
              <a:ext uri="{FF2B5EF4-FFF2-40B4-BE49-F238E27FC236}">
                <a16:creationId xmlns:a16="http://schemas.microsoft.com/office/drawing/2014/main" id="{32A7F31A-3F26-4D7A-9A3A-CA89C462FA5A}"/>
              </a:ext>
            </a:extLst>
          </xdr:cNvPr>
          <xdr:cNvSpPr/>
        </xdr:nvSpPr>
        <xdr:spPr>
          <a:xfrm>
            <a:off x="15219293" y="890380"/>
            <a:ext cx="2981740" cy="1718642"/>
          </a:xfrm>
          <a:prstGeom prst="roundRect">
            <a:avLst/>
          </a:prstGeom>
          <a:solidFill>
            <a:srgbClr val="C44545"/>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D70BAD5-81B8-4FC1-8D4D-356EC1761C53}" type="TxLink">
              <a:rPr lang="en-US" sz="1100" b="1" i="0" u="none" strike="noStrike">
                <a:solidFill>
                  <a:schemeClr val="bg1"/>
                </a:solidFill>
                <a:latin typeface="Calibri"/>
                <a:cs typeface="Calibri"/>
              </a:rPr>
              <a:t>100</a:t>
            </a:fld>
            <a:endParaRPr lang="en-US" sz="1100" b="1">
              <a:solidFill>
                <a:schemeClr val="bg1"/>
              </a:solidFill>
            </a:endParaRPr>
          </a:p>
        </xdr:txBody>
      </xdr:sp>
      <xdr:sp macro="" textlink="">
        <xdr:nvSpPr>
          <xdr:cNvPr id="13" name="TextBox 12">
            <a:extLst>
              <a:ext uri="{FF2B5EF4-FFF2-40B4-BE49-F238E27FC236}">
                <a16:creationId xmlns:a16="http://schemas.microsoft.com/office/drawing/2014/main" id="{C8BA334A-6DC3-4895-95DE-36DAE5EA3E02}"/>
              </a:ext>
            </a:extLst>
          </xdr:cNvPr>
          <xdr:cNvSpPr txBox="1"/>
        </xdr:nvSpPr>
        <xdr:spPr>
          <a:xfrm>
            <a:off x="15654130" y="2277717"/>
            <a:ext cx="2381250" cy="434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Patients</a:t>
            </a:r>
          </a:p>
        </xdr:txBody>
      </xdr:sp>
    </xdr:grpSp>
    <xdr:clientData/>
  </xdr:twoCellAnchor>
  <xdr:twoCellAnchor>
    <xdr:from>
      <xdr:col>21</xdr:col>
      <xdr:colOff>385846</xdr:colOff>
      <xdr:row>10</xdr:row>
      <xdr:rowOff>169623</xdr:rowOff>
    </xdr:from>
    <xdr:to>
      <xdr:col>25</xdr:col>
      <xdr:colOff>378390</xdr:colOff>
      <xdr:row>18</xdr:row>
      <xdr:rowOff>8020</xdr:rowOff>
    </xdr:to>
    <xdr:grpSp>
      <xdr:nvGrpSpPr>
        <xdr:cNvPr id="14" name="Group 13">
          <a:extLst>
            <a:ext uri="{FF2B5EF4-FFF2-40B4-BE49-F238E27FC236}">
              <a16:creationId xmlns:a16="http://schemas.microsoft.com/office/drawing/2014/main" id="{8474FE26-B946-43A9-A29F-CD79AB995A90}"/>
            </a:ext>
          </a:extLst>
        </xdr:cNvPr>
        <xdr:cNvGrpSpPr/>
      </xdr:nvGrpSpPr>
      <xdr:grpSpPr>
        <a:xfrm>
          <a:off x="13187446" y="2074623"/>
          <a:ext cx="2430944" cy="1362397"/>
          <a:chOff x="15219292" y="890381"/>
          <a:chExt cx="2981740" cy="1822173"/>
        </a:xfrm>
      </xdr:grpSpPr>
      <xdr:sp macro="" textlink="'PIVOT TABLE'!$B$4">
        <xdr:nvSpPr>
          <xdr:cNvPr id="15" name="Rectangle: Rounded Corners 14">
            <a:extLst>
              <a:ext uri="{FF2B5EF4-FFF2-40B4-BE49-F238E27FC236}">
                <a16:creationId xmlns:a16="http://schemas.microsoft.com/office/drawing/2014/main" id="{8F725AE4-E5E7-4CB8-A3F3-292C90B2D2E3}"/>
              </a:ext>
            </a:extLst>
          </xdr:cNvPr>
          <xdr:cNvSpPr/>
        </xdr:nvSpPr>
        <xdr:spPr>
          <a:xfrm>
            <a:off x="15219292" y="890381"/>
            <a:ext cx="2981740" cy="1718642"/>
          </a:xfrm>
          <a:prstGeom prst="roundRect">
            <a:avLst/>
          </a:prstGeom>
          <a:solidFill>
            <a:srgbClr val="C44545"/>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8084E1E-93AE-4397-A7B4-056EC45576BB}" type="TxLink">
              <a:rPr lang="en-US" sz="1100" b="1" i="0" u="none" strike="noStrike">
                <a:solidFill>
                  <a:schemeClr val="bg1"/>
                </a:solidFill>
                <a:latin typeface="Calibri"/>
                <a:cs typeface="Calibri"/>
              </a:rPr>
              <a:t>$17,636,500</a:t>
            </a:fld>
            <a:endParaRPr lang="en-US" sz="1100" b="1">
              <a:solidFill>
                <a:schemeClr val="bg1"/>
              </a:solidFill>
            </a:endParaRPr>
          </a:p>
        </xdr:txBody>
      </xdr:sp>
      <xdr:sp macro="" textlink="">
        <xdr:nvSpPr>
          <xdr:cNvPr id="16" name="TextBox 15">
            <a:extLst>
              <a:ext uri="{FF2B5EF4-FFF2-40B4-BE49-F238E27FC236}">
                <a16:creationId xmlns:a16="http://schemas.microsoft.com/office/drawing/2014/main" id="{83266ADF-5E50-4F37-B164-F734D00EEFB5}"/>
              </a:ext>
            </a:extLst>
          </xdr:cNvPr>
          <xdr:cNvSpPr txBox="1"/>
        </xdr:nvSpPr>
        <xdr:spPr>
          <a:xfrm>
            <a:off x="15654130" y="2277717"/>
            <a:ext cx="2381250" cy="434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Claim Amount</a:t>
            </a:r>
          </a:p>
        </xdr:txBody>
      </xdr:sp>
    </xdr:grpSp>
    <xdr:clientData/>
  </xdr:twoCellAnchor>
  <xdr:twoCellAnchor>
    <xdr:from>
      <xdr:col>6</xdr:col>
      <xdr:colOff>180583</xdr:colOff>
      <xdr:row>5</xdr:row>
      <xdr:rowOff>39144</xdr:rowOff>
    </xdr:from>
    <xdr:to>
      <xdr:col>19</xdr:col>
      <xdr:colOff>415447</xdr:colOff>
      <xdr:row>10</xdr:row>
      <xdr:rowOff>39143</xdr:rowOff>
    </xdr:to>
    <xdr:sp macro="" textlink="">
      <xdr:nvSpPr>
        <xdr:cNvPr id="17" name="Rectangle: Rounded Corners 16">
          <a:extLst>
            <a:ext uri="{FF2B5EF4-FFF2-40B4-BE49-F238E27FC236}">
              <a16:creationId xmlns:a16="http://schemas.microsoft.com/office/drawing/2014/main" id="{B06BE8B0-E6A1-4BED-B582-A78F839EB007}"/>
            </a:ext>
          </a:extLst>
        </xdr:cNvPr>
        <xdr:cNvSpPr/>
      </xdr:nvSpPr>
      <xdr:spPr>
        <a:xfrm>
          <a:off x="3838183" y="991644"/>
          <a:ext cx="8159664" cy="952499"/>
        </a:xfrm>
        <a:prstGeom prst="roundRect">
          <a:avLst/>
        </a:prstGeom>
        <a:solidFill>
          <a:srgbClr val="EDE9E6"/>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Baskerville Old Face" panose="02020602080505020303" pitchFamily="18" charset="0"/>
            </a:rPr>
            <a:t>2024 HEALTH</a:t>
          </a:r>
          <a:r>
            <a:rPr lang="en-US" sz="2400" b="1" baseline="0">
              <a:solidFill>
                <a:schemeClr val="tx1"/>
              </a:solidFill>
              <a:latin typeface="Baskerville Old Face" panose="02020602080505020303" pitchFamily="18" charset="0"/>
            </a:rPr>
            <a:t> INSURANCE DASHBOARD</a:t>
          </a:r>
          <a:endParaRPr lang="en-US" sz="2400" b="1">
            <a:solidFill>
              <a:schemeClr val="tx1"/>
            </a:solidFill>
            <a:latin typeface="Baskerville Old Face" panose="02020602080505020303"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3738426" backgroundQuery="1" createdVersion="7" refreshedVersion="7" minRefreshableVersion="3" recordCount="0" supportSubquery="1" supportAdvancedDrill="1" xr:uid="{490E898B-9EEB-4C56-A167-CDB2DB862419}">
  <cacheSource type="external" connectionId="1"/>
  <cacheFields count="3">
    <cacheField name="[Table2].[LastVisitDate (Month)].[LastVisitDate (Month)]" caption="LastVisitDate (Month)" numFmtId="0" hierarchy="10" level="1">
      <sharedItems count="9">
        <s v="Jan"/>
        <s v="Mar"/>
        <s v="May"/>
        <s v="Jun"/>
        <s v="Aug"/>
        <s v="Sep"/>
        <s v="Oct"/>
        <s v="Nov"/>
        <s v="Dec"/>
      </sharedItems>
    </cacheField>
    <cacheField name="[Measures].[Count of PatientID]" caption="Count of PatientID" numFmtId="0" hierarchy="18" level="32767"/>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2"/>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2" memberValueDatatype="130" unbalanced="0">
      <fieldsUsage count="2">
        <fieldUsage x="-1"/>
        <fieldUsage x="0"/>
      </fieldsUsage>
    </cacheHierarchy>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36574075" backgroundQuery="1" createdVersion="7" refreshedVersion="7" minRefreshableVersion="3" recordCount="0" supportSubquery="1" supportAdvancedDrill="1" xr:uid="{E9B0AADC-E504-4623-928B-4DE19B6F3BBC}">
  <cacheSource type="external" connectionId="1"/>
  <cacheFields count="3">
    <cacheField name="[Table2].[Insurance Provider].[Insurance Provider]" caption="Insurance Provider" numFmtId="0" hierarchy="8" level="1">
      <sharedItems count="5">
        <s v="Axa Mansard"/>
        <s v="Hygeia"/>
        <s v="Leadway Health"/>
        <s v="Reliance Hmo"/>
        <s v="Rliance Hmo"/>
      </sharedItems>
    </cacheField>
    <cacheField name="[Measures].[Count of PatientID]" caption="Count of PatientID" numFmtId="0" hierarchy="18" level="32767"/>
    <cacheField name="Dummy0" numFmtId="0" hierarchy="20" level="32767">
      <extLst>
        <ext xmlns:x14="http://schemas.microsoft.com/office/spreadsheetml/2009/9/main" uri="{63CAB8AC-B538-458d-9737-405883B0398D}">
          <x14:cacheField ignore="1"/>
        </ext>
      </extLst>
    </cacheField>
  </cacheFields>
  <cacheHierarchies count="21">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0"/>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y uniqueName="Dummy0" caption="Patient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42708333" backgroundQuery="1" createdVersion="7" refreshedVersion="7" minRefreshableVersion="3" recordCount="0" supportSubquery="1" supportAdvancedDrill="1" xr:uid="{DBE6BDC9-8A95-42F4-A4C0-8F67248B73EB}">
  <cacheSource type="external" connectionId="1"/>
  <cacheFields count="4">
    <cacheField name="[Table2].[Diagnosis].[Diagnosis]" caption="Diagnosis" numFmtId="0" hierarchy="7" level="1">
      <sharedItems count="14">
        <s v=" Arthritis"/>
        <s v=" Asthma"/>
        <s v="Appendicitis"/>
        <s v="Asthma"/>
        <s v="Diabetes Type 1"/>
        <s v="Diabetes Type 2"/>
        <s v="Fracture"/>
        <s v="Hygeia"/>
        <s v="Hypertension"/>
        <s v="Malaria"/>
        <s v="Migraine"/>
        <s v="Pneumonia"/>
        <s v="Typhoid Fever"/>
        <s v="UTI"/>
      </sharedItems>
    </cacheField>
    <cacheField name="[Table2].[Gender].[Gender]" caption="Gender" numFmtId="0" hierarchy="3" level="1">
      <sharedItems count="2">
        <s v="Female"/>
        <s v="Male"/>
      </sharedItems>
    </cacheField>
    <cacheField name="[Measures].[Count of PatientID]" caption="Count of PatientID" numFmtId="0" hierarchy="18" level="32767"/>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2" memberValueDatatype="130" unbalanced="0">
      <fieldsUsage count="2">
        <fieldUsage x="-1"/>
        <fieldUsage x="0"/>
      </fieldsUsage>
    </cacheHierarchy>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3"/>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41782409" backgroundQuery="1" createdVersion="7" refreshedVersion="7" minRefreshableVersion="3" recordCount="0" supportSubquery="1" supportAdvancedDrill="1" xr:uid="{B530C888-BFDA-4EA0-9344-2177BA5561AB}">
  <cacheSource type="external" connectionId="1"/>
  <cacheFields count="3">
    <cacheField name="[Table2].[Patient Name].[Patient Name]" caption="Patient Name" numFmtId="0" hierarchy="1" level="1">
      <sharedItems count="10">
        <s v="Alice Lopez"/>
        <s v="Christopher Taylor"/>
        <s v="Jimmy Bell"/>
        <s v="Jose Evans"/>
        <s v="Larry Baker"/>
        <s v="Lawrence Bailey"/>
        <s v="Michael Brown"/>
        <s v="Ralph Campbell"/>
        <s v="Ruby Evans"/>
        <s v="Scott Hall"/>
      </sharedItems>
    </cacheField>
    <cacheField name="[Measures].[Sum of ClaimAmount]" caption="Sum of ClaimAmount" numFmtId="0" hierarchy="16" level="32767"/>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2" memberValueDatatype="130" unbalanced="0">
      <fieldsUsage count="2">
        <fieldUsage x="-1"/>
        <fieldUsage x="0"/>
      </fieldsUsage>
    </cacheHierarchy>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2"/>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35879628" backgroundQuery="1" createdVersion="7" refreshedVersion="7" minRefreshableVersion="3" recordCount="0" supportSubquery="1" supportAdvancedDrill="1" xr:uid="{D730034D-18F6-4353-9A48-3EBC82D210D8}">
  <cacheSource type="external" connectionId="1"/>
  <cacheFields count="3">
    <cacheField name="[Table2].[LastVisitDate (Month)].[LastVisitDate (Month)]" caption="LastVisitDate (Month)" numFmtId="0" hierarchy="10" level="1">
      <sharedItems count="9">
        <s v="Jan"/>
        <s v="Mar"/>
        <s v="May"/>
        <s v="Jun"/>
        <s v="Aug"/>
        <s v="Sep"/>
        <s v="Oct"/>
        <s v="Nov"/>
        <s v="Dec"/>
      </sharedItems>
    </cacheField>
    <cacheField name="[Measures].[Sum of ClaimAmount]" caption="Sum of ClaimAmount" numFmtId="0" hierarchy="16" level="32767"/>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2"/>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2" memberValueDatatype="130" unbalanced="0">
      <fieldsUsage count="2">
        <fieldUsage x="-1"/>
        <fieldUsage x="0"/>
      </fieldsUsage>
    </cacheHierarchy>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40393516" backgroundQuery="1" createdVersion="7" refreshedVersion="7" minRefreshableVersion="3" recordCount="0" supportSubquery="1" supportAdvancedDrill="1" xr:uid="{74A18872-D73B-4E43-A594-A4C35B09283A}">
  <cacheSource type="external" connectionId="1"/>
  <cacheFields count="3">
    <cacheField name="[Measures].[Sum of ClaimAmount]" caption="Sum of ClaimAmount" numFmtId="0" hierarchy="16" level="32767"/>
    <cacheField name="[Table2].[Gender].[Gender]" caption="Gender" numFmtId="0" hierarchy="3" level="1">
      <sharedItems count="2">
        <s v="Female"/>
        <s v="Male"/>
      </sharedItems>
    </cacheField>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2"/>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14535069441" backgroundQuery="1" createdVersion="7" refreshedVersion="7" minRefreshableVersion="3" recordCount="0" supportSubquery="1" supportAdvancedDrill="1" xr:uid="{BC58AD48-F23C-4C15-A42E-79875FD64437}">
  <cacheSource type="external" connectionId="1"/>
  <cacheFields count="3">
    <cacheField name="[Table2].[Diagnosis].[Diagnosis]" caption="Diagnosis" numFmtId="0" hierarchy="7" level="1">
      <sharedItems count="14">
        <s v=" Arthritis"/>
        <s v=" Asthma"/>
        <s v="Appendicitis"/>
        <s v="Asthma"/>
        <s v="Diabetes Type 1"/>
        <s v="Diabetes Type 2"/>
        <s v="Fracture"/>
        <s v="Hygeia"/>
        <s v="Hypertension"/>
        <s v="Malaria"/>
        <s v="Migraine"/>
        <s v="Pneumonia"/>
        <s v="Typhoid Fever"/>
        <s v="UTI"/>
      </sharedItems>
    </cacheField>
    <cacheField name="[Measures].[Count of Diagnosis]" caption="Count of Diagnosis" numFmtId="0" hierarchy="17" level="32767"/>
    <cacheField name="[Measures].[Average of ClaimAmount]" caption="Average of ClaimAmount" numFmtId="0" hierarchy="19" level="32767"/>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2" memberValueDatatype="130" unbalanced="0">
      <fieldsUsage count="2">
        <fieldUsage x="-1"/>
        <fieldUsage x="0"/>
      </fieldsUsage>
    </cacheHierarchy>
    <cacheHierarchy uniqueName="[Table2].[Insurance Provider]" caption="Insurance Provider" attribute="1" defaultMemberUniqueName="[Table2].[Insurance Provider].[All]" allUniqueName="[Table2].[Insurance Provider].[All]" dimensionUniqueName="[Table2]" displayFolder="" count="2" memberValueDatatype="130" unbalanced="0"/>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38657407" backgroundQuery="1" createdVersion="7" refreshedVersion="7" minRefreshableVersion="3" recordCount="0" supportSubquery="1" supportAdvancedDrill="1" xr:uid="{E747BB7C-310E-47D5-8DB2-526D0FE61DD2}">
  <cacheSource type="external" connectionId="1"/>
  <cacheFields count="2">
    <cacheField name="[Table2].[Insurance Provider].[Insurance Provider]" caption="Insurance Provider" numFmtId="0" hierarchy="8" level="1">
      <sharedItems count="5">
        <s v="Axa Mansard"/>
        <s v="Hygeia"/>
        <s v="Leadway Health"/>
        <s v="Reliance Hmo"/>
        <s v="Rliance Hmo"/>
      </sharedItems>
    </cacheField>
    <cacheField name="[Measures].[Sum of ClaimAmount]" caption="Sum of ClaimAmount" numFmtId="0" hierarchy="16" level="32767"/>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0"/>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38194445" backgroundQuery="1" createdVersion="7" refreshedVersion="7" minRefreshableVersion="3" recordCount="0" supportSubquery="1" supportAdvancedDrill="1" xr:uid="{41199916-643A-44DB-8BEA-1FDCD73540D6}">
  <cacheSource type="external" connectionId="1"/>
  <cacheFields count="2">
    <cacheField name="[Measures].[Total Claim Amount]" caption="Total Claim Amount" numFmtId="0" hierarchy="13" level="32767"/>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1"/>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oneField="1">
      <fieldsUsage count="1">
        <fieldUsage x="0"/>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2637847222" backgroundQuery="1" createdVersion="7" refreshedVersion="7" minRefreshableVersion="3" recordCount="0" supportSubquery="1" supportAdvancedDrill="1" xr:uid="{B13FFD8B-D97A-404A-ADD1-732813322B81}">
  <cacheSource type="external" connectionId="1"/>
  <cacheFields count="2">
    <cacheField name="[Measures].[Total Patients]" caption="Total Patients" numFmtId="0" hierarchy="12" level="32767"/>
    <cacheField name="[Table2].[Insurance Provider].[Insurance Provider]" caption="Insurance Provider" numFmtId="0" hierarchy="8" level="1">
      <sharedItems containsSemiMixedTypes="0" containsNonDate="0" containsString="0"/>
    </cacheField>
  </cacheFields>
  <cacheHierarchies count="20">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fieldsUsage count="2">
        <fieldUsage x="-1"/>
        <fieldUsage x="1"/>
      </fieldsUsage>
    </cacheHierarchy>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oneField="1">
      <fieldsUsage count="1">
        <fieldUsage x="0"/>
      </fieldsUsage>
    </cacheHierarchy>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y uniqueName="[Measures].[Average of ClaimAmount]" caption="Average of ClaimAmount"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01219907409" backgroundQuery="1" createdVersion="3" refreshedVersion="7" minRefreshableVersion="3" recordCount="0" supportSubquery="1" supportAdvancedDrill="1" xr:uid="{1783B379-B546-4362-874E-E34D65912216}">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2].[PatientID]" caption="PatientID" attribute="1" defaultMemberUniqueName="[Table2].[PatientID].[All]" allUniqueName="[Table2].[PatientID].[All]" dimensionUniqueName="[Table2]" displayFolder="" count="0" memberValueDatatype="130" unbalanced="0"/>
    <cacheHierarchy uniqueName="[Table2].[Patient Name]" caption="Patient Name" attribute="1" defaultMemberUniqueName="[Table2].[Patient Name].[All]" allUniqueName="[Table2].[Patient Name].[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Gender]" caption="Gender" attribute="1" defaultMemberUniqueName="[Table2].[Gender].[All]" allUniqueName="[Table2].[Gender].[All]" dimensionUniqueName="[Table2]" displayFolder="" count="0" memberValueDatatype="130" unbalanced="0"/>
    <cacheHierarchy uniqueName="[Table2].[Phone Number]" caption="Phone Number" attribute="1" defaultMemberUniqueName="[Table2].[Phone Number].[All]" allUniqueName="[Table2].[Phone Number].[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LastVisitDate]" caption="LastVisitDate" attribute="1" time="1" defaultMemberUniqueName="[Table2].[LastVisitDate].[All]" allUniqueName="[Table2].[LastVisitDate].[All]" dimensionUniqueName="[Table2]" displayFolder="" count="0" memberValueDatatype="7" unbalanced="0"/>
    <cacheHierarchy uniqueName="[Table2].[Diagnosis]" caption="Diagnosis" attribute="1" defaultMemberUniqueName="[Table2].[Diagnosis].[All]" allUniqueName="[Table2].[Diagnosis].[All]" dimensionUniqueName="[Table2]" displayFolder="" count="0" memberValueDatatype="130" unbalanced="0"/>
    <cacheHierarchy uniqueName="[Table2].[Insurance Provider]" caption="Insurance Provider" attribute="1" defaultMemberUniqueName="[Table2].[Insurance Provider].[All]" allUniqueName="[Table2].[Insurance Provider].[All]" dimensionUniqueName="[Table2]" displayFolder="" count="2" memberValueDatatype="130" unbalanced="0"/>
    <cacheHierarchy uniqueName="[Table2].[ClaimAmount]" caption="ClaimAmount" attribute="1" defaultMemberUniqueName="[Table2].[ClaimAmount].[All]" allUniqueName="[Table2].[ClaimAmount].[All]" dimensionUniqueName="[Table2]" displayFolder="" count="0" memberValueDatatype="20" unbalanced="0"/>
    <cacheHierarchy uniqueName="[Table2].[LastVisitDate (Month)]" caption="LastVisitDate (Month)" attribute="1" defaultMemberUniqueName="[Table2].[LastVisitDate (Month)].[All]" allUniqueName="[Table2].[LastVisitDate (Month)].[All]" dimensionUniqueName="[Table2]" displayFolder="" count="0" memberValueDatatype="130" unbalanced="0"/>
    <cacheHierarchy uniqueName="[Table2].[LastVisitDate (Month Index)]" caption="LastVisitDate (Month Index)" attribute="1" defaultMemberUniqueName="[Table2].[LastVisitDate (Month Index)].[All]" allUniqueName="[Table2].[LastVisitDate (Month Index)].[All]" dimensionUniqueName="[Table2]" displayFolder="" count="0" memberValueDatatype="20" unbalanced="0" hidden="1"/>
    <cacheHierarchy uniqueName="[Measures].[Total Patients]" caption="Total Patients" measure="1" displayFolder="" measureGroup="Table2" count="0"/>
    <cacheHierarchy uniqueName="[Measures].[Total Claim Amount]" caption="Total Claim Amount"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laimAmount]" caption="Sum of ClaimAmount" measure="1" displayFolder="" measureGroup="Table2" count="0" hidden="1">
      <extLst>
        <ext xmlns:x15="http://schemas.microsoft.com/office/spreadsheetml/2010/11/main" uri="{B97F6D7D-B522-45F9-BDA1-12C45D357490}">
          <x15:cacheHierarchy aggregatedColumn="9"/>
        </ext>
      </extLst>
    </cacheHierarchy>
    <cacheHierarchy uniqueName="[Measures].[Count of Diagnosis]" caption="Count of Diagnosis" measure="1" displayFolder="" measureGroup="Table2" count="0" hidden="1">
      <extLst>
        <ext xmlns:x15="http://schemas.microsoft.com/office/spreadsheetml/2010/11/main" uri="{B97F6D7D-B522-45F9-BDA1-12C45D357490}">
          <x15:cacheHierarchy aggregatedColumn="7"/>
        </ext>
      </extLst>
    </cacheHierarchy>
    <cacheHierarchy uniqueName="[Measures].[Count of PatientID]" caption="Count of PatientID" measure="1" displayFolder="" measureGroup="Table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687785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1C195B-18B7-42D0-A84D-C83911EE1474}" name="PivotTable11" cacheId="35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E32:F42"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Patie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00048B-96AA-4D7A-A122-5D329F685B43}" name="PivotTable10" cacheId="3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Insurance Provider">
  <location ref="E22:G2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2">
    <i>
      <x/>
    </i>
    <i i="1">
      <x v="1"/>
    </i>
  </colItems>
  <dataFields count="2">
    <dataField name="Count of PatientID" fld="1" subtotal="count" baseField="0" baseItem="0"/>
    <dataField name="Percentage" fld="2" subtotal="count" showDataAs="percentOfTotal" baseField="0" baseItem="0" numFmtId="10">
      <extLst>
        <ext xmlns:x14="http://schemas.microsoft.com/office/spreadsheetml/2009/9/main" uri="{E15A36E0-9728-4e99-A89B-3F7291B0FE68}">
          <x14:dataField sourceField="1" uniqueName="[__Xl2].[Measures].[Count of PatientID]"/>
        </ext>
      </extLst>
    </dataField>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0" count="1" selected="0">
            <x v="0"/>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2"/>
          </reference>
        </references>
      </pivotArea>
    </chartFormat>
    <chartFormat chart="2" format="23">
      <pivotArea type="data" outline="0" fieldPosition="0">
        <references count="2">
          <reference field="4294967294" count="1" selected="0">
            <x v="0"/>
          </reference>
          <reference field="0" count="1" selected="0">
            <x v="3"/>
          </reference>
        </references>
      </pivotArea>
    </chartFormat>
    <chartFormat chart="2" format="24">
      <pivotArea type="data" outline="0" fieldPosition="0">
        <references count="2">
          <reference field="4294967294" count="1" selected="0">
            <x v="0"/>
          </reference>
          <reference field="0" count="1" selected="0">
            <x v="4"/>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0" count="1" selected="0">
            <x v="0"/>
          </reference>
        </references>
      </pivotArea>
    </chartFormat>
    <chartFormat chart="2" format="27">
      <pivotArea type="data" outline="0" fieldPosition="0">
        <references count="2">
          <reference field="4294967294" count="1" selected="0">
            <x v="1"/>
          </reference>
          <reference field="0" count="1" selected="0">
            <x v="1"/>
          </reference>
        </references>
      </pivotArea>
    </chartFormat>
    <chartFormat chart="2" format="28">
      <pivotArea type="data" outline="0" fieldPosition="0">
        <references count="2">
          <reference field="4294967294" count="1" selected="0">
            <x v="1"/>
          </reference>
          <reference field="0" count="1" selected="0">
            <x v="2"/>
          </reference>
        </references>
      </pivotArea>
    </chartFormat>
    <chartFormat chart="2" format="29">
      <pivotArea type="data" outline="0" fieldPosition="0">
        <references count="2">
          <reference field="4294967294" count="1" selected="0">
            <x v="1"/>
          </reference>
          <reference field="0" count="1" selected="0">
            <x v="3"/>
          </reference>
        </references>
      </pivotArea>
    </chartFormat>
    <chartFormat chart="2" format="30">
      <pivotArea type="data" outline="0" fieldPosition="0">
        <references count="2">
          <reference field="4294967294" count="1" selected="0">
            <x v="1"/>
          </reference>
          <reference field="0" count="1" selected="0">
            <x v="4"/>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ercentage"/>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61982-3E75-454C-8197-2F7A2CD155AC}" name="PivotTable9" cacheId="3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iagnosis" colHeaderCaption="Gender">
  <location ref="E3:H19" firstHeaderRow="1" firstDataRow="2"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Count of Patient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A62F70-4B7E-45D2-95A0-01AB90FEADA3}" name="PivotTable8" cacheId="3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Patient Name">
  <location ref="A50:B6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laimAmount" fld="1" baseField="0" baseItem="0" numFmtId="167"/>
  </dataFields>
  <formats count="2">
    <format dxfId="3">
      <pivotArea outline="0" collapsedLevelsAreSubtotals="1"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87C27-2A33-489D-9F7E-B440EBA95AA2}" name="PivotTable7" cacheId="35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A38:B4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ClaimAmount" fld="1" baseField="0" baseItem="0" numFmtId="167"/>
  </dataFields>
  <formats count="2">
    <format dxfId="5">
      <pivotArea outline="0" collapsedLevelsAreSubtotals="1" fieldPosition="0"/>
    </format>
    <format dxfId="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4"/>
          </reference>
        </references>
      </pivotArea>
    </chartFormat>
    <chartFormat chart="2" format="11">
      <pivotArea type="data" outline="0" fieldPosition="0">
        <references count="2">
          <reference field="4294967294" count="1" selected="0">
            <x v="0"/>
          </reference>
          <reference field="0" count="1" selected="0">
            <x v="7"/>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CE7AD3-BC98-4B7B-A627-4DF818928EB4}" name="PivotTable6" cacheId="35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Gender">
  <location ref="A32:B3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ClaimAmount" fld="0" baseField="0" baseItem="0" numFmtId="167"/>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805271-9108-47A2-874E-416C3A8C9C50}" name="PivotTable5" cacheId="36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iagnosis">
  <location ref="A15:C30" firstHeaderRow="0"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Average of ClaimAmount" fld="2" subtotal="average" baseField="0" baseItem="0" numFmtId="167"/>
    <dataField name="Count of Diagnosis" fld="1" subtotal="count" baseField="0" baseItem="0"/>
  </dataFields>
  <formats count="4">
    <format dxfId="11">
      <pivotArea outline="0" collapsedLevelsAreSubtotals="1" fieldPosition="0"/>
    </format>
    <format dxfId="10">
      <pivotArea dataOnly="0" labelOnly="1" outline="0" axis="axisValues" fieldPosition="0"/>
    </format>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858732-E657-4988-91D3-0DFC6C2C2DB5}" name="PivotTable4" cacheId="35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Insurance Provider">
  <location ref="A6:B1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ClaimAmount" fld="1" baseField="0" baseItem="0" numFmtId="167"/>
  </dataFields>
  <formats count="2">
    <format dxfId="13">
      <pivotArea outline="0" collapsedLevelsAreSubtotals="1"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732112-E494-4C47-976D-C50B1262F890}" name="PivotTable3" cacheId="3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BC2A25-5C4B-4A28-BE26-D573B15E7F9D}" name="PivotTable2" cacheId="3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2A0A88E6-ADBC-431F-B059-EFF839E751B9}" sourceName="[Table2].[Insurance Provider]">
  <pivotTables>
    <pivotTable tabId="2" name="PivotTable7"/>
    <pivotTable tabId="2" name="PivotTable10"/>
    <pivotTable tabId="2" name="PivotTable11"/>
    <pivotTable tabId="2" name="PivotTable2"/>
    <pivotTable tabId="2" name="PivotTable3"/>
    <pivotTable tabId="2" name="PivotTable4"/>
    <pivotTable tabId="2" name="PivotTable5"/>
    <pivotTable tabId="2" name="PivotTable6"/>
    <pivotTable tabId="2" name="PivotTable8"/>
    <pivotTable tabId="2" name="PivotTable9"/>
  </pivotTables>
  <data>
    <olap pivotCacheId="568778573">
      <levels count="2">
        <level uniqueName="[Table2].[Insurance Provider].[(All)]" sourceCaption="(All)" count="0"/>
        <level uniqueName="[Table2].[Insurance Provider].[Insurance Provider]" sourceCaption="Insurance Provider" count="5">
          <ranges>
            <range startItem="0">
              <i n="[Table2].[Insurance Provider].&amp;[Axa Mansard]" c="Axa Mansard"/>
              <i n="[Table2].[Insurance Provider].&amp;[Hygeia]" c="Hygeia"/>
              <i n="[Table2].[Insurance Provider].&amp;[Leadway Health]" c="Leadway Health"/>
              <i n="[Table2].[Insurance Provider].&amp;[Reliance Hmo]" c="Reliance Hmo"/>
              <i n="[Table2].[Insurance Provider].&amp;[Rliance Hmo]" c="Rliance Hmo"/>
            </range>
          </ranges>
        </level>
      </levels>
      <selections count="1">
        <selection n="[Table2].[Insurance Provi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 Provider" xr10:uid="{CB47F3ED-AE23-4662-AA5C-2B9BA5F82675}" cache="Slicer_Insurance_Provider" caption="Insurance Provider"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 Provider 1" xr10:uid="{F47FB97D-B8A4-4549-8888-7B2727B3F908}" cache="Slicer_Insurance_Provider" caption="Insurance Provider" columnCount="3"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8D903D-4916-41EA-903B-23230F44F5AB}" name="Table2" displayName="Table2" ref="A1:J101" totalsRowShown="0" headerRowDxfId="14">
  <autoFilter ref="A1:J101" xr:uid="{678D903D-4916-41EA-903B-23230F44F5AB}"/>
  <tableColumns count="10">
    <tableColumn id="1" xr3:uid="{3ADED673-A318-40D5-A9AB-BB584603E01B}" name="PatientID"/>
    <tableColumn id="2" xr3:uid="{8544E01E-81AF-4B71-94D7-24359A1B7A71}" name="Patient Name"/>
    <tableColumn id="3" xr3:uid="{DCA0FD85-7802-49F4-AB09-C0F513675F13}" name="DOB" dataDxfId="17"/>
    <tableColumn id="12" xr3:uid="{46CFD883-886C-4A7F-8422-4D98F7D11D0F}" name="Gender"/>
    <tableColumn id="5" xr3:uid="{5EC7BEA0-3A39-4A52-8F23-F68967556FC4}" name="Phone Number"/>
    <tableColumn id="6" xr3:uid="{FC46AC66-2303-4EA1-A340-AA0D7B82085C}" name="Email" dataCellStyle="Hyperlink"/>
    <tableColumn id="7" xr3:uid="{DD3076E5-ACAB-4026-AFB3-08F167B7B1B7}" name="LastVisitDate" dataDxfId="16"/>
    <tableColumn id="8" xr3:uid="{1D348504-63BB-4F64-A2E7-611B35F2CB8C}" name="Diagnosis"/>
    <tableColumn id="9" xr3:uid="{40FCC62A-6E1B-41E8-8EBE-A7F5C0E8776D}" name="Insurance Provider"/>
    <tableColumn id="10" xr3:uid="{95B1A416-68A2-4D24-98DA-45362F014DB8}" name="ClaimAmount"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ralph.campbell@email.com" TargetMode="External"/><Relationship Id="rId21" Type="http://schemas.openxmlformats.org/officeDocument/2006/relationships/hyperlink" Target="mailto:charles.nelson@email.com" TargetMode="External"/><Relationship Id="rId42" Type="http://schemas.openxmlformats.org/officeDocument/2006/relationships/hyperlink" Target="mailto:martha.fox@email.com" TargetMode="External"/><Relationship Id="rId47" Type="http://schemas.openxmlformats.org/officeDocument/2006/relationships/hyperlink" Target="mailto:sandra.lopez@email.com" TargetMode="External"/><Relationship Id="rId63" Type="http://schemas.openxmlformats.org/officeDocument/2006/relationships/hyperlink" Target="mailto:brenda.cook@email.com" TargetMode="External"/><Relationship Id="rId68" Type="http://schemas.openxmlformats.org/officeDocument/2006/relationships/hyperlink" Target="mailto:alice.lopez@email.com" TargetMode="External"/><Relationship Id="rId7" Type="http://schemas.openxmlformats.org/officeDocument/2006/relationships/hyperlink" Target="mailto:christopher.taylor@email.com" TargetMode="External"/><Relationship Id="rId2" Type="http://schemas.openxmlformats.org/officeDocument/2006/relationships/hyperlink" Target="mailto:jane.smith@email.com" TargetMode="External"/><Relationship Id="rId16" Type="http://schemas.openxmlformats.org/officeDocument/2006/relationships/hyperlink" Target="mailto:gregory.wright@email.com" TargetMode="External"/><Relationship Id="rId29" Type="http://schemas.openxmlformats.org/officeDocument/2006/relationships/hyperlink" Target="mailto:harry.collins@email.com" TargetMode="External"/><Relationship Id="rId11" Type="http://schemas.openxmlformats.org/officeDocument/2006/relationships/hyperlink" Target="mailto:kevin.clark@email.com" TargetMode="External"/><Relationship Id="rId24" Type="http://schemas.openxmlformats.org/officeDocument/2006/relationships/hyperlink" Target="mailto:frances.r@email.com" TargetMode="External"/><Relationship Id="rId32" Type="http://schemas.openxmlformats.org/officeDocument/2006/relationships/hyperlink" Target="mailto:russell.rogers@email.com" TargetMode="External"/><Relationship Id="rId37" Type="http://schemas.openxmlformats.org/officeDocument/2006/relationships/hyperlink" Target="mailto:ryan.flores@email.com" TargetMode="External"/><Relationship Id="rId40" Type="http://schemas.openxmlformats.org/officeDocument/2006/relationships/hyperlink" Target="mailto:maria.cooper@email.com" TargetMode="External"/><Relationship Id="rId45" Type="http://schemas.openxmlformats.org/officeDocument/2006/relationships/hyperlink" Target="mailto:eric.young@email.com" TargetMode="External"/><Relationship Id="rId53" Type="http://schemas.openxmlformats.org/officeDocument/2006/relationships/hyperlink" Target="mailto:caroline.r@email.com" TargetMode="External"/><Relationship Id="rId58" Type="http://schemas.openxmlformats.org/officeDocument/2006/relationships/hyperlink" Target="mailto:marie.r@email.com" TargetMode="External"/><Relationship Id="rId66" Type="http://schemas.openxmlformats.org/officeDocument/2006/relationships/hyperlink" Target="mailto:steven.parker@email.com" TargetMode="External"/><Relationship Id="rId5" Type="http://schemas.openxmlformats.org/officeDocument/2006/relationships/hyperlink" Target="mailto:sarah.davis@email.com" TargetMode="External"/><Relationship Id="rId61" Type="http://schemas.openxmlformats.org/officeDocument/2006/relationships/hyperlink" Target="mailto:roger.foster@email.com" TargetMode="External"/><Relationship Id="rId19" Type="http://schemas.openxmlformats.org/officeDocument/2006/relationships/hyperlink" Target="mailto:raymond.green@email.com" TargetMode="External"/><Relationship Id="rId14" Type="http://schemas.openxmlformats.org/officeDocument/2006/relationships/hyperlink" Target="mailto:scott.hall@email.com" TargetMode="External"/><Relationship Id="rId22" Type="http://schemas.openxmlformats.org/officeDocument/2006/relationships/hyperlink" Target="mailto:deborah.m@email.com" TargetMode="External"/><Relationship Id="rId27" Type="http://schemas.openxmlformats.org/officeDocument/2006/relationships/hyperlink" Target="mailto:lois.parker@email.com" TargetMode="External"/><Relationship Id="rId30" Type="http://schemas.openxmlformats.org/officeDocument/2006/relationships/hyperlink" Target="mailto:judith.stewart@email.com" TargetMode="External"/><Relationship Id="rId35" Type="http://schemas.openxmlformats.org/officeDocument/2006/relationships/hyperlink" Target="mailto:evelyn.murphy@email.com" TargetMode="External"/><Relationship Id="rId43" Type="http://schemas.openxmlformats.org/officeDocument/2006/relationships/hyperlink" Target="mailto:shawn.bailey@email.com" TargetMode="External"/><Relationship Id="rId48" Type="http://schemas.openxmlformats.org/officeDocument/2006/relationships/hyperlink" Target="mailto:thomas.young@email.com" TargetMode="External"/><Relationship Id="rId56" Type="http://schemas.openxmlformats.org/officeDocument/2006/relationships/hyperlink" Target="mailto:karen.flores@email.com" TargetMode="External"/><Relationship Id="rId64" Type="http://schemas.openxmlformats.org/officeDocument/2006/relationships/hyperlink" Target="mailto:michelle.stewart@email.com" TargetMode="External"/><Relationship Id="rId69" Type="http://schemas.openxmlformats.org/officeDocument/2006/relationships/printerSettings" Target="../printerSettings/printerSettings1.bin"/><Relationship Id="rId8" Type="http://schemas.openxmlformats.org/officeDocument/2006/relationships/hyperlink" Target="mailto:amanda.martin@email.com" TargetMode="External"/><Relationship Id="rId51" Type="http://schemas.openxmlformats.org/officeDocument/2006/relationships/hyperlink" Target="mailto:jose.evans@email.com" TargetMode="External"/><Relationship Id="rId3" Type="http://schemas.openxmlformats.org/officeDocument/2006/relationships/hyperlink" Target="mailto:robert.johnson@email.com" TargetMode="External"/><Relationship Id="rId12" Type="http://schemas.openxmlformats.org/officeDocument/2006/relationships/hyperlink" Target="mailto:frank.lewis@email.com" TargetMode="External"/><Relationship Id="rId17" Type="http://schemas.openxmlformats.org/officeDocument/2006/relationships/hyperlink" Target="mailto:peter.hill@email.com" TargetMode="External"/><Relationship Id="rId25" Type="http://schemas.openxmlformats.org/officeDocument/2006/relationships/hyperlink" Target="mailto:mildred.phillips@email.com" TargetMode="External"/><Relationship Id="rId33" Type="http://schemas.openxmlformats.org/officeDocument/2006/relationships/hyperlink" Target="mailto:albert.cook@email.com" TargetMode="External"/><Relationship Id="rId38" Type="http://schemas.openxmlformats.org/officeDocument/2006/relationships/hyperlink" Target="mailto:alice.simmons@email.com" TargetMode="External"/><Relationship Id="rId46" Type="http://schemas.openxmlformats.org/officeDocument/2006/relationships/hyperlink" Target="mailto:anna.price@email.com" TargetMode="External"/><Relationship Id="rId59" Type="http://schemas.openxmlformats.org/officeDocument/2006/relationships/hyperlink" Target="mailto:jeffrey.price@email.com" TargetMode="External"/><Relationship Id="rId67" Type="http://schemas.openxmlformats.org/officeDocument/2006/relationships/hyperlink" Target="mailto:ruby.evans@email.com" TargetMode="External"/><Relationship Id="rId20" Type="http://schemas.openxmlformats.org/officeDocument/2006/relationships/hyperlink" Target="mailto:katherine.adams@email.com" TargetMode="External"/><Relationship Id="rId41" Type="http://schemas.openxmlformats.org/officeDocument/2006/relationships/hyperlink" Target="mailto:wayne.r@email.com" TargetMode="External"/><Relationship Id="rId54" Type="http://schemas.openxmlformats.org/officeDocument/2006/relationships/hyperlink" Target="mailto:randall.reed@email.com" TargetMode="External"/><Relationship Id="rId62" Type="http://schemas.openxmlformats.org/officeDocument/2006/relationships/hyperlink" Target="mailto:lillian.diaz@email.com" TargetMode="External"/><Relationship Id="rId70" Type="http://schemas.openxmlformats.org/officeDocument/2006/relationships/table" Target="../tables/table1.xml"/><Relationship Id="rId1" Type="http://schemas.openxmlformats.org/officeDocument/2006/relationships/hyperlink" Target="mailto:john.doe@email.com" TargetMode="External"/><Relationship Id="rId6" Type="http://schemas.openxmlformats.org/officeDocument/2006/relationships/hyperlink" Target="mailto:jennifer.lee@email.com" TargetMode="External"/><Relationship Id="rId15" Type="http://schemas.openxmlformats.org/officeDocument/2006/relationships/hyperlink" Target="mailto:patricia.king@email.com" TargetMode="External"/><Relationship Id="rId23" Type="http://schemas.openxmlformats.org/officeDocument/2006/relationships/hyperlink" Target="mailto:ronald.perez@email.com" TargetMode="External"/><Relationship Id="rId28" Type="http://schemas.openxmlformats.org/officeDocument/2006/relationships/hyperlink" Target="mailto:carl.evans@email.com" TargetMode="External"/><Relationship Id="rId36" Type="http://schemas.openxmlformats.org/officeDocument/2006/relationships/hyperlink" Target="mailto:patrick.price@email.com" TargetMode="External"/><Relationship Id="rId49" Type="http://schemas.openxmlformats.org/officeDocument/2006/relationships/hyperlink" Target="mailto:steven.baker@email.com" TargetMode="External"/><Relationship Id="rId57" Type="http://schemas.openxmlformats.org/officeDocument/2006/relationships/hyperlink" Target="mailto:lawrence.bailey@email.com" TargetMode="External"/><Relationship Id="rId10" Type="http://schemas.openxmlformats.org/officeDocument/2006/relationships/hyperlink" Target="mailto:mark.martinez@email.com" TargetMode="External"/><Relationship Id="rId31" Type="http://schemas.openxmlformats.org/officeDocument/2006/relationships/hyperlink" Target="mailto:janice.morris@email.com" TargetMode="External"/><Relationship Id="rId44" Type="http://schemas.openxmlformats.org/officeDocument/2006/relationships/hyperlink" Target="mailto:carol.price@email.com" TargetMode="External"/><Relationship Id="rId52" Type="http://schemas.openxmlformats.org/officeDocument/2006/relationships/hyperlink" Target="mailto:ruby.sanchez@email.com" TargetMode="External"/><Relationship Id="rId60" Type="http://schemas.openxmlformats.org/officeDocument/2006/relationships/hyperlink" Target="mailto:raymond.long@email.com" TargetMode="External"/><Relationship Id="rId65" Type="http://schemas.openxmlformats.org/officeDocument/2006/relationships/hyperlink" Target="mailto:craig.collins@email.com" TargetMode="External"/><Relationship Id="rId4" Type="http://schemas.openxmlformats.org/officeDocument/2006/relationships/hyperlink" Target="mailto:michael.brown@email.com" TargetMode="External"/><Relationship Id="rId9" Type="http://schemas.openxmlformats.org/officeDocument/2006/relationships/hyperlink" Target="mailto:lisa.thomas@email.com" TargetMode="External"/><Relationship Id="rId13" Type="http://schemas.openxmlformats.org/officeDocument/2006/relationships/hyperlink" Target="mailto:ashley.walker@email.com" TargetMode="External"/><Relationship Id="rId18" Type="http://schemas.openxmlformats.org/officeDocument/2006/relationships/hyperlink" Target="mailto:cynthia.scott@email.com" TargetMode="External"/><Relationship Id="rId39" Type="http://schemas.openxmlformats.org/officeDocument/2006/relationships/hyperlink" Target="mailto:henry.bryant@email.com" TargetMode="External"/><Relationship Id="rId34" Type="http://schemas.openxmlformats.org/officeDocument/2006/relationships/hyperlink" Target="mailto:rose.morgan@email.com" TargetMode="External"/><Relationship Id="rId50" Type="http://schemas.openxmlformats.org/officeDocument/2006/relationships/hyperlink" Target="mailto:george.campbell@email.com" TargetMode="External"/><Relationship Id="rId55" Type="http://schemas.openxmlformats.org/officeDocument/2006/relationships/hyperlink" Target="mailto:paula.bell@email.com"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1243-84F5-4A3D-9540-ECCF71B78E5F}">
  <dimension ref="A1:J101"/>
  <sheetViews>
    <sheetView topLeftCell="A79" workbookViewId="0">
      <selection activeCell="D2" sqref="D2"/>
    </sheetView>
  </sheetViews>
  <sheetFormatPr defaultColWidth="9.28515625" defaultRowHeight="15" x14ac:dyDescent="0.25"/>
  <cols>
    <col min="1" max="1" width="11.42578125" customWidth="1"/>
    <col min="2" max="2" width="18" customWidth="1"/>
    <col min="3" max="3" width="13.42578125" customWidth="1"/>
    <col min="4" max="4" width="9.85546875" customWidth="1"/>
    <col min="5" max="5" width="16.5703125" customWidth="1"/>
    <col min="6" max="6" width="28.5703125" bestFit="1" customWidth="1"/>
    <col min="7" max="7" width="14.7109375" customWidth="1"/>
    <col min="8" max="8" width="15.140625" bestFit="1" customWidth="1"/>
    <col min="9" max="9" width="19.7109375" customWidth="1"/>
    <col min="10" max="10" width="15.28515625" customWidth="1"/>
  </cols>
  <sheetData>
    <row r="1" spans="1:10" x14ac:dyDescent="0.25">
      <c r="A1" s="1" t="s">
        <v>0</v>
      </c>
      <c r="B1" s="1" t="s">
        <v>246</v>
      </c>
      <c r="C1" s="1" t="s">
        <v>1</v>
      </c>
      <c r="D1" s="1" t="s">
        <v>2</v>
      </c>
      <c r="E1" s="1" t="s">
        <v>391</v>
      </c>
      <c r="F1" s="1" t="s">
        <v>3</v>
      </c>
      <c r="G1" s="1" t="s">
        <v>4</v>
      </c>
      <c r="H1" s="1" t="s">
        <v>5</v>
      </c>
      <c r="I1" s="1" t="s">
        <v>266</v>
      </c>
      <c r="J1" s="1" t="s">
        <v>6</v>
      </c>
    </row>
    <row r="2" spans="1:10" x14ac:dyDescent="0.25">
      <c r="A2" t="s">
        <v>7</v>
      </c>
      <c r="B2" t="s">
        <v>247</v>
      </c>
      <c r="C2" s="2">
        <v>31062</v>
      </c>
      <c r="D2" t="s">
        <v>8</v>
      </c>
      <c r="E2" t="s">
        <v>378</v>
      </c>
      <c r="F2" s="4" t="s">
        <v>267</v>
      </c>
      <c r="G2" s="2">
        <v>45641</v>
      </c>
      <c r="H2" t="s">
        <v>9</v>
      </c>
      <c r="I2" t="s">
        <v>263</v>
      </c>
      <c r="J2" s="3">
        <v>150000</v>
      </c>
    </row>
    <row r="3" spans="1:10" x14ac:dyDescent="0.25">
      <c r="A3" t="s">
        <v>10</v>
      </c>
      <c r="B3" t="s">
        <v>248</v>
      </c>
      <c r="C3" s="2">
        <v>31858</v>
      </c>
      <c r="D3" t="s">
        <v>43</v>
      </c>
      <c r="E3" t="s">
        <v>379</v>
      </c>
      <c r="F3" s="4" t="s">
        <v>268</v>
      </c>
      <c r="G3" s="2">
        <v>45616</v>
      </c>
      <c r="H3" t="s">
        <v>11</v>
      </c>
      <c r="I3" t="s">
        <v>264</v>
      </c>
      <c r="J3" s="3">
        <v>85000</v>
      </c>
    </row>
    <row r="4" spans="1:10" x14ac:dyDescent="0.25">
      <c r="A4" t="s">
        <v>12</v>
      </c>
      <c r="B4" t="s">
        <v>249</v>
      </c>
      <c r="C4" s="2">
        <v>33232</v>
      </c>
      <c r="D4" t="s">
        <v>8</v>
      </c>
      <c r="E4" t="s">
        <v>380</v>
      </c>
      <c r="F4" s="4" t="s">
        <v>269</v>
      </c>
      <c r="G4" s="2">
        <v>45646</v>
      </c>
      <c r="H4" t="s">
        <v>13</v>
      </c>
      <c r="I4" t="s">
        <v>25</v>
      </c>
      <c r="J4" s="3">
        <v>220000</v>
      </c>
    </row>
    <row r="5" spans="1:10" x14ac:dyDescent="0.25">
      <c r="A5" t="s">
        <v>14</v>
      </c>
      <c r="B5" t="s">
        <v>250</v>
      </c>
      <c r="C5" s="2">
        <v>34890</v>
      </c>
      <c r="D5" t="s">
        <v>43</v>
      </c>
      <c r="E5" t="s">
        <v>381</v>
      </c>
      <c r="F5" s="4" t="s">
        <v>270</v>
      </c>
      <c r="G5" s="2">
        <v>45422</v>
      </c>
      <c r="H5" t="s">
        <v>15</v>
      </c>
      <c r="I5" t="s">
        <v>263</v>
      </c>
      <c r="J5" s="3">
        <v>65000</v>
      </c>
    </row>
    <row r="6" spans="1:10" x14ac:dyDescent="0.25">
      <c r="A6" t="s">
        <v>16</v>
      </c>
      <c r="B6" t="s">
        <v>17</v>
      </c>
      <c r="C6" s="2">
        <v>32220</v>
      </c>
      <c r="D6" t="s">
        <v>8</v>
      </c>
      <c r="E6" t="s">
        <v>382</v>
      </c>
      <c r="F6" s="4" t="s">
        <v>271</v>
      </c>
      <c r="G6" s="2">
        <v>45577</v>
      </c>
      <c r="H6" t="s">
        <v>18</v>
      </c>
      <c r="I6" t="s">
        <v>19</v>
      </c>
      <c r="J6" s="3">
        <v>350000</v>
      </c>
    </row>
    <row r="7" spans="1:10" x14ac:dyDescent="0.25">
      <c r="A7" t="s">
        <v>20</v>
      </c>
      <c r="B7" t="s">
        <v>251</v>
      </c>
      <c r="C7" s="2">
        <v>33716</v>
      </c>
      <c r="D7" t="s">
        <v>43</v>
      </c>
      <c r="E7" t="s">
        <v>383</v>
      </c>
      <c r="F7" s="4" t="s">
        <v>272</v>
      </c>
      <c r="G7" s="2">
        <v>45626</v>
      </c>
      <c r="H7" t="s">
        <v>21</v>
      </c>
      <c r="I7" t="s">
        <v>264</v>
      </c>
      <c r="J7" s="3">
        <v>180000</v>
      </c>
    </row>
    <row r="8" spans="1:10" x14ac:dyDescent="0.25">
      <c r="A8" t="s">
        <v>22</v>
      </c>
      <c r="B8" t="s">
        <v>23</v>
      </c>
      <c r="C8" s="2">
        <v>34278</v>
      </c>
      <c r="D8" t="s">
        <v>8</v>
      </c>
      <c r="E8" t="s">
        <v>384</v>
      </c>
      <c r="F8" s="4" t="s">
        <v>273</v>
      </c>
      <c r="G8" s="2">
        <v>45303</v>
      </c>
      <c r="H8" t="s">
        <v>24</v>
      </c>
      <c r="I8" t="s">
        <v>25</v>
      </c>
      <c r="J8" s="3">
        <v>95000</v>
      </c>
    </row>
    <row r="9" spans="1:10" x14ac:dyDescent="0.25">
      <c r="A9" t="s">
        <v>26</v>
      </c>
      <c r="B9" t="s">
        <v>252</v>
      </c>
      <c r="C9" s="2">
        <v>32739</v>
      </c>
      <c r="D9" t="s">
        <v>43</v>
      </c>
      <c r="E9" t="s">
        <v>385</v>
      </c>
      <c r="F9" s="4" t="s">
        <v>274</v>
      </c>
      <c r="G9" s="2">
        <v>45644</v>
      </c>
      <c r="H9" t="s">
        <v>27</v>
      </c>
      <c r="I9" t="s">
        <v>263</v>
      </c>
      <c r="J9" s="3">
        <v>45000</v>
      </c>
    </row>
    <row r="10" spans="1:10" x14ac:dyDescent="0.25">
      <c r="A10" t="s">
        <v>28</v>
      </c>
      <c r="B10" t="s">
        <v>29</v>
      </c>
      <c r="C10" s="2">
        <v>33340</v>
      </c>
      <c r="D10" t="s">
        <v>8</v>
      </c>
      <c r="E10" t="s">
        <v>386</v>
      </c>
      <c r="F10" s="4" t="s">
        <v>275</v>
      </c>
      <c r="G10" s="2">
        <v>45563</v>
      </c>
      <c r="H10" t="s">
        <v>30</v>
      </c>
      <c r="I10" t="s">
        <v>19</v>
      </c>
      <c r="J10" s="3">
        <v>450000</v>
      </c>
    </row>
    <row r="11" spans="1:10" x14ac:dyDescent="0.25">
      <c r="A11" t="s">
        <v>31</v>
      </c>
      <c r="B11" t="s">
        <v>253</v>
      </c>
      <c r="C11" s="2">
        <v>35033</v>
      </c>
      <c r="D11" t="s">
        <v>43</v>
      </c>
      <c r="E11" t="s">
        <v>387</v>
      </c>
      <c r="F11" s="4" t="s">
        <v>276</v>
      </c>
      <c r="G11" s="2">
        <v>45424</v>
      </c>
      <c r="H11" t="s">
        <v>32</v>
      </c>
      <c r="I11" t="s">
        <v>264</v>
      </c>
      <c r="J11" s="3">
        <v>35000</v>
      </c>
    </row>
    <row r="12" spans="1:10" x14ac:dyDescent="0.25">
      <c r="A12" t="s">
        <v>33</v>
      </c>
      <c r="B12" t="s">
        <v>254</v>
      </c>
      <c r="C12" s="2">
        <v>32708</v>
      </c>
      <c r="D12" t="s">
        <v>8</v>
      </c>
      <c r="E12" t="s">
        <v>388</v>
      </c>
      <c r="F12" s="4" t="s">
        <v>277</v>
      </c>
      <c r="G12" s="2">
        <v>45621</v>
      </c>
      <c r="H12" t="s">
        <v>34</v>
      </c>
      <c r="I12" t="s">
        <v>25</v>
      </c>
      <c r="J12" s="3">
        <v>125000</v>
      </c>
    </row>
    <row r="13" spans="1:10" x14ac:dyDescent="0.25">
      <c r="A13" t="s">
        <v>35</v>
      </c>
      <c r="B13" t="s">
        <v>36</v>
      </c>
      <c r="C13" s="2">
        <v>33662</v>
      </c>
      <c r="D13" t="s">
        <v>43</v>
      </c>
      <c r="E13" t="s">
        <v>37</v>
      </c>
      <c r="F13" s="4" t="s">
        <v>278</v>
      </c>
      <c r="G13" s="2">
        <v>45638</v>
      </c>
      <c r="H13" t="s">
        <v>11</v>
      </c>
      <c r="I13" t="s">
        <v>263</v>
      </c>
      <c r="J13" s="3">
        <v>75000</v>
      </c>
    </row>
    <row r="14" spans="1:10" x14ac:dyDescent="0.25">
      <c r="A14" t="s">
        <v>38</v>
      </c>
      <c r="B14" t="s">
        <v>39</v>
      </c>
      <c r="C14" s="2">
        <v>31544</v>
      </c>
      <c r="D14" t="s">
        <v>8</v>
      </c>
      <c r="E14" t="s">
        <v>40</v>
      </c>
      <c r="F14" s="4" t="s">
        <v>279</v>
      </c>
      <c r="G14" s="2">
        <v>45641</v>
      </c>
      <c r="H14" t="s">
        <v>9</v>
      </c>
      <c r="I14" t="s">
        <v>19</v>
      </c>
      <c r="J14" s="3">
        <v>165000</v>
      </c>
    </row>
    <row r="15" spans="1:10" x14ac:dyDescent="0.25">
      <c r="A15" t="s">
        <v>41</v>
      </c>
      <c r="B15" t="s">
        <v>42</v>
      </c>
      <c r="C15" s="2">
        <v>32389</v>
      </c>
      <c r="D15" t="s">
        <v>43</v>
      </c>
      <c r="E15" t="s">
        <v>44</v>
      </c>
      <c r="F15" s="4" t="s">
        <v>280</v>
      </c>
      <c r="G15" s="2">
        <v>45614</v>
      </c>
      <c r="H15" t="s">
        <v>45</v>
      </c>
      <c r="I15" t="s">
        <v>265</v>
      </c>
      <c r="J15" s="3">
        <v>310000</v>
      </c>
    </row>
    <row r="16" spans="1:10" x14ac:dyDescent="0.25">
      <c r="A16" t="s">
        <v>46</v>
      </c>
      <c r="B16" t="s">
        <v>47</v>
      </c>
      <c r="C16" s="2">
        <v>34540</v>
      </c>
      <c r="D16" t="s">
        <v>8</v>
      </c>
      <c r="E16" t="s">
        <v>48</v>
      </c>
      <c r="F16" s="4" t="s">
        <v>281</v>
      </c>
      <c r="G16" s="2">
        <v>45648</v>
      </c>
      <c r="H16" t="s">
        <v>18</v>
      </c>
      <c r="I16" t="s">
        <v>25</v>
      </c>
      <c r="J16" s="3">
        <v>280000</v>
      </c>
    </row>
    <row r="17" spans="1:10" x14ac:dyDescent="0.25">
      <c r="A17" t="s">
        <v>49</v>
      </c>
      <c r="B17" t="s">
        <v>50</v>
      </c>
      <c r="C17" s="2">
        <v>35078</v>
      </c>
      <c r="D17" t="s">
        <v>43</v>
      </c>
      <c r="E17" t="s">
        <v>51</v>
      </c>
      <c r="F17" s="4" t="s">
        <v>282</v>
      </c>
      <c r="G17" s="2">
        <v>45595</v>
      </c>
      <c r="H17" t="s">
        <v>21</v>
      </c>
      <c r="I17" t="s">
        <v>263</v>
      </c>
      <c r="J17" s="3">
        <v>195000</v>
      </c>
    </row>
    <row r="18" spans="1:10" x14ac:dyDescent="0.25">
      <c r="A18" t="s">
        <v>52</v>
      </c>
      <c r="B18" t="s">
        <v>53</v>
      </c>
      <c r="C18" s="2">
        <v>31016</v>
      </c>
      <c r="D18" t="s">
        <v>8</v>
      </c>
      <c r="E18" t="s">
        <v>54</v>
      </c>
      <c r="F18" s="4" t="s">
        <v>283</v>
      </c>
      <c r="G18" s="2">
        <v>45516</v>
      </c>
      <c r="H18" t="s">
        <v>27</v>
      </c>
      <c r="I18" t="s">
        <v>19</v>
      </c>
      <c r="J18" s="3">
        <v>52000</v>
      </c>
    </row>
    <row r="19" spans="1:10" x14ac:dyDescent="0.25">
      <c r="A19" t="s">
        <v>55</v>
      </c>
      <c r="B19" t="s">
        <v>56</v>
      </c>
      <c r="C19" s="2">
        <v>33377</v>
      </c>
      <c r="D19" t="s">
        <v>43</v>
      </c>
      <c r="E19" t="s">
        <v>57</v>
      </c>
      <c r="F19" s="4" t="s">
        <v>284</v>
      </c>
      <c r="G19" s="2">
        <v>45654</v>
      </c>
      <c r="H19" t="s">
        <v>32</v>
      </c>
      <c r="I19" t="s">
        <v>264</v>
      </c>
      <c r="J19" s="3">
        <v>38000</v>
      </c>
    </row>
    <row r="20" spans="1:10" x14ac:dyDescent="0.25">
      <c r="A20" t="s">
        <v>58</v>
      </c>
      <c r="B20" t="s">
        <v>59</v>
      </c>
      <c r="C20" s="2">
        <v>34235</v>
      </c>
      <c r="D20" t="s">
        <v>8</v>
      </c>
      <c r="E20" t="s">
        <v>60</v>
      </c>
      <c r="F20" s="4" t="s">
        <v>285</v>
      </c>
      <c r="G20" s="2">
        <v>45550</v>
      </c>
      <c r="H20" t="s">
        <v>30</v>
      </c>
      <c r="I20" t="s">
        <v>25</v>
      </c>
      <c r="J20" s="3">
        <v>490000</v>
      </c>
    </row>
    <row r="21" spans="1:10" x14ac:dyDescent="0.25">
      <c r="A21" t="s">
        <v>61</v>
      </c>
      <c r="B21" t="s">
        <v>62</v>
      </c>
      <c r="C21" s="2">
        <v>32112</v>
      </c>
      <c r="D21" t="s">
        <v>43</v>
      </c>
      <c r="E21" t="s">
        <v>389</v>
      </c>
      <c r="F21" s="4" t="s">
        <v>286</v>
      </c>
      <c r="G21" s="2">
        <v>45626</v>
      </c>
      <c r="H21" t="s">
        <v>63</v>
      </c>
      <c r="I21" t="s">
        <v>263</v>
      </c>
      <c r="J21" s="3">
        <v>88000</v>
      </c>
    </row>
    <row r="22" spans="1:10" x14ac:dyDescent="0.25">
      <c r="A22" t="s">
        <v>64</v>
      </c>
      <c r="B22" t="s">
        <v>255</v>
      </c>
      <c r="C22" s="2">
        <v>34502</v>
      </c>
      <c r="D22" t="s">
        <v>43</v>
      </c>
      <c r="E22" t="s">
        <v>390</v>
      </c>
      <c r="F22" s="4" t="s">
        <v>287</v>
      </c>
      <c r="G22" s="2">
        <v>45577</v>
      </c>
      <c r="H22" t="s">
        <v>9</v>
      </c>
      <c r="I22" t="s">
        <v>19</v>
      </c>
      <c r="J22" s="3">
        <v>142000</v>
      </c>
    </row>
    <row r="23" spans="1:10" x14ac:dyDescent="0.25">
      <c r="A23" t="s">
        <v>65</v>
      </c>
      <c r="B23" t="s">
        <v>66</v>
      </c>
      <c r="C23" s="2">
        <v>31501</v>
      </c>
      <c r="D23" t="s">
        <v>8</v>
      </c>
      <c r="E23" t="s">
        <v>67</v>
      </c>
      <c r="F23" s="4" t="s">
        <v>288</v>
      </c>
      <c r="G23" s="2">
        <v>45618</v>
      </c>
      <c r="H23" t="s">
        <v>11</v>
      </c>
      <c r="I23" t="s">
        <v>265</v>
      </c>
      <c r="J23" s="3">
        <v>68000</v>
      </c>
    </row>
    <row r="24" spans="1:10" x14ac:dyDescent="0.25">
      <c r="A24" t="s">
        <v>68</v>
      </c>
      <c r="B24" t="s">
        <v>69</v>
      </c>
      <c r="C24" s="2">
        <v>33110</v>
      </c>
      <c r="D24" t="s">
        <v>43</v>
      </c>
      <c r="E24" t="s">
        <v>70</v>
      </c>
      <c r="F24" s="4" t="s">
        <v>289</v>
      </c>
      <c r="G24" s="2">
        <v>45644</v>
      </c>
      <c r="H24" t="s">
        <v>13</v>
      </c>
      <c r="I24" t="s">
        <v>25</v>
      </c>
      <c r="J24" s="3">
        <v>235000</v>
      </c>
    </row>
    <row r="25" spans="1:10" x14ac:dyDescent="0.25">
      <c r="A25" t="s">
        <v>71</v>
      </c>
      <c r="B25" t="s">
        <v>72</v>
      </c>
      <c r="C25" s="2">
        <v>30655</v>
      </c>
      <c r="D25" t="s">
        <v>8</v>
      </c>
      <c r="E25" t="s">
        <v>73</v>
      </c>
      <c r="F25" s="4" t="s">
        <v>290</v>
      </c>
      <c r="G25" s="2">
        <v>45636</v>
      </c>
      <c r="H25" t="s">
        <v>18</v>
      </c>
      <c r="I25" t="s">
        <v>263</v>
      </c>
      <c r="J25" s="3">
        <v>320000</v>
      </c>
    </row>
    <row r="26" spans="1:10" x14ac:dyDescent="0.25">
      <c r="A26" t="s">
        <v>74</v>
      </c>
      <c r="B26" t="s">
        <v>75</v>
      </c>
      <c r="C26" s="2">
        <v>35475</v>
      </c>
      <c r="D26" t="s">
        <v>43</v>
      </c>
      <c r="E26" t="s">
        <v>76</v>
      </c>
      <c r="F26" s="4" t="s">
        <v>291</v>
      </c>
      <c r="G26" s="2">
        <v>45303</v>
      </c>
      <c r="H26" t="s">
        <v>21</v>
      </c>
      <c r="I26" t="s">
        <v>19</v>
      </c>
      <c r="J26" s="3">
        <v>175000</v>
      </c>
    </row>
    <row r="27" spans="1:10" x14ac:dyDescent="0.25">
      <c r="A27" t="s">
        <v>77</v>
      </c>
      <c r="B27" t="s">
        <v>78</v>
      </c>
      <c r="C27" s="2">
        <v>31159</v>
      </c>
      <c r="D27" t="s">
        <v>8</v>
      </c>
      <c r="E27" t="s">
        <v>79</v>
      </c>
      <c r="F27" s="4" t="s">
        <v>292</v>
      </c>
      <c r="G27" s="2">
        <v>45621</v>
      </c>
      <c r="H27" t="s">
        <v>27</v>
      </c>
      <c r="I27" t="s">
        <v>265</v>
      </c>
      <c r="J27" s="3">
        <v>48000</v>
      </c>
    </row>
    <row r="28" spans="1:10" x14ac:dyDescent="0.25">
      <c r="A28" t="s">
        <v>80</v>
      </c>
      <c r="B28" t="s">
        <v>81</v>
      </c>
      <c r="C28" s="2">
        <v>32823</v>
      </c>
      <c r="D28" t="s">
        <v>43</v>
      </c>
      <c r="E28" t="s">
        <v>82</v>
      </c>
      <c r="F28" s="4" t="s">
        <v>293</v>
      </c>
      <c r="G28" s="2">
        <v>45646</v>
      </c>
      <c r="H28" t="s">
        <v>32</v>
      </c>
      <c r="I28" t="s">
        <v>25</v>
      </c>
      <c r="J28" s="3">
        <v>42000</v>
      </c>
    </row>
    <row r="29" spans="1:10" x14ac:dyDescent="0.25">
      <c r="A29" t="s">
        <v>83</v>
      </c>
      <c r="B29" t="s">
        <v>84</v>
      </c>
      <c r="C29" s="2">
        <v>33793</v>
      </c>
      <c r="D29" t="s">
        <v>8</v>
      </c>
      <c r="E29" t="s">
        <v>85</v>
      </c>
      <c r="F29" s="4" t="s">
        <v>294</v>
      </c>
      <c r="G29" s="2">
        <v>45656</v>
      </c>
      <c r="H29" t="s">
        <v>30</v>
      </c>
      <c r="I29" t="s">
        <v>263</v>
      </c>
      <c r="J29" s="3">
        <v>510000</v>
      </c>
    </row>
    <row r="30" spans="1:10" x14ac:dyDescent="0.25">
      <c r="A30" t="s">
        <v>86</v>
      </c>
      <c r="B30" t="s">
        <v>87</v>
      </c>
      <c r="C30" s="2">
        <v>29856</v>
      </c>
      <c r="D30" t="s">
        <v>43</v>
      </c>
      <c r="E30" t="s">
        <v>88</v>
      </c>
      <c r="F30" s="4" t="s">
        <v>295</v>
      </c>
      <c r="G30" s="2">
        <v>45584</v>
      </c>
      <c r="H30" t="s">
        <v>24</v>
      </c>
      <c r="I30" t="s">
        <v>19</v>
      </c>
      <c r="J30" s="3">
        <v>92000</v>
      </c>
    </row>
    <row r="31" spans="1:10" x14ac:dyDescent="0.25">
      <c r="A31" t="s">
        <v>89</v>
      </c>
      <c r="B31" t="s">
        <v>90</v>
      </c>
      <c r="C31" s="2">
        <v>34777</v>
      </c>
      <c r="D31" t="s">
        <v>8</v>
      </c>
      <c r="E31" t="s">
        <v>91</v>
      </c>
      <c r="F31" s="4" t="s">
        <v>296</v>
      </c>
      <c r="G31" s="2">
        <v>45638</v>
      </c>
      <c r="H31" t="s">
        <v>9</v>
      </c>
      <c r="I31" t="s">
        <v>264</v>
      </c>
      <c r="J31" s="3">
        <v>158000</v>
      </c>
    </row>
    <row r="32" spans="1:10" x14ac:dyDescent="0.25">
      <c r="A32" t="s">
        <v>92</v>
      </c>
      <c r="B32" t="s">
        <v>256</v>
      </c>
      <c r="C32" s="2">
        <v>32055</v>
      </c>
      <c r="D32" t="s">
        <v>8</v>
      </c>
      <c r="E32" t="s">
        <v>93</v>
      </c>
      <c r="F32" s="4" t="s">
        <v>297</v>
      </c>
      <c r="G32" s="2">
        <v>45624</v>
      </c>
      <c r="H32" t="s">
        <v>11</v>
      </c>
      <c r="I32" t="s">
        <v>25</v>
      </c>
      <c r="J32" s="3">
        <v>72000</v>
      </c>
    </row>
    <row r="33" spans="1:10" x14ac:dyDescent="0.25">
      <c r="A33" t="s">
        <v>94</v>
      </c>
      <c r="B33" t="s">
        <v>95</v>
      </c>
      <c r="C33" s="2">
        <v>33219</v>
      </c>
      <c r="D33" t="s">
        <v>43</v>
      </c>
      <c r="E33" t="s">
        <v>96</v>
      </c>
      <c r="F33" s="4" t="s">
        <v>298</v>
      </c>
      <c r="G33" s="2">
        <v>45641</v>
      </c>
      <c r="H33" t="s">
        <v>18</v>
      </c>
      <c r="I33" t="s">
        <v>263</v>
      </c>
      <c r="J33" s="3">
        <v>345000</v>
      </c>
    </row>
    <row r="34" spans="1:10" x14ac:dyDescent="0.25">
      <c r="A34" t="s">
        <v>97</v>
      </c>
      <c r="B34" t="s">
        <v>98</v>
      </c>
      <c r="C34" s="2">
        <v>31583</v>
      </c>
      <c r="D34" t="s">
        <v>8</v>
      </c>
      <c r="E34" t="s">
        <v>99</v>
      </c>
      <c r="F34" s="4" t="s">
        <v>299</v>
      </c>
      <c r="G34" s="2">
        <v>45424</v>
      </c>
      <c r="H34" t="s">
        <v>21</v>
      </c>
      <c r="I34" t="s">
        <v>19</v>
      </c>
      <c r="J34" s="3">
        <v>165000</v>
      </c>
    </row>
    <row r="35" spans="1:10" x14ac:dyDescent="0.25">
      <c r="A35" t="s">
        <v>100</v>
      </c>
      <c r="B35" t="s">
        <v>101</v>
      </c>
      <c r="C35" s="2">
        <v>33972</v>
      </c>
      <c r="D35" t="s">
        <v>43</v>
      </c>
      <c r="E35" t="s">
        <v>102</v>
      </c>
      <c r="F35" s="4" t="s">
        <v>300</v>
      </c>
      <c r="G35" s="2">
        <v>45616</v>
      </c>
      <c r="H35" t="s">
        <v>27</v>
      </c>
      <c r="I35" t="s">
        <v>264</v>
      </c>
      <c r="J35" s="3">
        <v>55000</v>
      </c>
    </row>
    <row r="36" spans="1:10" x14ac:dyDescent="0.25">
      <c r="A36" t="s">
        <v>103</v>
      </c>
      <c r="B36" t="s">
        <v>104</v>
      </c>
      <c r="C36" s="2">
        <v>35687</v>
      </c>
      <c r="D36" t="s">
        <v>8</v>
      </c>
      <c r="E36" t="s">
        <v>105</v>
      </c>
      <c r="F36" s="4" t="s">
        <v>301</v>
      </c>
      <c r="G36" s="2">
        <v>45651</v>
      </c>
      <c r="H36" t="s">
        <v>32</v>
      </c>
      <c r="I36" t="s">
        <v>25</v>
      </c>
      <c r="J36" s="3">
        <v>39500</v>
      </c>
    </row>
    <row r="37" spans="1:10" x14ac:dyDescent="0.25">
      <c r="A37" t="s">
        <v>106</v>
      </c>
      <c r="B37" t="s">
        <v>107</v>
      </c>
      <c r="C37" s="2">
        <v>30797</v>
      </c>
      <c r="D37" t="s">
        <v>43</v>
      </c>
      <c r="E37" t="s">
        <v>108</v>
      </c>
      <c r="F37" s="4" t="s">
        <v>302</v>
      </c>
      <c r="G37" s="2">
        <v>45514</v>
      </c>
      <c r="H37" t="s">
        <v>13</v>
      </c>
      <c r="I37" t="s">
        <v>263</v>
      </c>
      <c r="J37" s="3">
        <v>275000</v>
      </c>
    </row>
    <row r="38" spans="1:10" x14ac:dyDescent="0.25">
      <c r="A38" t="s">
        <v>109</v>
      </c>
      <c r="B38" t="s">
        <v>110</v>
      </c>
      <c r="C38" s="2">
        <v>33449</v>
      </c>
      <c r="D38" t="s">
        <v>8</v>
      </c>
      <c r="E38" t="s">
        <v>111</v>
      </c>
      <c r="F38" s="4" t="s">
        <v>303</v>
      </c>
      <c r="G38" s="2">
        <v>45363</v>
      </c>
      <c r="H38" t="s">
        <v>30</v>
      </c>
      <c r="I38" t="s">
        <v>19</v>
      </c>
      <c r="J38" s="3">
        <v>465000</v>
      </c>
    </row>
    <row r="39" spans="1:10" x14ac:dyDescent="0.25">
      <c r="A39" t="s">
        <v>112</v>
      </c>
      <c r="B39" t="s">
        <v>113</v>
      </c>
      <c r="C39" s="2">
        <v>32465</v>
      </c>
      <c r="D39" t="s">
        <v>43</v>
      </c>
      <c r="E39" t="s">
        <v>114</v>
      </c>
      <c r="F39" s="4" t="s">
        <v>304</v>
      </c>
      <c r="G39" s="2">
        <v>45644</v>
      </c>
      <c r="H39" t="s">
        <v>9</v>
      </c>
      <c r="I39" t="s">
        <v>265</v>
      </c>
      <c r="J39" s="3">
        <v>148000</v>
      </c>
    </row>
    <row r="40" spans="1:10" x14ac:dyDescent="0.25">
      <c r="A40" t="s">
        <v>115</v>
      </c>
      <c r="B40" t="s">
        <v>116</v>
      </c>
      <c r="C40" s="2">
        <v>34393</v>
      </c>
      <c r="D40" t="s">
        <v>8</v>
      </c>
      <c r="E40" t="s">
        <v>117</v>
      </c>
      <c r="F40" s="4" t="s">
        <v>305</v>
      </c>
      <c r="G40" s="2">
        <v>45611</v>
      </c>
      <c r="H40" t="s">
        <v>11</v>
      </c>
      <c r="I40" t="s">
        <v>25</v>
      </c>
      <c r="J40" s="3">
        <v>88000</v>
      </c>
    </row>
    <row r="41" spans="1:10" x14ac:dyDescent="0.25">
      <c r="A41" t="s">
        <v>118</v>
      </c>
      <c r="B41" t="s">
        <v>119</v>
      </c>
      <c r="C41" s="2">
        <v>30234</v>
      </c>
      <c r="D41" t="s">
        <v>43</v>
      </c>
      <c r="E41" t="s">
        <v>120</v>
      </c>
      <c r="F41" s="4" t="s">
        <v>306</v>
      </c>
      <c r="G41" s="2">
        <v>45648</v>
      </c>
      <c r="H41" t="s">
        <v>18</v>
      </c>
      <c r="I41" t="s">
        <v>263</v>
      </c>
      <c r="J41" s="3">
        <v>310000</v>
      </c>
    </row>
    <row r="42" spans="1:10" x14ac:dyDescent="0.25">
      <c r="A42" t="s">
        <v>121</v>
      </c>
      <c r="B42" t="s">
        <v>257</v>
      </c>
      <c r="C42" s="2">
        <v>35190</v>
      </c>
      <c r="D42" t="s">
        <v>8</v>
      </c>
      <c r="E42" t="s">
        <v>122</v>
      </c>
      <c r="F42" s="4" t="s">
        <v>307</v>
      </c>
      <c r="G42" s="2">
        <v>45565</v>
      </c>
      <c r="H42" t="s">
        <v>21</v>
      </c>
      <c r="I42" t="s">
        <v>19</v>
      </c>
      <c r="J42" s="3">
        <v>195000</v>
      </c>
    </row>
    <row r="43" spans="1:10" x14ac:dyDescent="0.25">
      <c r="A43" t="s">
        <v>123</v>
      </c>
      <c r="B43" t="s">
        <v>124</v>
      </c>
      <c r="C43" s="2">
        <v>32843</v>
      </c>
      <c r="D43" t="s">
        <v>43</v>
      </c>
      <c r="E43" t="s">
        <v>125</v>
      </c>
      <c r="F43" s="4" t="s">
        <v>308</v>
      </c>
      <c r="G43" s="2">
        <v>45577</v>
      </c>
      <c r="H43" t="s">
        <v>27</v>
      </c>
      <c r="I43" t="s">
        <v>264</v>
      </c>
      <c r="J43" s="3">
        <v>62000</v>
      </c>
    </row>
    <row r="44" spans="1:10" x14ac:dyDescent="0.25">
      <c r="A44" t="s">
        <v>126</v>
      </c>
      <c r="B44" t="s">
        <v>127</v>
      </c>
      <c r="C44" s="2">
        <v>34200</v>
      </c>
      <c r="D44" t="s">
        <v>8</v>
      </c>
      <c r="E44" t="s">
        <v>128</v>
      </c>
      <c r="F44" s="4" t="s">
        <v>309</v>
      </c>
      <c r="G44" s="2">
        <v>45637</v>
      </c>
      <c r="H44" t="s">
        <v>32</v>
      </c>
      <c r="I44" t="s">
        <v>25</v>
      </c>
      <c r="J44" s="3">
        <v>41000</v>
      </c>
    </row>
    <row r="45" spans="1:10" x14ac:dyDescent="0.25">
      <c r="A45" t="s">
        <v>129</v>
      </c>
      <c r="B45" t="s">
        <v>130</v>
      </c>
      <c r="C45" s="2">
        <v>31069</v>
      </c>
      <c r="D45" t="s">
        <v>43</v>
      </c>
      <c r="E45" t="s">
        <v>131</v>
      </c>
      <c r="F45" s="4" t="s">
        <v>310</v>
      </c>
      <c r="G45" s="2">
        <v>45654</v>
      </c>
      <c r="H45" t="s">
        <v>45</v>
      </c>
      <c r="I45" t="s">
        <v>263</v>
      </c>
      <c r="J45" s="3">
        <v>345000</v>
      </c>
    </row>
    <row r="46" spans="1:10" x14ac:dyDescent="0.25">
      <c r="A46" t="s">
        <v>132</v>
      </c>
      <c r="B46" t="s">
        <v>133</v>
      </c>
      <c r="C46" s="2">
        <v>35960</v>
      </c>
      <c r="D46" t="s">
        <v>8</v>
      </c>
      <c r="E46" t="s">
        <v>134</v>
      </c>
      <c r="F46" s="4" t="s">
        <v>311</v>
      </c>
      <c r="G46" s="2">
        <v>45621</v>
      </c>
      <c r="H46" t="s">
        <v>9</v>
      </c>
      <c r="I46" t="s">
        <v>19</v>
      </c>
      <c r="J46" s="3">
        <v>162000</v>
      </c>
    </row>
    <row r="47" spans="1:10" x14ac:dyDescent="0.25">
      <c r="A47" t="s">
        <v>135</v>
      </c>
      <c r="B47" t="s">
        <v>136</v>
      </c>
      <c r="C47" s="2">
        <v>31876</v>
      </c>
      <c r="D47" t="s">
        <v>43</v>
      </c>
      <c r="E47" t="s">
        <v>137</v>
      </c>
      <c r="F47" s="4" t="s">
        <v>312</v>
      </c>
      <c r="G47" s="2">
        <v>45641</v>
      </c>
      <c r="H47" t="s">
        <v>11</v>
      </c>
      <c r="I47" t="s">
        <v>264</v>
      </c>
      <c r="J47" s="3">
        <v>75000</v>
      </c>
    </row>
    <row r="48" spans="1:10" x14ac:dyDescent="0.25">
      <c r="A48" t="s">
        <v>138</v>
      </c>
      <c r="B48" t="s">
        <v>139</v>
      </c>
      <c r="C48" s="2">
        <v>33532</v>
      </c>
      <c r="D48" t="s">
        <v>8</v>
      </c>
      <c r="E48" t="s">
        <v>140</v>
      </c>
      <c r="F48" s="4" t="s">
        <v>313</v>
      </c>
      <c r="G48" s="2">
        <v>45585</v>
      </c>
      <c r="H48" t="s">
        <v>18</v>
      </c>
      <c r="I48" t="s">
        <v>25</v>
      </c>
      <c r="J48" s="3">
        <v>290000</v>
      </c>
    </row>
    <row r="49" spans="1:10" x14ac:dyDescent="0.25">
      <c r="A49" t="s">
        <v>141</v>
      </c>
      <c r="B49" t="s">
        <v>142</v>
      </c>
      <c r="C49" s="2">
        <v>34420</v>
      </c>
      <c r="D49" t="s">
        <v>43</v>
      </c>
      <c r="E49" t="s">
        <v>143</v>
      </c>
      <c r="F49" s="4" t="s">
        <v>314</v>
      </c>
      <c r="G49" s="2">
        <v>45424</v>
      </c>
      <c r="H49" t="s">
        <v>21</v>
      </c>
      <c r="I49" t="s">
        <v>263</v>
      </c>
      <c r="J49" s="3">
        <v>185000</v>
      </c>
    </row>
    <row r="50" spans="1:10" x14ac:dyDescent="0.25">
      <c r="A50" t="s">
        <v>144</v>
      </c>
      <c r="B50" t="s">
        <v>145</v>
      </c>
      <c r="C50" s="2">
        <v>32705</v>
      </c>
      <c r="D50" t="s">
        <v>8</v>
      </c>
      <c r="E50" t="s">
        <v>146</v>
      </c>
      <c r="F50" s="4" t="s">
        <v>315</v>
      </c>
      <c r="G50" s="2">
        <v>45303</v>
      </c>
      <c r="H50" t="s">
        <v>30</v>
      </c>
      <c r="I50" t="s">
        <v>19</v>
      </c>
      <c r="J50" s="3">
        <v>475000</v>
      </c>
    </row>
    <row r="51" spans="1:10" x14ac:dyDescent="0.25">
      <c r="A51" t="s">
        <v>147</v>
      </c>
      <c r="B51" t="s">
        <v>148</v>
      </c>
      <c r="C51" s="2">
        <v>33911</v>
      </c>
      <c r="D51" t="s">
        <v>43</v>
      </c>
      <c r="E51" t="s">
        <v>120</v>
      </c>
      <c r="F51" s="4" t="s">
        <v>316</v>
      </c>
      <c r="G51" s="2">
        <v>45614</v>
      </c>
      <c r="H51" t="s">
        <v>27</v>
      </c>
      <c r="I51" t="s">
        <v>265</v>
      </c>
      <c r="J51" s="3">
        <v>58000</v>
      </c>
    </row>
    <row r="52" spans="1:10" x14ac:dyDescent="0.25">
      <c r="A52" t="s">
        <v>149</v>
      </c>
      <c r="B52" t="s">
        <v>150</v>
      </c>
      <c r="C52" s="2">
        <v>31674</v>
      </c>
      <c r="D52" t="s">
        <v>8</v>
      </c>
      <c r="E52" t="s">
        <v>122</v>
      </c>
      <c r="F52" s="4" t="s">
        <v>317</v>
      </c>
      <c r="G52" s="2">
        <v>45646</v>
      </c>
      <c r="H52" t="s">
        <v>32</v>
      </c>
      <c r="I52" t="s">
        <v>25</v>
      </c>
      <c r="J52" s="3">
        <v>36500</v>
      </c>
    </row>
    <row r="53" spans="1:10" x14ac:dyDescent="0.25">
      <c r="A53" t="s">
        <v>151</v>
      </c>
      <c r="B53" t="s">
        <v>152</v>
      </c>
      <c r="C53" s="2">
        <v>35063</v>
      </c>
      <c r="D53" t="s">
        <v>43</v>
      </c>
      <c r="E53" t="s">
        <v>125</v>
      </c>
      <c r="F53" s="4" t="s">
        <v>318</v>
      </c>
      <c r="G53" s="2">
        <v>45654</v>
      </c>
      <c r="H53" t="s">
        <v>9</v>
      </c>
      <c r="I53" t="s">
        <v>263</v>
      </c>
      <c r="J53" s="3">
        <v>155000</v>
      </c>
    </row>
    <row r="54" spans="1:10" x14ac:dyDescent="0.25">
      <c r="A54" t="s">
        <v>153</v>
      </c>
      <c r="B54" t="s">
        <v>154</v>
      </c>
      <c r="C54" s="2">
        <v>30361</v>
      </c>
      <c r="D54" t="s">
        <v>8</v>
      </c>
      <c r="E54" t="s">
        <v>128</v>
      </c>
      <c r="F54" s="4" t="s">
        <v>319</v>
      </c>
      <c r="G54" s="2">
        <v>45423</v>
      </c>
      <c r="H54" t="s">
        <v>11</v>
      </c>
      <c r="I54" t="s">
        <v>19</v>
      </c>
      <c r="J54" s="3">
        <v>82000</v>
      </c>
    </row>
    <row r="55" spans="1:10" x14ac:dyDescent="0.25">
      <c r="A55" t="s">
        <v>155</v>
      </c>
      <c r="B55" t="s">
        <v>156</v>
      </c>
      <c r="C55" s="2">
        <v>35527</v>
      </c>
      <c r="D55" t="s">
        <v>43</v>
      </c>
      <c r="E55" t="s">
        <v>131</v>
      </c>
      <c r="F55" s="4" t="s">
        <v>320</v>
      </c>
      <c r="G55" s="2">
        <v>45638</v>
      </c>
      <c r="H55" t="s">
        <v>18</v>
      </c>
      <c r="I55" t="s">
        <v>264</v>
      </c>
      <c r="J55" s="3">
        <v>335000</v>
      </c>
    </row>
    <row r="56" spans="1:10" x14ac:dyDescent="0.25">
      <c r="A56" t="s">
        <v>157</v>
      </c>
      <c r="B56" t="s">
        <v>158</v>
      </c>
      <c r="C56" s="2">
        <v>33202</v>
      </c>
      <c r="D56" t="s">
        <v>8</v>
      </c>
      <c r="E56" t="s">
        <v>134</v>
      </c>
      <c r="F56" s="4" t="s">
        <v>321</v>
      </c>
      <c r="G56" s="2">
        <v>45626</v>
      </c>
      <c r="H56" t="s">
        <v>21</v>
      </c>
      <c r="I56" t="s">
        <v>25</v>
      </c>
      <c r="J56" s="3">
        <v>205000</v>
      </c>
    </row>
    <row r="57" spans="1:10" x14ac:dyDescent="0.25">
      <c r="A57" t="s">
        <v>159</v>
      </c>
      <c r="B57" t="s">
        <v>160</v>
      </c>
      <c r="C57" s="2">
        <v>32312</v>
      </c>
      <c r="D57" t="s">
        <v>43</v>
      </c>
      <c r="E57" t="s">
        <v>137</v>
      </c>
      <c r="F57" s="4" t="s">
        <v>322</v>
      </c>
      <c r="G57" s="2">
        <v>45645</v>
      </c>
      <c r="H57" t="s">
        <v>27</v>
      </c>
      <c r="I57" t="s">
        <v>263</v>
      </c>
      <c r="J57" s="3">
        <v>49000</v>
      </c>
    </row>
    <row r="58" spans="1:10" x14ac:dyDescent="0.25">
      <c r="A58" t="s">
        <v>161</v>
      </c>
      <c r="B58" t="s">
        <v>162</v>
      </c>
      <c r="C58" s="2">
        <v>34000</v>
      </c>
      <c r="D58" t="s">
        <v>8</v>
      </c>
      <c r="E58" t="s">
        <v>140</v>
      </c>
      <c r="F58" s="4" t="s">
        <v>323</v>
      </c>
      <c r="G58" s="2">
        <v>45516</v>
      </c>
      <c r="H58" t="s">
        <v>32</v>
      </c>
      <c r="I58" t="s">
        <v>19</v>
      </c>
      <c r="J58" s="3">
        <v>44500</v>
      </c>
    </row>
    <row r="59" spans="1:10" x14ac:dyDescent="0.25">
      <c r="A59" t="s">
        <v>163</v>
      </c>
      <c r="B59" t="s">
        <v>164</v>
      </c>
      <c r="C59" s="2">
        <v>31025</v>
      </c>
      <c r="D59" t="s">
        <v>43</v>
      </c>
      <c r="E59" t="s">
        <v>143</v>
      </c>
      <c r="F59" s="4" t="s">
        <v>324</v>
      </c>
      <c r="G59" s="2">
        <v>45593</v>
      </c>
      <c r="H59" t="s">
        <v>13</v>
      </c>
      <c r="I59" t="s">
        <v>264</v>
      </c>
      <c r="J59" s="3">
        <v>285000</v>
      </c>
    </row>
    <row r="60" spans="1:10" x14ac:dyDescent="0.25">
      <c r="A60" t="s">
        <v>165</v>
      </c>
      <c r="B60" t="s">
        <v>166</v>
      </c>
      <c r="C60" s="2">
        <v>35117</v>
      </c>
      <c r="D60" t="s">
        <v>8</v>
      </c>
      <c r="E60" t="s">
        <v>146</v>
      </c>
      <c r="F60" s="4" t="s">
        <v>325</v>
      </c>
      <c r="G60" s="2">
        <v>45640</v>
      </c>
      <c r="H60" t="s">
        <v>9</v>
      </c>
      <c r="I60" t="s">
        <v>25</v>
      </c>
      <c r="J60" s="3">
        <v>168000</v>
      </c>
    </row>
    <row r="61" spans="1:10" x14ac:dyDescent="0.25">
      <c r="A61" t="s">
        <v>167</v>
      </c>
      <c r="B61" t="s">
        <v>168</v>
      </c>
      <c r="C61" s="2">
        <v>33342</v>
      </c>
      <c r="D61" t="s">
        <v>43</v>
      </c>
      <c r="E61" t="s">
        <v>120</v>
      </c>
      <c r="F61" s="4" t="s">
        <v>326</v>
      </c>
      <c r="G61" s="2">
        <v>45618</v>
      </c>
      <c r="H61" t="s">
        <v>11</v>
      </c>
      <c r="I61" t="s">
        <v>263</v>
      </c>
      <c r="J61" s="3">
        <v>73000</v>
      </c>
    </row>
    <row r="62" spans="1:10" x14ac:dyDescent="0.25">
      <c r="A62" t="s">
        <v>169</v>
      </c>
      <c r="B62" t="s">
        <v>365</v>
      </c>
      <c r="C62" s="2">
        <v>32809</v>
      </c>
      <c r="D62" t="s">
        <v>8</v>
      </c>
      <c r="E62" t="s">
        <v>122</v>
      </c>
      <c r="F62" s="4" t="s">
        <v>327</v>
      </c>
      <c r="G62" s="2">
        <v>45651</v>
      </c>
      <c r="H62" t="s">
        <v>18</v>
      </c>
      <c r="I62" t="s">
        <v>19</v>
      </c>
      <c r="J62" s="3">
        <v>300000</v>
      </c>
    </row>
    <row r="63" spans="1:10" x14ac:dyDescent="0.25">
      <c r="A63" t="s">
        <v>170</v>
      </c>
      <c r="B63" t="s">
        <v>258</v>
      </c>
      <c r="C63" s="2">
        <v>34930</v>
      </c>
      <c r="D63" t="s">
        <v>43</v>
      </c>
      <c r="E63" t="s">
        <v>125</v>
      </c>
      <c r="F63" s="4" t="s">
        <v>328</v>
      </c>
      <c r="G63" s="2">
        <v>45611</v>
      </c>
      <c r="H63" t="s">
        <v>21</v>
      </c>
      <c r="I63" t="s">
        <v>265</v>
      </c>
      <c r="J63" s="3">
        <v>170000</v>
      </c>
    </row>
    <row r="64" spans="1:10" x14ac:dyDescent="0.25">
      <c r="A64" t="s">
        <v>171</v>
      </c>
      <c r="B64" t="s">
        <v>259</v>
      </c>
      <c r="C64" s="2">
        <v>31111</v>
      </c>
      <c r="D64" t="s">
        <v>43</v>
      </c>
      <c r="E64" t="s">
        <v>128</v>
      </c>
      <c r="F64" s="4" t="s">
        <v>329</v>
      </c>
      <c r="G64" s="2">
        <v>45646</v>
      </c>
      <c r="H64" t="s">
        <v>27</v>
      </c>
      <c r="I64" t="s">
        <v>25</v>
      </c>
      <c r="J64" s="3">
        <v>52000</v>
      </c>
    </row>
    <row r="65" spans="1:10" x14ac:dyDescent="0.25">
      <c r="A65" t="s">
        <v>172</v>
      </c>
      <c r="B65" t="s">
        <v>359</v>
      </c>
      <c r="C65" s="2">
        <v>33950</v>
      </c>
      <c r="D65" t="s">
        <v>8</v>
      </c>
      <c r="E65" t="s">
        <v>131</v>
      </c>
      <c r="F65" s="4" t="s">
        <v>372</v>
      </c>
      <c r="G65" s="2">
        <v>45575</v>
      </c>
      <c r="H65" t="s">
        <v>30</v>
      </c>
      <c r="I65" t="s">
        <v>263</v>
      </c>
      <c r="J65" s="3">
        <v>430000</v>
      </c>
    </row>
    <row r="66" spans="1:10" x14ac:dyDescent="0.25">
      <c r="A66" t="s">
        <v>173</v>
      </c>
      <c r="B66" t="s">
        <v>174</v>
      </c>
      <c r="C66" s="2">
        <v>34670</v>
      </c>
      <c r="D66" t="s">
        <v>43</v>
      </c>
      <c r="E66" t="s">
        <v>175</v>
      </c>
      <c r="F66" s="4" t="s">
        <v>330</v>
      </c>
      <c r="G66" s="2">
        <v>45516</v>
      </c>
      <c r="H66" t="s">
        <v>32</v>
      </c>
      <c r="I66" t="s">
        <v>19</v>
      </c>
      <c r="J66" s="3">
        <v>38000</v>
      </c>
    </row>
    <row r="67" spans="1:10" x14ac:dyDescent="0.25">
      <c r="A67" t="s">
        <v>176</v>
      </c>
      <c r="B67" t="s">
        <v>364</v>
      </c>
      <c r="C67" s="2">
        <v>35301</v>
      </c>
      <c r="D67" t="s">
        <v>8</v>
      </c>
      <c r="E67" t="s">
        <v>177</v>
      </c>
      <c r="F67" s="4" t="s">
        <v>373</v>
      </c>
      <c r="G67" s="2">
        <v>45423</v>
      </c>
      <c r="H67" t="s">
        <v>9</v>
      </c>
      <c r="I67" t="s">
        <v>264</v>
      </c>
      <c r="J67" s="3">
        <v>145000</v>
      </c>
    </row>
    <row r="68" spans="1:10" x14ac:dyDescent="0.25">
      <c r="A68" t="s">
        <v>178</v>
      </c>
      <c r="B68" t="s">
        <v>179</v>
      </c>
      <c r="C68" s="2">
        <v>30886</v>
      </c>
      <c r="D68" t="s">
        <v>43</v>
      </c>
      <c r="E68" t="s">
        <v>180</v>
      </c>
      <c r="F68" s="4" t="s">
        <v>374</v>
      </c>
      <c r="G68" s="2">
        <v>45593</v>
      </c>
      <c r="H68" t="s">
        <v>25</v>
      </c>
      <c r="I68" t="s">
        <v>19</v>
      </c>
      <c r="J68" s="3">
        <v>120000</v>
      </c>
    </row>
    <row r="69" spans="1:10" x14ac:dyDescent="0.25">
      <c r="A69" t="s">
        <v>181</v>
      </c>
      <c r="B69" t="s">
        <v>363</v>
      </c>
      <c r="C69" s="2">
        <v>33146</v>
      </c>
      <c r="D69" t="s">
        <v>8</v>
      </c>
      <c r="E69" t="s">
        <v>182</v>
      </c>
      <c r="F69" s="4" t="s">
        <v>371</v>
      </c>
      <c r="G69" s="2">
        <v>45587</v>
      </c>
      <c r="H69" t="s">
        <v>18</v>
      </c>
      <c r="I69" t="s">
        <v>263</v>
      </c>
      <c r="J69" s="3">
        <v>355000</v>
      </c>
    </row>
    <row r="70" spans="1:10" x14ac:dyDescent="0.25">
      <c r="A70" t="s">
        <v>183</v>
      </c>
      <c r="B70" t="s">
        <v>260</v>
      </c>
      <c r="C70" s="2">
        <v>32125</v>
      </c>
      <c r="D70" t="s">
        <v>8</v>
      </c>
      <c r="E70" t="s">
        <v>184</v>
      </c>
      <c r="F70" s="4" t="s">
        <v>331</v>
      </c>
      <c r="G70" s="2">
        <v>45654</v>
      </c>
      <c r="H70" t="s">
        <v>21</v>
      </c>
      <c r="I70" t="s">
        <v>19</v>
      </c>
      <c r="J70" s="3">
        <v>210000</v>
      </c>
    </row>
    <row r="71" spans="1:10" x14ac:dyDescent="0.25">
      <c r="A71" t="s">
        <v>185</v>
      </c>
      <c r="B71" t="s">
        <v>186</v>
      </c>
      <c r="C71" s="2">
        <v>34463</v>
      </c>
      <c r="D71" t="s">
        <v>43</v>
      </c>
      <c r="E71" t="s">
        <v>187</v>
      </c>
      <c r="F71" s="4" t="s">
        <v>332</v>
      </c>
      <c r="G71" s="2">
        <v>45615</v>
      </c>
      <c r="H71" t="s">
        <v>27</v>
      </c>
      <c r="I71" t="s">
        <v>264</v>
      </c>
      <c r="J71" s="3">
        <v>56000</v>
      </c>
    </row>
    <row r="72" spans="1:10" x14ac:dyDescent="0.25">
      <c r="A72" t="s">
        <v>188</v>
      </c>
      <c r="B72" t="s">
        <v>370</v>
      </c>
      <c r="C72" s="2">
        <v>33297</v>
      </c>
      <c r="D72" t="s">
        <v>8</v>
      </c>
      <c r="E72" t="s">
        <v>189</v>
      </c>
      <c r="F72" s="4" t="s">
        <v>369</v>
      </c>
      <c r="G72" s="2">
        <v>45641</v>
      </c>
      <c r="H72" t="s">
        <v>32</v>
      </c>
      <c r="I72" t="s">
        <v>25</v>
      </c>
      <c r="J72" s="3">
        <v>39000</v>
      </c>
    </row>
    <row r="73" spans="1:10" x14ac:dyDescent="0.25">
      <c r="A73" t="s">
        <v>190</v>
      </c>
      <c r="B73" t="s">
        <v>191</v>
      </c>
      <c r="C73" s="2">
        <v>35389</v>
      </c>
      <c r="D73" t="s">
        <v>43</v>
      </c>
      <c r="E73" t="s">
        <v>192</v>
      </c>
      <c r="F73" s="4" t="s">
        <v>333</v>
      </c>
      <c r="G73" s="2">
        <v>45596</v>
      </c>
      <c r="H73" t="s">
        <v>45</v>
      </c>
      <c r="I73" t="s">
        <v>263</v>
      </c>
      <c r="J73" s="3">
        <v>320000</v>
      </c>
    </row>
    <row r="74" spans="1:10" x14ac:dyDescent="0.25">
      <c r="A74" t="s">
        <v>193</v>
      </c>
      <c r="B74" t="s">
        <v>261</v>
      </c>
      <c r="C74" s="2">
        <v>30048</v>
      </c>
      <c r="D74" t="s">
        <v>43</v>
      </c>
      <c r="E74" t="s">
        <v>194</v>
      </c>
      <c r="F74" s="4" t="s">
        <v>334</v>
      </c>
      <c r="G74" s="2">
        <v>45648</v>
      </c>
      <c r="H74" t="s">
        <v>9</v>
      </c>
      <c r="I74" t="s">
        <v>19</v>
      </c>
      <c r="J74" s="3">
        <v>152000</v>
      </c>
    </row>
    <row r="75" spans="1:10" x14ac:dyDescent="0.25">
      <c r="A75" t="s">
        <v>195</v>
      </c>
      <c r="B75" t="s">
        <v>362</v>
      </c>
      <c r="C75" s="2">
        <v>32372</v>
      </c>
      <c r="D75" t="s">
        <v>8</v>
      </c>
      <c r="E75" t="s">
        <v>196</v>
      </c>
      <c r="F75" s="4" t="s">
        <v>368</v>
      </c>
      <c r="G75" s="2">
        <v>45624</v>
      </c>
      <c r="H75" t="s">
        <v>11</v>
      </c>
      <c r="I75" t="s">
        <v>265</v>
      </c>
      <c r="J75" s="3">
        <v>78000</v>
      </c>
    </row>
    <row r="76" spans="1:10" x14ac:dyDescent="0.25">
      <c r="A76" t="s">
        <v>197</v>
      </c>
      <c r="B76" t="s">
        <v>198</v>
      </c>
      <c r="C76" s="2">
        <v>33998</v>
      </c>
      <c r="D76" t="s">
        <v>43</v>
      </c>
      <c r="E76" t="s">
        <v>175</v>
      </c>
      <c r="F76" s="4" t="s">
        <v>335</v>
      </c>
      <c r="G76" s="2">
        <v>45577</v>
      </c>
      <c r="H76" t="s">
        <v>18</v>
      </c>
      <c r="I76" t="s">
        <v>25</v>
      </c>
      <c r="J76" s="3">
        <v>340000</v>
      </c>
    </row>
    <row r="77" spans="1:10" x14ac:dyDescent="0.25">
      <c r="A77" t="s">
        <v>199</v>
      </c>
      <c r="B77" t="s">
        <v>200</v>
      </c>
      <c r="C77" s="2">
        <v>35587</v>
      </c>
      <c r="D77" t="s">
        <v>43</v>
      </c>
      <c r="E77" t="s">
        <v>177</v>
      </c>
      <c r="F77" s="4" t="s">
        <v>336</v>
      </c>
      <c r="G77" s="2">
        <v>45424</v>
      </c>
      <c r="H77" t="s">
        <v>21</v>
      </c>
      <c r="I77" t="s">
        <v>263</v>
      </c>
      <c r="J77" s="3">
        <v>190000</v>
      </c>
    </row>
    <row r="78" spans="1:10" x14ac:dyDescent="0.25">
      <c r="A78" t="s">
        <v>201</v>
      </c>
      <c r="B78" t="s">
        <v>202</v>
      </c>
      <c r="C78" s="2">
        <v>31698</v>
      </c>
      <c r="D78" t="s">
        <v>8</v>
      </c>
      <c r="E78" t="s">
        <v>180</v>
      </c>
      <c r="F78" s="4" t="s">
        <v>337</v>
      </c>
      <c r="G78" s="2">
        <v>45610</v>
      </c>
      <c r="H78" t="s">
        <v>27</v>
      </c>
      <c r="I78" t="s">
        <v>19</v>
      </c>
      <c r="J78" s="3">
        <v>51000</v>
      </c>
    </row>
    <row r="79" spans="1:10" x14ac:dyDescent="0.25">
      <c r="A79" t="s">
        <v>203</v>
      </c>
      <c r="B79" t="s">
        <v>204</v>
      </c>
      <c r="C79" s="2">
        <v>32865</v>
      </c>
      <c r="D79" t="s">
        <v>43</v>
      </c>
      <c r="E79" t="s">
        <v>182</v>
      </c>
      <c r="F79" s="4" t="s">
        <v>338</v>
      </c>
      <c r="G79" s="2">
        <v>45653</v>
      </c>
      <c r="H79" t="s">
        <v>32</v>
      </c>
      <c r="I79" t="s">
        <v>264</v>
      </c>
      <c r="J79" s="3">
        <v>37500</v>
      </c>
    </row>
    <row r="80" spans="1:10" x14ac:dyDescent="0.25">
      <c r="A80" t="s">
        <v>205</v>
      </c>
      <c r="B80" t="s">
        <v>206</v>
      </c>
      <c r="C80" s="2">
        <v>32961</v>
      </c>
      <c r="D80" t="s">
        <v>8</v>
      </c>
      <c r="E80" t="s">
        <v>184</v>
      </c>
      <c r="F80" s="4" t="s">
        <v>339</v>
      </c>
      <c r="G80" s="2">
        <v>45583</v>
      </c>
      <c r="H80" t="s">
        <v>30</v>
      </c>
      <c r="I80" t="s">
        <v>25</v>
      </c>
      <c r="J80" s="3">
        <v>455000</v>
      </c>
    </row>
    <row r="81" spans="1:10" x14ac:dyDescent="0.25">
      <c r="A81" t="s">
        <v>207</v>
      </c>
      <c r="B81" t="s">
        <v>208</v>
      </c>
      <c r="C81" s="2">
        <v>33818</v>
      </c>
      <c r="D81" t="s">
        <v>43</v>
      </c>
      <c r="E81" t="s">
        <v>187</v>
      </c>
      <c r="F81" s="4" t="s">
        <v>340</v>
      </c>
      <c r="G81" s="2">
        <v>45638</v>
      </c>
      <c r="H81" t="s">
        <v>9</v>
      </c>
      <c r="I81" t="s">
        <v>263</v>
      </c>
      <c r="J81" s="3">
        <v>148000</v>
      </c>
    </row>
    <row r="82" spans="1:10" x14ac:dyDescent="0.25">
      <c r="A82" t="s">
        <v>209</v>
      </c>
      <c r="B82" t="s">
        <v>262</v>
      </c>
      <c r="C82" s="2">
        <v>31912</v>
      </c>
      <c r="D82" t="s">
        <v>8</v>
      </c>
      <c r="E82" t="s">
        <v>189</v>
      </c>
      <c r="F82" s="4" t="s">
        <v>341</v>
      </c>
      <c r="G82" s="2">
        <v>45546</v>
      </c>
      <c r="H82" t="s">
        <v>11</v>
      </c>
      <c r="I82" t="s">
        <v>19</v>
      </c>
      <c r="J82" s="3">
        <v>71000</v>
      </c>
    </row>
    <row r="83" spans="1:10" x14ac:dyDescent="0.25">
      <c r="A83" t="s">
        <v>210</v>
      </c>
      <c r="B83" t="s">
        <v>211</v>
      </c>
      <c r="C83" s="2">
        <v>33559</v>
      </c>
      <c r="D83" t="s">
        <v>43</v>
      </c>
      <c r="E83" t="s">
        <v>192</v>
      </c>
      <c r="F83" s="4" t="s">
        <v>342</v>
      </c>
      <c r="G83" s="2">
        <v>45647</v>
      </c>
      <c r="H83" t="s">
        <v>18</v>
      </c>
      <c r="I83" t="s">
        <v>264</v>
      </c>
      <c r="J83" s="3">
        <v>305000</v>
      </c>
    </row>
    <row r="84" spans="1:10" x14ac:dyDescent="0.25">
      <c r="A84" t="s">
        <v>212</v>
      </c>
      <c r="B84" t="s">
        <v>213</v>
      </c>
      <c r="C84" s="2">
        <v>31306</v>
      </c>
      <c r="D84" t="s">
        <v>8</v>
      </c>
      <c r="E84" t="s">
        <v>194</v>
      </c>
      <c r="F84" s="4" t="s">
        <v>343</v>
      </c>
      <c r="G84" s="2">
        <v>45624</v>
      </c>
      <c r="H84" t="s">
        <v>21</v>
      </c>
      <c r="I84" t="s">
        <v>25</v>
      </c>
      <c r="J84" s="3">
        <v>175000</v>
      </c>
    </row>
    <row r="85" spans="1:10" x14ac:dyDescent="0.25">
      <c r="A85" t="s">
        <v>214</v>
      </c>
      <c r="B85" t="s">
        <v>215</v>
      </c>
      <c r="C85" s="2">
        <v>34028</v>
      </c>
      <c r="D85" t="s">
        <v>43</v>
      </c>
      <c r="E85" t="s">
        <v>196</v>
      </c>
      <c r="F85" s="4" t="s">
        <v>344</v>
      </c>
      <c r="G85" s="2">
        <v>45455</v>
      </c>
      <c r="H85" t="s">
        <v>27</v>
      </c>
      <c r="I85" t="s">
        <v>263</v>
      </c>
      <c r="J85" s="3">
        <v>49000</v>
      </c>
    </row>
    <row r="86" spans="1:10" x14ac:dyDescent="0.25">
      <c r="A86" t="s">
        <v>216</v>
      </c>
      <c r="B86" t="s">
        <v>217</v>
      </c>
      <c r="C86" s="2">
        <v>32714</v>
      </c>
      <c r="D86" t="s">
        <v>8</v>
      </c>
      <c r="E86" t="s">
        <v>175</v>
      </c>
      <c r="F86" s="4" t="s">
        <v>345</v>
      </c>
      <c r="G86" s="2">
        <v>45590</v>
      </c>
      <c r="H86" t="s">
        <v>32</v>
      </c>
      <c r="I86" t="s">
        <v>19</v>
      </c>
      <c r="J86" s="3">
        <v>41000</v>
      </c>
    </row>
    <row r="87" spans="1:10" x14ac:dyDescent="0.25">
      <c r="A87" t="s">
        <v>218</v>
      </c>
      <c r="B87" t="s">
        <v>219</v>
      </c>
      <c r="C87" s="2">
        <v>34991</v>
      </c>
      <c r="D87" t="s">
        <v>43</v>
      </c>
      <c r="E87" t="s">
        <v>177</v>
      </c>
      <c r="F87" s="4" t="s">
        <v>366</v>
      </c>
      <c r="G87" s="2">
        <v>45656</v>
      </c>
      <c r="H87" t="s">
        <v>13</v>
      </c>
      <c r="I87" t="s">
        <v>264</v>
      </c>
      <c r="J87" s="3">
        <v>265000</v>
      </c>
    </row>
    <row r="88" spans="1:10" x14ac:dyDescent="0.25">
      <c r="A88" t="s">
        <v>220</v>
      </c>
      <c r="B88" t="s">
        <v>360</v>
      </c>
      <c r="C88" s="2">
        <v>32150</v>
      </c>
      <c r="D88" t="s">
        <v>8</v>
      </c>
      <c r="E88" t="s">
        <v>180</v>
      </c>
      <c r="F88" s="4" t="s">
        <v>367</v>
      </c>
      <c r="G88" s="2">
        <v>45616</v>
      </c>
      <c r="H88" t="s">
        <v>9</v>
      </c>
      <c r="I88" t="s">
        <v>25</v>
      </c>
      <c r="J88" s="3">
        <v>158000</v>
      </c>
    </row>
    <row r="89" spans="1:10" x14ac:dyDescent="0.25">
      <c r="A89" t="s">
        <v>221</v>
      </c>
      <c r="B89" t="s">
        <v>222</v>
      </c>
      <c r="C89" s="2">
        <v>35245</v>
      </c>
      <c r="D89" t="s">
        <v>43</v>
      </c>
      <c r="E89" t="s">
        <v>182</v>
      </c>
      <c r="F89" s="4" t="s">
        <v>346</v>
      </c>
      <c r="G89" s="2">
        <v>45642</v>
      </c>
      <c r="H89" t="s">
        <v>11</v>
      </c>
      <c r="I89" t="s">
        <v>263</v>
      </c>
      <c r="J89" s="3">
        <v>72000</v>
      </c>
    </row>
    <row r="90" spans="1:10" x14ac:dyDescent="0.25">
      <c r="A90" t="s">
        <v>223</v>
      </c>
      <c r="B90" t="s">
        <v>224</v>
      </c>
      <c r="C90" s="2">
        <v>30661</v>
      </c>
      <c r="D90" t="s">
        <v>8</v>
      </c>
      <c r="E90" t="s">
        <v>184</v>
      </c>
      <c r="F90" s="4" t="s">
        <v>347</v>
      </c>
      <c r="G90" s="2">
        <v>45363</v>
      </c>
      <c r="H90" t="s">
        <v>18</v>
      </c>
      <c r="I90" t="s">
        <v>19</v>
      </c>
      <c r="J90" s="3">
        <v>315000</v>
      </c>
    </row>
    <row r="91" spans="1:10" x14ac:dyDescent="0.25">
      <c r="A91" t="s">
        <v>225</v>
      </c>
      <c r="B91" t="s">
        <v>226</v>
      </c>
      <c r="C91" s="2">
        <v>32963</v>
      </c>
      <c r="D91" t="s">
        <v>43</v>
      </c>
      <c r="E91" t="s">
        <v>187</v>
      </c>
      <c r="F91" s="4" t="s">
        <v>348</v>
      </c>
      <c r="G91" s="2">
        <v>45637</v>
      </c>
      <c r="H91" t="s">
        <v>21</v>
      </c>
      <c r="I91" t="s">
        <v>264</v>
      </c>
      <c r="J91" s="3">
        <v>185000</v>
      </c>
    </row>
    <row r="92" spans="1:10" x14ac:dyDescent="0.25">
      <c r="A92" t="s">
        <v>227</v>
      </c>
      <c r="B92" t="s">
        <v>361</v>
      </c>
      <c r="C92" s="2">
        <v>34539</v>
      </c>
      <c r="D92" t="s">
        <v>8</v>
      </c>
      <c r="E92" t="s">
        <v>189</v>
      </c>
      <c r="F92" s="4" t="s">
        <v>349</v>
      </c>
      <c r="G92" s="2">
        <v>45649</v>
      </c>
      <c r="H92" t="s">
        <v>27</v>
      </c>
      <c r="I92" t="s">
        <v>25</v>
      </c>
      <c r="J92" s="3">
        <v>56000</v>
      </c>
    </row>
    <row r="93" spans="1:10" x14ac:dyDescent="0.25">
      <c r="A93" t="s">
        <v>228</v>
      </c>
      <c r="B93" t="s">
        <v>229</v>
      </c>
      <c r="C93" s="2">
        <v>31183</v>
      </c>
      <c r="D93" t="s">
        <v>43</v>
      </c>
      <c r="E93" t="s">
        <v>192</v>
      </c>
      <c r="F93" s="4" t="s">
        <v>350</v>
      </c>
      <c r="G93" s="2">
        <v>45594</v>
      </c>
      <c r="H93" t="s">
        <v>32</v>
      </c>
      <c r="I93" t="s">
        <v>263</v>
      </c>
      <c r="J93" s="3">
        <v>39500</v>
      </c>
    </row>
    <row r="94" spans="1:10" x14ac:dyDescent="0.25">
      <c r="A94" t="s">
        <v>230</v>
      </c>
      <c r="B94" t="s">
        <v>231</v>
      </c>
      <c r="C94" s="2">
        <v>32812</v>
      </c>
      <c r="D94" t="s">
        <v>8</v>
      </c>
      <c r="E94" t="s">
        <v>194</v>
      </c>
      <c r="F94" s="4" t="s">
        <v>351</v>
      </c>
      <c r="G94" s="2">
        <v>45645</v>
      </c>
      <c r="H94" t="s">
        <v>30</v>
      </c>
      <c r="I94" t="s">
        <v>19</v>
      </c>
      <c r="J94" s="3">
        <v>485000</v>
      </c>
    </row>
    <row r="95" spans="1:10" x14ac:dyDescent="0.25">
      <c r="A95" t="s">
        <v>232</v>
      </c>
      <c r="B95" t="s">
        <v>233</v>
      </c>
      <c r="C95" s="2">
        <v>33647</v>
      </c>
      <c r="D95" t="s">
        <v>43</v>
      </c>
      <c r="E95" t="s">
        <v>196</v>
      </c>
      <c r="F95" s="4" t="s">
        <v>352</v>
      </c>
      <c r="G95" s="2">
        <v>45621</v>
      </c>
      <c r="H95" t="s">
        <v>9</v>
      </c>
      <c r="I95" t="s">
        <v>264</v>
      </c>
      <c r="J95" s="3">
        <v>142000</v>
      </c>
    </row>
    <row r="96" spans="1:10" x14ac:dyDescent="0.25">
      <c r="A96" t="s">
        <v>234</v>
      </c>
      <c r="B96" t="s">
        <v>235</v>
      </c>
      <c r="C96" s="2">
        <v>31998</v>
      </c>
      <c r="D96" t="s">
        <v>8</v>
      </c>
      <c r="E96" t="s">
        <v>175</v>
      </c>
      <c r="F96" s="4" t="s">
        <v>353</v>
      </c>
      <c r="G96" s="2">
        <v>45640</v>
      </c>
      <c r="H96" t="s">
        <v>11</v>
      </c>
      <c r="I96" t="s">
        <v>25</v>
      </c>
      <c r="J96" s="3">
        <v>80000</v>
      </c>
    </row>
    <row r="97" spans="1:10" x14ac:dyDescent="0.25">
      <c r="A97" t="s">
        <v>236</v>
      </c>
      <c r="B97" t="s">
        <v>237</v>
      </c>
      <c r="C97" s="2">
        <v>34703</v>
      </c>
      <c r="D97" t="s">
        <v>43</v>
      </c>
      <c r="E97" t="s">
        <v>177</v>
      </c>
      <c r="F97" s="4" t="s">
        <v>354</v>
      </c>
      <c r="G97" s="2">
        <v>45547</v>
      </c>
      <c r="H97" t="s">
        <v>18</v>
      </c>
      <c r="I97" t="s">
        <v>263</v>
      </c>
      <c r="J97" s="3">
        <v>325000</v>
      </c>
    </row>
    <row r="98" spans="1:10" x14ac:dyDescent="0.25">
      <c r="A98" t="s">
        <v>238</v>
      </c>
      <c r="B98" t="s">
        <v>239</v>
      </c>
      <c r="C98" s="2">
        <v>30429</v>
      </c>
      <c r="D98" t="s">
        <v>8</v>
      </c>
      <c r="E98" t="s">
        <v>180</v>
      </c>
      <c r="F98" s="4" t="s">
        <v>355</v>
      </c>
      <c r="G98" s="2">
        <v>45580</v>
      </c>
      <c r="H98" t="s">
        <v>21</v>
      </c>
      <c r="I98" t="s">
        <v>19</v>
      </c>
      <c r="J98" s="3">
        <v>195000</v>
      </c>
    </row>
    <row r="99" spans="1:10" x14ac:dyDescent="0.25">
      <c r="A99" t="s">
        <v>240</v>
      </c>
      <c r="B99" t="s">
        <v>241</v>
      </c>
      <c r="C99" s="2">
        <v>33525</v>
      </c>
      <c r="D99" t="s">
        <v>43</v>
      </c>
      <c r="E99" t="s">
        <v>182</v>
      </c>
      <c r="F99" s="4" t="s">
        <v>356</v>
      </c>
      <c r="G99" s="2">
        <v>45608</v>
      </c>
      <c r="H99" t="s">
        <v>27</v>
      </c>
      <c r="I99" t="s">
        <v>264</v>
      </c>
      <c r="J99" s="3">
        <v>53000</v>
      </c>
    </row>
    <row r="100" spans="1:10" x14ac:dyDescent="0.25">
      <c r="A100" t="s">
        <v>242</v>
      </c>
      <c r="B100" t="s">
        <v>243</v>
      </c>
      <c r="C100" s="2">
        <v>31753</v>
      </c>
      <c r="D100" t="s">
        <v>8</v>
      </c>
      <c r="E100" t="s">
        <v>184</v>
      </c>
      <c r="F100" s="4" t="s">
        <v>357</v>
      </c>
      <c r="G100" s="2">
        <v>45614</v>
      </c>
      <c r="H100" t="s">
        <v>32</v>
      </c>
      <c r="I100" t="s">
        <v>25</v>
      </c>
      <c r="J100" s="3">
        <v>37000</v>
      </c>
    </row>
    <row r="101" spans="1:10" x14ac:dyDescent="0.25">
      <c r="A101" t="s">
        <v>244</v>
      </c>
      <c r="B101" t="s">
        <v>245</v>
      </c>
      <c r="C101" s="2">
        <v>34060</v>
      </c>
      <c r="D101" t="s">
        <v>43</v>
      </c>
      <c r="E101" t="s">
        <v>187</v>
      </c>
      <c r="F101" s="4" t="s">
        <v>358</v>
      </c>
      <c r="G101" s="2">
        <v>45653</v>
      </c>
      <c r="H101" t="s">
        <v>45</v>
      </c>
      <c r="I101" t="s">
        <v>263</v>
      </c>
      <c r="J101" s="3">
        <v>335000</v>
      </c>
    </row>
  </sheetData>
  <phoneticPr fontId="3" type="noConversion"/>
  <hyperlinks>
    <hyperlink ref="F2" r:id="rId1" xr:uid="{0C4F4BC9-7B25-43DA-893B-F5F0A5FDC805}"/>
    <hyperlink ref="F3" r:id="rId2" xr:uid="{B973DE29-3C86-494A-A73E-2B428ACF085A}"/>
    <hyperlink ref="F4" r:id="rId3" xr:uid="{0A3633D4-D8A5-4091-B26E-9B16E27D2EAA}"/>
    <hyperlink ref="F6" r:id="rId4" xr:uid="{AF913A0A-726B-4B07-80BD-9C3D8450040F}"/>
    <hyperlink ref="F7" r:id="rId5" xr:uid="{C227B94A-73E9-4B5F-881C-70774460BFFC}"/>
    <hyperlink ref="F9" r:id="rId6" xr:uid="{D06D34F8-07D4-4860-8173-563E14A14ADC}"/>
    <hyperlink ref="F10" r:id="rId7" xr:uid="{3A8D0816-0080-47DF-A4C7-013785F089DA}"/>
    <hyperlink ref="F11" r:id="rId8" xr:uid="{5EBF3D4C-B09D-4FC5-B9E2-C8E530C93A21}"/>
    <hyperlink ref="F13" r:id="rId9" xr:uid="{0031F73D-8B1A-45C2-B35F-579EBFBA2FFB}"/>
    <hyperlink ref="F14" r:id="rId10" xr:uid="{C08D9789-AF93-4888-B6F6-E9CE804B1FC0}"/>
    <hyperlink ref="F16" r:id="rId11" xr:uid="{1CBA6C81-CD83-4A6D-80EB-6B3E9E443654}"/>
    <hyperlink ref="F18" r:id="rId12" xr:uid="{467F20C2-8493-453D-861F-822D96C51410}"/>
    <hyperlink ref="F19" r:id="rId13" xr:uid="{426600D3-C0FB-4451-A046-E79984A04A79}"/>
    <hyperlink ref="F20" r:id="rId14" xr:uid="{ADFFB847-F0EF-4756-8EB1-41050CCED013}"/>
    <hyperlink ref="F22" r:id="rId15" xr:uid="{420C5439-C43A-473C-A9AC-B5DABE14549E}"/>
    <hyperlink ref="F23" r:id="rId16" xr:uid="{F716F498-4583-464D-BA55-19ECADDBDA09}"/>
    <hyperlink ref="F25" r:id="rId17" xr:uid="{749DB254-FA8B-4DFA-825A-62E6F7CEA7E0}"/>
    <hyperlink ref="F26" r:id="rId18" xr:uid="{24040D9A-58E5-4B96-BD1A-01134428B88E}"/>
    <hyperlink ref="F27" r:id="rId19" xr:uid="{4E36BDC6-5E2B-497C-B346-EDC86D33566F}"/>
    <hyperlink ref="F28" r:id="rId20" xr:uid="{6E6638C9-CA59-4F07-933B-145E513C61B3}"/>
    <hyperlink ref="F31" r:id="rId21" xr:uid="{C2001B04-972C-4AEB-B871-D10EB72A1AAC}"/>
    <hyperlink ref="F33" r:id="rId22" xr:uid="{73CAA82B-AF0D-49C2-9A7B-B6BAE71862BF}"/>
    <hyperlink ref="F34" r:id="rId23" xr:uid="{0E94106E-39C5-4BE8-BD88-C12AA1B1F315}"/>
    <hyperlink ref="F35" r:id="rId24" xr:uid="{20228A8A-EBC6-42A1-A59F-3FD36E652468}"/>
    <hyperlink ref="F37" r:id="rId25" xr:uid="{2734706C-154F-43F0-BC5C-42E31747EC7D}"/>
    <hyperlink ref="F38" r:id="rId26" xr:uid="{A8F20F22-C368-4941-B376-540B59BC127F}"/>
    <hyperlink ref="F39" r:id="rId27" xr:uid="{DDF70EB0-B161-4F6F-82B4-C7C68988F6E6}"/>
    <hyperlink ref="F40" r:id="rId28" xr:uid="{2123A869-E18F-4483-B9FD-6FCB9438D1E0}"/>
    <hyperlink ref="F42" r:id="rId29" xr:uid="{7B20316E-973A-4732-A2B2-8BD71763B47D}"/>
    <hyperlink ref="F43" r:id="rId30" xr:uid="{ED4BBA93-08C7-41E0-9393-04F1BF896C87}"/>
    <hyperlink ref="F45" r:id="rId31" xr:uid="{3165FF42-8E6A-4D27-B7DE-7DAFAE534451}"/>
    <hyperlink ref="F46" r:id="rId32" xr:uid="{A2C98B05-B5AA-4719-8597-99470D9A7825}"/>
    <hyperlink ref="F48" r:id="rId33" xr:uid="{43E56509-51E2-4AD6-89CE-D931013758FD}"/>
    <hyperlink ref="F49" r:id="rId34" xr:uid="{6B51CD43-2B73-468F-AC63-710ECFFE93E7}"/>
    <hyperlink ref="F51" r:id="rId35" xr:uid="{91F94FB8-0C09-4D1D-B09A-3526D1B0C814}"/>
    <hyperlink ref="F52" r:id="rId36" xr:uid="{DEFE074C-2AEB-47C5-B801-D7BDEFFB11D9}"/>
    <hyperlink ref="F54" r:id="rId37" xr:uid="{3C001E4A-83C3-4952-8F05-6F376C531603}"/>
    <hyperlink ref="F55" r:id="rId38" xr:uid="{96125380-8BB8-4930-B97C-38F3487F4820}"/>
    <hyperlink ref="F56" r:id="rId39" xr:uid="{FC1C5BE5-1990-4156-8F34-739234617536}"/>
    <hyperlink ref="F57" r:id="rId40" xr:uid="{4A79577D-5601-4589-9392-F62F213C4C45}"/>
    <hyperlink ref="F58" r:id="rId41" xr:uid="{8075E4DB-0F38-4ED7-B5AE-F3978396F68F}"/>
    <hyperlink ref="F59" r:id="rId42" xr:uid="{F5FAB490-284B-4A1B-B9FE-196D367DD53C}"/>
    <hyperlink ref="F60" r:id="rId43" xr:uid="{2DBF9FAD-B4EF-4951-A45A-2947BCD29B1F}"/>
    <hyperlink ref="F61" r:id="rId44" xr:uid="{3DE7789A-5EEE-428D-B3CE-98C3A14FBCB6}"/>
    <hyperlink ref="F63" r:id="rId45" xr:uid="{44C634A1-71FA-4DB5-80E2-DED9ABA33096}"/>
    <hyperlink ref="F67" r:id="rId46" xr:uid="{2AB3CF73-1CB9-4465-8EB7-79C50D78EE31}"/>
    <hyperlink ref="F68" r:id="rId47" xr:uid="{D19235FD-8806-4568-A255-44737A104066}"/>
    <hyperlink ref="F73" r:id="rId48" xr:uid="{5E922B15-3E23-4951-8683-F6AB0AF845EC}"/>
    <hyperlink ref="F76" r:id="rId49" xr:uid="{1B5D53EB-B154-46D1-9167-053A4F424580}"/>
    <hyperlink ref="F78" r:id="rId50" xr:uid="{8AB54873-ABE8-477E-ABAD-496204103B37}"/>
    <hyperlink ref="F80" r:id="rId51" xr:uid="{926AA271-C01F-43D1-9C36-1D040C1FE234}"/>
    <hyperlink ref="F83" r:id="rId52" xr:uid="{3DF2CF50-FFBB-4519-A739-D8CD882A0ECA}"/>
    <hyperlink ref="F85" r:id="rId53" xr:uid="{316132A4-763F-40AE-82DD-B08CFBB243B8}"/>
    <hyperlink ref="F86" r:id="rId54" xr:uid="{88F35B73-D4A5-4A30-8F5E-3EB758AAD803}"/>
    <hyperlink ref="F89" r:id="rId55" xr:uid="{06431027-05EB-491B-AF2D-AE2945AA9B8E}"/>
    <hyperlink ref="F91" r:id="rId56" xr:uid="{C8A146EE-C5EC-4167-9B42-D1EAC996EBD6}"/>
    <hyperlink ref="F94" r:id="rId57" xr:uid="{8F827F2B-0069-46D6-9EFE-C5C90F39C4B7}"/>
    <hyperlink ref="F95" r:id="rId58" xr:uid="{6B2936D4-C6F6-4C77-B8A9-1ABF6A1C7628}"/>
    <hyperlink ref="F96" r:id="rId59" xr:uid="{18989FA2-3565-4809-A4AF-45694F865ACF}"/>
    <hyperlink ref="F98" r:id="rId60" xr:uid="{F340F83C-E702-4B5A-A668-511CA43E673B}"/>
    <hyperlink ref="F100" r:id="rId61" xr:uid="{9786AA56-1F66-4D55-9251-76B8D397F562}"/>
    <hyperlink ref="F101" r:id="rId62" xr:uid="{7EB90360-6D4E-4E13-9DDD-6C623ABB49DE}"/>
    <hyperlink ref="F87" r:id="rId63" xr:uid="{CCB9F925-5DDD-4658-AE32-BCFEB78B8038}"/>
    <hyperlink ref="F88" r:id="rId64" xr:uid="{0CC39CE1-4A88-4614-8E07-A4D77D9F0DC3}"/>
    <hyperlink ref="F75" r:id="rId65" xr:uid="{52F2391A-93B9-47BE-B882-FC2074276293}"/>
    <hyperlink ref="F72" r:id="rId66" xr:uid="{63BF5151-980F-4CE2-82D8-97FCD38673C1}"/>
    <hyperlink ref="F69" r:id="rId67" xr:uid="{E79BD142-3695-481B-A633-75729516178D}"/>
    <hyperlink ref="F65" r:id="rId68" xr:uid="{96B5B6C2-DA8F-43BB-A275-D409D489E06A}"/>
  </hyperlinks>
  <pageMargins left="0.7" right="0.7" top="0.75" bottom="0.75" header="0.3" footer="0.3"/>
  <pageSetup orientation="portrait" r:id="rId69"/>
  <tableParts count="1">
    <tablePart r:id="rId7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8F02-BBD9-4E9B-BE27-6CD79BA455EE}">
  <dimension ref="A3:H61"/>
  <sheetViews>
    <sheetView zoomScale="46" zoomScaleNormal="46" workbookViewId="0">
      <selection activeCell="S21" sqref="S21"/>
    </sheetView>
  </sheetViews>
  <sheetFormatPr defaultRowHeight="15" x14ac:dyDescent="0.25"/>
  <cols>
    <col min="1" max="1" width="16.140625" bestFit="1" customWidth="1"/>
    <col min="2" max="2" width="24.140625" bestFit="1" customWidth="1"/>
    <col min="3" max="3" width="18" bestFit="1" customWidth="1"/>
    <col min="4" max="4" width="16.28515625" bestFit="1" customWidth="1"/>
    <col min="5" max="5" width="17.5703125" bestFit="1" customWidth="1"/>
    <col min="6" max="6" width="10" bestFit="1" customWidth="1"/>
    <col min="7" max="7" width="11" bestFit="1" customWidth="1"/>
    <col min="8" max="8" width="11.28515625" bestFit="1" customWidth="1"/>
    <col min="9" max="51" width="16.28515625" bestFit="1" customWidth="1"/>
    <col min="52" max="53" width="11.28515625" bestFit="1" customWidth="1"/>
  </cols>
  <sheetData>
    <row r="3" spans="1:8" x14ac:dyDescent="0.25">
      <c r="A3" t="s">
        <v>392</v>
      </c>
      <c r="B3" t="s">
        <v>393</v>
      </c>
      <c r="E3" s="6" t="s">
        <v>377</v>
      </c>
      <c r="F3" s="6" t="s">
        <v>2</v>
      </c>
    </row>
    <row r="4" spans="1:8" x14ac:dyDescent="0.25">
      <c r="A4" s="5">
        <v>100</v>
      </c>
      <c r="B4" s="7">
        <v>17636500</v>
      </c>
      <c r="E4" s="6" t="s">
        <v>5</v>
      </c>
      <c r="F4" t="s">
        <v>43</v>
      </c>
      <c r="G4" t="s">
        <v>8</v>
      </c>
      <c r="H4" t="s">
        <v>376</v>
      </c>
    </row>
    <row r="5" spans="1:8" x14ac:dyDescent="0.25">
      <c r="E5" s="8" t="s">
        <v>394</v>
      </c>
      <c r="F5" s="5"/>
      <c r="G5" s="5">
        <v>1</v>
      </c>
      <c r="H5" s="5">
        <v>1</v>
      </c>
    </row>
    <row r="6" spans="1:8" x14ac:dyDescent="0.25">
      <c r="A6" s="6" t="s">
        <v>266</v>
      </c>
      <c r="B6" s="3" t="s">
        <v>375</v>
      </c>
      <c r="E6" s="8" t="s">
        <v>395</v>
      </c>
      <c r="F6" s="5">
        <v>1</v>
      </c>
      <c r="G6" s="5"/>
      <c r="H6" s="5">
        <v>1</v>
      </c>
    </row>
    <row r="7" spans="1:8" x14ac:dyDescent="0.25">
      <c r="A7" s="8" t="s">
        <v>263</v>
      </c>
      <c r="B7" s="3">
        <v>5448500</v>
      </c>
      <c r="E7" s="8" t="s">
        <v>30</v>
      </c>
      <c r="F7" s="5"/>
      <c r="G7" s="5">
        <v>8</v>
      </c>
      <c r="H7" s="5">
        <v>8</v>
      </c>
    </row>
    <row r="8" spans="1:8" x14ac:dyDescent="0.25">
      <c r="A8" s="8" t="s">
        <v>25</v>
      </c>
      <c r="B8" s="3">
        <v>3819000</v>
      </c>
      <c r="E8" s="8" t="s">
        <v>24</v>
      </c>
      <c r="F8" s="5">
        <v>1</v>
      </c>
      <c r="G8" s="5">
        <v>1</v>
      </c>
      <c r="H8" s="5">
        <v>2</v>
      </c>
    </row>
    <row r="9" spans="1:8" x14ac:dyDescent="0.25">
      <c r="A9" s="8" t="s">
        <v>19</v>
      </c>
      <c r="B9" s="3">
        <v>4992500</v>
      </c>
      <c r="E9" s="8" t="s">
        <v>45</v>
      </c>
      <c r="F9" s="5">
        <v>4</v>
      </c>
      <c r="G9" s="5"/>
      <c r="H9" s="5">
        <v>4</v>
      </c>
    </row>
    <row r="10" spans="1:8" x14ac:dyDescent="0.25">
      <c r="A10" s="8" t="s">
        <v>264</v>
      </c>
      <c r="B10" s="3">
        <v>2496500</v>
      </c>
      <c r="E10" s="8" t="s">
        <v>13</v>
      </c>
      <c r="F10" s="5">
        <v>4</v>
      </c>
      <c r="G10" s="5">
        <v>1</v>
      </c>
      <c r="H10" s="5">
        <v>5</v>
      </c>
    </row>
    <row r="11" spans="1:8" x14ac:dyDescent="0.25">
      <c r="A11" s="8" t="s">
        <v>265</v>
      </c>
      <c r="B11" s="3">
        <v>880000</v>
      </c>
      <c r="E11" s="8" t="s">
        <v>18</v>
      </c>
      <c r="F11" s="5">
        <v>6</v>
      </c>
      <c r="G11" s="5">
        <v>7</v>
      </c>
      <c r="H11" s="5">
        <v>13</v>
      </c>
    </row>
    <row r="12" spans="1:8" x14ac:dyDescent="0.25">
      <c r="A12" s="8" t="s">
        <v>376</v>
      </c>
      <c r="B12" s="3">
        <v>17636500</v>
      </c>
      <c r="E12" s="8" t="s">
        <v>25</v>
      </c>
      <c r="F12" s="5">
        <v>1</v>
      </c>
      <c r="G12" s="5"/>
      <c r="H12" s="5">
        <v>1</v>
      </c>
    </row>
    <row r="13" spans="1:8" x14ac:dyDescent="0.25">
      <c r="E13" s="8" t="s">
        <v>9</v>
      </c>
      <c r="F13" s="5">
        <v>6</v>
      </c>
      <c r="G13" s="5">
        <v>7</v>
      </c>
      <c r="H13" s="5">
        <v>13</v>
      </c>
    </row>
    <row r="14" spans="1:8" x14ac:dyDescent="0.25">
      <c r="E14" s="8" t="s">
        <v>11</v>
      </c>
      <c r="F14" s="5">
        <v>5</v>
      </c>
      <c r="G14" s="5">
        <v>7</v>
      </c>
      <c r="H14" s="5">
        <v>12</v>
      </c>
    </row>
    <row r="15" spans="1:8" x14ac:dyDescent="0.25">
      <c r="A15" s="6" t="s">
        <v>5</v>
      </c>
      <c r="B15" t="s">
        <v>408</v>
      </c>
      <c r="C15" s="5" t="s">
        <v>396</v>
      </c>
      <c r="E15" s="8" t="s">
        <v>32</v>
      </c>
      <c r="F15" s="5">
        <v>6</v>
      </c>
      <c r="G15" s="5">
        <v>7</v>
      </c>
      <c r="H15" s="5">
        <v>13</v>
      </c>
    </row>
    <row r="16" spans="1:8" x14ac:dyDescent="0.25">
      <c r="A16" s="8" t="s">
        <v>394</v>
      </c>
      <c r="B16" s="3">
        <v>125000</v>
      </c>
      <c r="C16" s="5">
        <v>1</v>
      </c>
      <c r="E16" s="8" t="s">
        <v>21</v>
      </c>
      <c r="F16" s="5">
        <v>7</v>
      </c>
      <c r="G16" s="5">
        <v>6</v>
      </c>
      <c r="H16" s="5">
        <v>13</v>
      </c>
    </row>
    <row r="17" spans="1:8" x14ac:dyDescent="0.25">
      <c r="A17" s="8" t="s">
        <v>395</v>
      </c>
      <c r="B17" s="3">
        <v>88000</v>
      </c>
      <c r="C17" s="5">
        <v>1</v>
      </c>
      <c r="E17" s="8" t="s">
        <v>15</v>
      </c>
      <c r="F17" s="5">
        <v>1</v>
      </c>
      <c r="G17" s="5"/>
      <c r="H17" s="5">
        <v>1</v>
      </c>
    </row>
    <row r="18" spans="1:8" x14ac:dyDescent="0.25">
      <c r="A18" s="8" t="s">
        <v>30</v>
      </c>
      <c r="B18" s="3">
        <v>470000</v>
      </c>
      <c r="C18" s="5">
        <v>8</v>
      </c>
      <c r="E18" s="8" t="s">
        <v>27</v>
      </c>
      <c r="F18" s="5">
        <v>9</v>
      </c>
      <c r="G18" s="5">
        <v>4</v>
      </c>
      <c r="H18" s="5">
        <v>13</v>
      </c>
    </row>
    <row r="19" spans="1:8" x14ac:dyDescent="0.25">
      <c r="A19" s="8" t="s">
        <v>24</v>
      </c>
      <c r="B19" s="3">
        <v>93500</v>
      </c>
      <c r="C19" s="5">
        <v>2</v>
      </c>
      <c r="E19" s="8" t="s">
        <v>376</v>
      </c>
      <c r="F19" s="5">
        <v>51</v>
      </c>
      <c r="G19" s="5">
        <v>49</v>
      </c>
      <c r="H19" s="5">
        <v>100</v>
      </c>
    </row>
    <row r="20" spans="1:8" x14ac:dyDescent="0.25">
      <c r="A20" s="8" t="s">
        <v>45</v>
      </c>
      <c r="B20" s="3">
        <v>327500</v>
      </c>
      <c r="C20" s="5">
        <v>4</v>
      </c>
    </row>
    <row r="21" spans="1:8" x14ac:dyDescent="0.25">
      <c r="A21" s="8" t="s">
        <v>13</v>
      </c>
      <c r="B21" s="3">
        <v>256000</v>
      </c>
      <c r="C21" s="5">
        <v>5</v>
      </c>
    </row>
    <row r="22" spans="1:8" x14ac:dyDescent="0.25">
      <c r="A22" s="8" t="s">
        <v>18</v>
      </c>
      <c r="B22" s="3">
        <v>320769.23076923075</v>
      </c>
      <c r="C22" s="5">
        <v>13</v>
      </c>
      <c r="E22" s="6" t="s">
        <v>266</v>
      </c>
      <c r="F22" t="s">
        <v>377</v>
      </c>
      <c r="G22" t="s">
        <v>407</v>
      </c>
    </row>
    <row r="23" spans="1:8" x14ac:dyDescent="0.25">
      <c r="A23" s="8" t="s">
        <v>25</v>
      </c>
      <c r="B23" s="3">
        <v>120000</v>
      </c>
      <c r="C23" s="5">
        <v>1</v>
      </c>
      <c r="E23" s="8" t="s">
        <v>263</v>
      </c>
      <c r="F23" s="5">
        <v>26</v>
      </c>
      <c r="G23" s="9">
        <v>0.26</v>
      </c>
    </row>
    <row r="24" spans="1:8" x14ac:dyDescent="0.25">
      <c r="A24" s="8" t="s">
        <v>9</v>
      </c>
      <c r="B24" s="3">
        <v>153307.69230769231</v>
      </c>
      <c r="C24" s="5">
        <v>13</v>
      </c>
      <c r="E24" s="8" t="s">
        <v>25</v>
      </c>
      <c r="F24" s="5">
        <v>24</v>
      </c>
      <c r="G24" s="9">
        <v>0.24</v>
      </c>
    </row>
    <row r="25" spans="1:8" x14ac:dyDescent="0.25">
      <c r="A25" s="8" t="s">
        <v>11</v>
      </c>
      <c r="B25" s="3">
        <v>76583.333333333328</v>
      </c>
      <c r="C25" s="5">
        <v>12</v>
      </c>
      <c r="E25" s="8" t="s">
        <v>19</v>
      </c>
      <c r="F25" s="5">
        <v>25</v>
      </c>
      <c r="G25" s="9">
        <v>0.25</v>
      </c>
    </row>
    <row r="26" spans="1:8" x14ac:dyDescent="0.25">
      <c r="A26" s="8" t="s">
        <v>32</v>
      </c>
      <c r="B26" s="3">
        <v>39115.384615384617</v>
      </c>
      <c r="C26" s="5">
        <v>13</v>
      </c>
      <c r="E26" s="8" t="s">
        <v>264</v>
      </c>
      <c r="F26" s="5">
        <v>18</v>
      </c>
      <c r="G26" s="9">
        <v>0.18</v>
      </c>
    </row>
    <row r="27" spans="1:8" x14ac:dyDescent="0.25">
      <c r="A27" s="8" t="s">
        <v>21</v>
      </c>
      <c r="B27" s="3">
        <v>186538.46153846153</v>
      </c>
      <c r="C27" s="5">
        <v>13</v>
      </c>
      <c r="E27" s="8" t="s">
        <v>265</v>
      </c>
      <c r="F27" s="5">
        <v>7</v>
      </c>
      <c r="G27" s="9">
        <v>7.0000000000000007E-2</v>
      </c>
    </row>
    <row r="28" spans="1:8" x14ac:dyDescent="0.25">
      <c r="A28" s="8" t="s">
        <v>15</v>
      </c>
      <c r="B28" s="3">
        <v>65000</v>
      </c>
      <c r="C28" s="5">
        <v>1</v>
      </c>
      <c r="E28" s="8" t="s">
        <v>376</v>
      </c>
      <c r="F28" s="5">
        <v>100</v>
      </c>
      <c r="G28" s="9">
        <v>1</v>
      </c>
    </row>
    <row r="29" spans="1:8" x14ac:dyDescent="0.25">
      <c r="A29" s="8" t="s">
        <v>27</v>
      </c>
      <c r="B29" s="3">
        <v>52769.230769230766</v>
      </c>
      <c r="C29" s="5">
        <v>13</v>
      </c>
    </row>
    <row r="30" spans="1:8" x14ac:dyDescent="0.25">
      <c r="A30" s="8" t="s">
        <v>376</v>
      </c>
      <c r="B30" s="3">
        <v>176365</v>
      </c>
      <c r="C30" s="5">
        <v>100</v>
      </c>
    </row>
    <row r="32" spans="1:8" x14ac:dyDescent="0.25">
      <c r="A32" s="6" t="s">
        <v>2</v>
      </c>
      <c r="B32" s="3" t="s">
        <v>375</v>
      </c>
      <c r="E32" s="6" t="s">
        <v>406</v>
      </c>
      <c r="F32" t="s">
        <v>377</v>
      </c>
    </row>
    <row r="33" spans="1:6" x14ac:dyDescent="0.25">
      <c r="A33" s="8" t="s">
        <v>43</v>
      </c>
      <c r="B33" s="3">
        <v>7951000</v>
      </c>
      <c r="E33" s="8" t="s">
        <v>397</v>
      </c>
      <c r="F33" s="5">
        <v>3</v>
      </c>
    </row>
    <row r="34" spans="1:6" x14ac:dyDescent="0.25">
      <c r="A34" s="8" t="s">
        <v>8</v>
      </c>
      <c r="B34" s="3">
        <v>9685500</v>
      </c>
      <c r="E34" s="8" t="s">
        <v>398</v>
      </c>
      <c r="F34" s="5">
        <v>2</v>
      </c>
    </row>
    <row r="35" spans="1:6" x14ac:dyDescent="0.25">
      <c r="A35" s="8" t="s">
        <v>376</v>
      </c>
      <c r="B35" s="3">
        <v>17636500</v>
      </c>
      <c r="E35" s="8" t="s">
        <v>399</v>
      </c>
      <c r="F35" s="5">
        <v>7</v>
      </c>
    </row>
    <row r="36" spans="1:6" x14ac:dyDescent="0.25">
      <c r="E36" s="8" t="s">
        <v>400</v>
      </c>
      <c r="F36" s="5">
        <v>1</v>
      </c>
    </row>
    <row r="37" spans="1:6" x14ac:dyDescent="0.25">
      <c r="E37" s="8" t="s">
        <v>401</v>
      </c>
      <c r="F37" s="5">
        <v>4</v>
      </c>
    </row>
    <row r="38" spans="1:6" x14ac:dyDescent="0.25">
      <c r="A38" s="6" t="s">
        <v>406</v>
      </c>
      <c r="B38" s="3" t="s">
        <v>375</v>
      </c>
      <c r="E38" s="8" t="s">
        <v>402</v>
      </c>
      <c r="F38" s="5">
        <v>5</v>
      </c>
    </row>
    <row r="39" spans="1:6" x14ac:dyDescent="0.25">
      <c r="A39" s="8" t="s">
        <v>397</v>
      </c>
      <c r="B39" s="3">
        <v>745000</v>
      </c>
      <c r="E39" s="8" t="s">
        <v>403</v>
      </c>
      <c r="F39" s="5">
        <v>16</v>
      </c>
    </row>
    <row r="40" spans="1:6" x14ac:dyDescent="0.25">
      <c r="A40" s="8" t="s">
        <v>398</v>
      </c>
      <c r="B40" s="3">
        <v>780000</v>
      </c>
      <c r="E40" s="8" t="s">
        <v>404</v>
      </c>
      <c r="F40" s="5">
        <v>23</v>
      </c>
    </row>
    <row r="41" spans="1:6" x14ac:dyDescent="0.25">
      <c r="A41" s="8" t="s">
        <v>399</v>
      </c>
      <c r="B41" s="3">
        <v>867000</v>
      </c>
      <c r="E41" s="8" t="s">
        <v>405</v>
      </c>
      <c r="F41" s="5">
        <v>39</v>
      </c>
    </row>
    <row r="42" spans="1:6" x14ac:dyDescent="0.25">
      <c r="A42" s="8" t="s">
        <v>400</v>
      </c>
      <c r="B42" s="3">
        <v>49000</v>
      </c>
      <c r="E42" s="8" t="s">
        <v>376</v>
      </c>
      <c r="F42" s="5">
        <v>100</v>
      </c>
    </row>
    <row r="43" spans="1:6" x14ac:dyDescent="0.25">
      <c r="A43" s="8" t="s">
        <v>401</v>
      </c>
      <c r="B43" s="3">
        <v>409500</v>
      </c>
    </row>
    <row r="44" spans="1:6" x14ac:dyDescent="0.25">
      <c r="A44" s="8" t="s">
        <v>402</v>
      </c>
      <c r="B44" s="3">
        <v>1531000</v>
      </c>
    </row>
    <row r="45" spans="1:6" x14ac:dyDescent="0.25">
      <c r="A45" s="8" t="s">
        <v>403</v>
      </c>
      <c r="B45" s="3">
        <v>3711500</v>
      </c>
    </row>
    <row r="46" spans="1:6" x14ac:dyDescent="0.25">
      <c r="A46" s="8" t="s">
        <v>404</v>
      </c>
      <c r="B46" s="3">
        <v>2537000</v>
      </c>
    </row>
    <row r="47" spans="1:6" x14ac:dyDescent="0.25">
      <c r="A47" s="8" t="s">
        <v>405</v>
      </c>
      <c r="B47" s="3">
        <v>7006500</v>
      </c>
    </row>
    <row r="48" spans="1:6" x14ac:dyDescent="0.25">
      <c r="A48" s="8" t="s">
        <v>376</v>
      </c>
      <c r="B48" s="3">
        <v>17636500</v>
      </c>
    </row>
    <row r="50" spans="1:2" x14ac:dyDescent="0.25">
      <c r="A50" s="6" t="s">
        <v>246</v>
      </c>
      <c r="B50" s="3" t="s">
        <v>375</v>
      </c>
    </row>
    <row r="51" spans="1:2" x14ac:dyDescent="0.25">
      <c r="A51" s="8" t="s">
        <v>359</v>
      </c>
      <c r="B51" s="3">
        <v>430000</v>
      </c>
    </row>
    <row r="52" spans="1:2" x14ac:dyDescent="0.25">
      <c r="A52" s="8" t="s">
        <v>29</v>
      </c>
      <c r="B52" s="3">
        <v>450000</v>
      </c>
    </row>
    <row r="53" spans="1:2" x14ac:dyDescent="0.25">
      <c r="A53" s="8" t="s">
        <v>145</v>
      </c>
      <c r="B53" s="3">
        <v>475000</v>
      </c>
    </row>
    <row r="54" spans="1:2" x14ac:dyDescent="0.25">
      <c r="A54" s="8" t="s">
        <v>206</v>
      </c>
      <c r="B54" s="3">
        <v>455000</v>
      </c>
    </row>
    <row r="55" spans="1:2" x14ac:dyDescent="0.25">
      <c r="A55" s="8" t="s">
        <v>84</v>
      </c>
      <c r="B55" s="3">
        <v>510000</v>
      </c>
    </row>
    <row r="56" spans="1:2" x14ac:dyDescent="0.25">
      <c r="A56" s="8" t="s">
        <v>231</v>
      </c>
      <c r="B56" s="3">
        <v>485000</v>
      </c>
    </row>
    <row r="57" spans="1:2" x14ac:dyDescent="0.25">
      <c r="A57" s="8" t="s">
        <v>17</v>
      </c>
      <c r="B57" s="3">
        <v>350000</v>
      </c>
    </row>
    <row r="58" spans="1:2" x14ac:dyDescent="0.25">
      <c r="A58" s="8" t="s">
        <v>110</v>
      </c>
      <c r="B58" s="3">
        <v>465000</v>
      </c>
    </row>
    <row r="59" spans="1:2" x14ac:dyDescent="0.25">
      <c r="A59" s="8" t="s">
        <v>363</v>
      </c>
      <c r="B59" s="3">
        <v>355000</v>
      </c>
    </row>
    <row r="60" spans="1:2" x14ac:dyDescent="0.25">
      <c r="A60" s="8" t="s">
        <v>59</v>
      </c>
      <c r="B60" s="3">
        <v>490000</v>
      </c>
    </row>
    <row r="61" spans="1:2" x14ac:dyDescent="0.25">
      <c r="A61" s="8" t="s">
        <v>376</v>
      </c>
      <c r="B61" s="3">
        <v>4465000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7C17-5303-4A0F-8412-FFF570654B1D}">
  <dimension ref="A1"/>
  <sheetViews>
    <sheetView showGridLines="0" tabSelected="1" topLeftCell="A5" zoomScale="50" zoomScaleNormal="50" workbookViewId="0">
      <selection activeCell="AE32" sqref="AE32"/>
    </sheetView>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2026-04-25T14:38:57Z</dcterms:created>
  <dcterms:modified xsi:type="dcterms:W3CDTF">2026-04-25T16:45:09Z</dcterms:modified>
</cp:coreProperties>
</file>